
<file path=[Content_Types].xml><?xml version="1.0" encoding="utf-8"?>
<Types xmlns="http://schemas.openxmlformats.org/package/2006/content-types">
  <Default ContentType="image/jpeg" Extension="jpg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5.xml"/>
  <Override ContentType="application/vnd.openxmlformats-officedocument.spreadsheetml.table+xml" PartName="/xl/tables/table4.xml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table+xml" PartName="/xl/tables/table7.xml"/>
  <Override ContentType="application/vnd.openxmlformats-officedocument.spreadsheetml.table+xml" PartName="/xl/tables/table6.xml"/>
  <Override ContentType="application/vnd.openxmlformats-officedocument.spreadsheetml.table+xml" PartName="/xl/tables/table8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hidden" name="نسخة من حضور الموضفين" sheetId="1" r:id="rId5"/>
    <sheet state="visible" name="Income" sheetId="2" r:id="rId6"/>
    <sheet state="hidden" name="Archive" sheetId="3" r:id="rId7"/>
    <sheet state="hidden" name="Form" sheetId="4" r:id="rId8"/>
    <sheet state="visible" name="Expense" sheetId="5" r:id="rId9"/>
    <sheet state="visible" name="الرواتب" sheetId="6" r:id="rId10"/>
    <sheet state="visible" name="الحضور" sheetId="7" r:id="rId11"/>
    <sheet state="visible" name="تقرير مجموع الرواتب للموظف" sheetId="8" r:id="rId12"/>
    <sheet state="visible" name="سلف الموضفين" sheetId="9" r:id="rId13"/>
    <sheet state="visible" name="القروض و التسديد" sheetId="10" r:id="rId14"/>
    <sheet state="visible" name="التقرير السنوي" sheetId="11" r:id="rId15"/>
    <sheet state="visible" name="تقرير الرواتب" sheetId="12" r:id="rId16"/>
    <sheet state="visible" name="الملخص" sheetId="13" r:id="rId17"/>
  </sheets>
  <definedNames>
    <definedName name="S_ITEMS">Form!$B$7:$B$18</definedName>
    <definedName name="P_REMAIN">Form!$F$23</definedName>
    <definedName name="P_NOTES">Form!$F$24</definedName>
    <definedName name="S_NAME">Form!$B$5</definedName>
    <definedName name="P_ITEMS">Form!$F$7:$F$18</definedName>
    <definedName name="S_NO">Form!$B$3</definedName>
    <definedName name="S_DESC">Form!$A$7:$A$18</definedName>
    <definedName name="S_DISCOUNT">Form!$F$20</definedName>
    <definedName name="p_NAME">Form!$F$5</definedName>
    <definedName name="S_DATE">Form!$B$4</definedName>
    <definedName name="P_DESC">Form!$E$7:$E$18</definedName>
    <definedName name="P_TOTAL">Form!$H$7:$H$18</definedName>
    <definedName name="S_REMAIN">Form!$B$23</definedName>
    <definedName name="S_AFTER">Form!$B$21</definedName>
    <definedName name="P_DISCOUNT">Form!$F$20</definedName>
    <definedName name="P_AFTER">Form!$G$22</definedName>
    <definedName name="S_TOTAL">Form!$B$19</definedName>
    <definedName name="S_RECEIVED">Form!$B$23</definedName>
    <definedName name="P_PAID">Form!$F$22</definedName>
    <definedName name="P_NO">Form!$F$3</definedName>
    <definedName name="S_NOTES">Form!$B$24</definedName>
    <definedName name="P_DATE">Form!$F$4</definedName>
    <definedName hidden="1" localSheetId="0" name="_xlnm._FilterDatabase">'نسخة من حضور الموضفين'!$A$1:$P$500</definedName>
    <definedName hidden="1" localSheetId="0" name="Z_27F5D9BB_EEB0_47F5_8B6F_61833A5151ED_.wvu.FilterData">'نسخة من حضور الموضفين'!$A$1:$P$500</definedName>
    <definedName hidden="1" localSheetId="0" name="Z_5EE52AE5_C16A_4C55_8EDB_E8FE16E802DD_.wvu.FilterData">'نسخة من حضور الموضفين'!$A$1:$P$500</definedName>
    <definedName hidden="1" localSheetId="6" name="Z_5EE52AE5_C16A_4C55_8EDB_E8FE16E802DD_.wvu.FilterData">'الحضور'!$A$1:$P$731</definedName>
  </definedNames>
  <calcPr/>
  <customWorkbookViews>
    <customWorkbookView activeSheetId="0" maximized="1" windowHeight="0" windowWidth="0" guid="{27F5D9BB-EEB0-47F5-8B6F-61833A5151ED}" name="تجميع حسب اسم الموظف"/>
    <customWorkbookView activeSheetId="0" maximized="1" windowHeight="0" windowWidth="0" guid="{5EE52AE5-C16A-4C55-8EDB-E8FE16E802DD}" name="الفلتر 1"/>
  </customWorkbookViews>
</workbook>
</file>

<file path=xl/sharedStrings.xml><?xml version="1.0" encoding="utf-8"?>
<sst xmlns="http://schemas.openxmlformats.org/spreadsheetml/2006/main" count="10216" uniqueCount="2557">
  <si>
    <t>التاريخ</t>
  </si>
  <si>
    <t>اليوم</t>
  </si>
  <si>
    <t>اسم الموظف</t>
  </si>
  <si>
    <t>الراتب الاسمي</t>
  </si>
  <si>
    <t>وقت الدخول</t>
  </si>
  <si>
    <t>وقت الخروج</t>
  </si>
  <si>
    <t>سعر الساعة</t>
  </si>
  <si>
    <t>ساعات عادية</t>
  </si>
  <si>
    <t>ساعات إضافية 1.5x</t>
  </si>
  <si>
    <t>ساعات الجمعة 2x</t>
  </si>
  <si>
    <t>الراتب اليومي</t>
  </si>
  <si>
    <t>المكافآت</t>
  </si>
  <si>
    <t>السلف</t>
  </si>
  <si>
    <t>الغرامات</t>
  </si>
  <si>
    <t>الرقم النهائي</t>
  </si>
  <si>
    <t>الملاحظات</t>
  </si>
  <si>
    <t>حيدر مضر</t>
  </si>
  <si>
    <t>عبدالرضا عقيل</t>
  </si>
  <si>
    <t>285000 دين من الشهر السابق باقي 235000</t>
  </si>
  <si>
    <t>السلفة اجور طعام مصروفة الى علي الكهربائي</t>
  </si>
  <si>
    <t>حيدر يافوز</t>
  </si>
  <si>
    <t>سراج نزار</t>
  </si>
  <si>
    <t>2 ساعة خارجي</t>
  </si>
  <si>
    <t>2 ساعة خارجي + نسبة اعلان لاب 300.000</t>
  </si>
  <si>
    <t>زكي صادق</t>
  </si>
  <si>
    <t>محمد</t>
  </si>
  <si>
    <t>انوار كريم</t>
  </si>
  <si>
    <t>حسين سعد</t>
  </si>
  <si>
    <t>باقر</t>
  </si>
  <si>
    <t>عمل يوم كامل في الورشة و اكاديمية ياس قبل التوضيف</t>
  </si>
  <si>
    <t>علي المظفر</t>
  </si>
  <si>
    <t>يوسف يعقوب</t>
  </si>
  <si>
    <t>رقم الوصل</t>
  </si>
  <si>
    <t>النوع</t>
  </si>
  <si>
    <t>الاسم</t>
  </si>
  <si>
    <t>الوصف / البند</t>
  </si>
  <si>
    <t>الكمية</t>
  </si>
  <si>
    <t>المجموع</t>
  </si>
  <si>
    <t>الخصم</t>
  </si>
  <si>
    <t>الاجمالي</t>
  </si>
  <si>
    <t>المستلم</t>
  </si>
  <si>
    <t xml:space="preserve">المتبقي </t>
  </si>
  <si>
    <t>Column 13</t>
  </si>
  <si>
    <t>wx1</t>
  </si>
  <si>
    <t>نقد</t>
  </si>
  <si>
    <t>حسين</t>
  </si>
  <si>
    <t>بوكس حلقات</t>
  </si>
  <si>
    <t>1</t>
  </si>
  <si>
    <t>wx2</t>
  </si>
  <si>
    <t>بورد بصمات</t>
  </si>
  <si>
    <t>wx3</t>
  </si>
  <si>
    <t>لوح فوم</t>
  </si>
  <si>
    <t>000/42</t>
  </si>
  <si>
    <t>بوكس فوم عدد2</t>
  </si>
  <si>
    <t>wx4</t>
  </si>
  <si>
    <t>شريط مسكة</t>
  </si>
  <si>
    <t>wx6</t>
  </si>
  <si>
    <t>الورشة</t>
  </si>
  <si>
    <t>كتابة اكريلك ذهبي</t>
  </si>
  <si>
    <t>wx7</t>
  </si>
  <si>
    <t>كوشة منتظر</t>
  </si>
  <si>
    <t>بوكس حلقات مع قاعدة</t>
  </si>
  <si>
    <t>تعاليق</t>
  </si>
  <si>
    <t>wx8</t>
  </si>
  <si>
    <t>وائل خطاط</t>
  </si>
  <si>
    <t>wx9</t>
  </si>
  <si>
    <t xml:space="preserve">استلام دين عن اعلان </t>
  </si>
  <si>
    <t>بوكس ذهب</t>
  </si>
  <si>
    <t>000/63</t>
  </si>
  <si>
    <t>مبخرة</t>
  </si>
  <si>
    <t>000/84</t>
  </si>
  <si>
    <t>لوحة مكتبية</t>
  </si>
  <si>
    <t>wx10</t>
  </si>
  <si>
    <t>المالك</t>
  </si>
  <si>
    <t xml:space="preserve">23 قطعة اكرلك </t>
  </si>
  <si>
    <t>000/75</t>
  </si>
  <si>
    <t>000/64</t>
  </si>
  <si>
    <t>مكتبيه</t>
  </si>
  <si>
    <t>000/82</t>
  </si>
  <si>
    <t>علامات دلالة</t>
  </si>
  <si>
    <t>000/83</t>
  </si>
  <si>
    <t>لوغو كوزمتك</t>
  </si>
  <si>
    <t>wx11</t>
  </si>
  <si>
    <t>ديون</t>
  </si>
  <si>
    <t>شريط ورد</t>
  </si>
  <si>
    <t>wx12</t>
  </si>
  <si>
    <t>حلقات اكريليك ذهبي</t>
  </si>
  <si>
    <t>000/66</t>
  </si>
  <si>
    <t>مبخرة مع علبة بخور</t>
  </si>
  <si>
    <t>000/65</t>
  </si>
  <si>
    <t>فوم جداري</t>
  </si>
  <si>
    <t>000/69</t>
  </si>
  <si>
    <t>بوكس مهر</t>
  </si>
  <si>
    <t>wx13</t>
  </si>
  <si>
    <t xml:space="preserve">اعلان </t>
  </si>
  <si>
    <t>000/68</t>
  </si>
  <si>
    <t>جزئي</t>
  </si>
  <si>
    <t>احرف علب بخور</t>
  </si>
  <si>
    <t>000/76</t>
  </si>
  <si>
    <t>بوكس فلوس</t>
  </si>
  <si>
    <t>اسماء كوشه</t>
  </si>
  <si>
    <t>000/72</t>
  </si>
  <si>
    <t>4 بوكسات</t>
  </si>
  <si>
    <t>000/71</t>
  </si>
  <si>
    <t>بوكس فارغ</t>
  </si>
  <si>
    <t>000/59</t>
  </si>
  <si>
    <t>اعلان cnc</t>
  </si>
  <si>
    <t>000/60</t>
  </si>
  <si>
    <t>كوبون cnc</t>
  </si>
  <si>
    <t>wx14</t>
  </si>
  <si>
    <t>حسن ورباب اكريليك مع بورد اسماء</t>
  </si>
  <si>
    <t>بوكس قران</t>
  </si>
  <si>
    <t>مبخرة + علبة بخور</t>
  </si>
  <si>
    <t>000/74</t>
  </si>
  <si>
    <t>عبارة اكريلك</t>
  </si>
  <si>
    <t>000/77</t>
  </si>
  <si>
    <t>بورد تغليف قذيفة مع اسماء عدد 3</t>
  </si>
  <si>
    <t>000/78</t>
  </si>
  <si>
    <t>كتابة اكرلك</t>
  </si>
  <si>
    <t xml:space="preserve">مبخرة علبة بخور قاعدة </t>
  </si>
  <si>
    <t>علبة مسكه</t>
  </si>
  <si>
    <t>مبخره</t>
  </si>
  <si>
    <t>wx15</t>
  </si>
  <si>
    <t>طبع قماش</t>
  </si>
  <si>
    <t>000/80</t>
  </si>
  <si>
    <t>دفتر تخرج</t>
  </si>
  <si>
    <t>000/73</t>
  </si>
  <si>
    <t>مقدمة حلويات</t>
  </si>
  <si>
    <t>قماش طبع</t>
  </si>
  <si>
    <t>000/61</t>
  </si>
  <si>
    <t>000/1</t>
  </si>
  <si>
    <t>اسماء مكتبية عدد 2</t>
  </si>
  <si>
    <t>000/3</t>
  </si>
  <si>
    <t>ديكور MDF</t>
  </si>
  <si>
    <t>عقارات مريومة</t>
  </si>
  <si>
    <t>00/1</t>
  </si>
  <si>
    <t>زخرفة عجواني</t>
  </si>
  <si>
    <t>000/66-67</t>
  </si>
  <si>
    <t>خلفية جبس عربي</t>
  </si>
  <si>
    <t>000/70</t>
  </si>
  <si>
    <t>وائل الخطاط</t>
  </si>
  <si>
    <t>000/58</t>
  </si>
  <si>
    <t>درع حسب الطلب</t>
  </si>
  <si>
    <t>فلكس طبع</t>
  </si>
  <si>
    <t>wx16</t>
  </si>
  <si>
    <t>000/87</t>
  </si>
  <si>
    <t>مبخرة+علبة بخور</t>
  </si>
  <si>
    <t>00/85</t>
  </si>
  <si>
    <t>ظروف حجم A3</t>
  </si>
  <si>
    <t>wx17</t>
  </si>
  <si>
    <t>بورد بصمات + تعلاقات كلاصات</t>
  </si>
  <si>
    <t>000/81</t>
  </si>
  <si>
    <t>اسم فوم</t>
  </si>
  <si>
    <t>wx18</t>
  </si>
  <si>
    <t>بورد ايباد</t>
  </si>
  <si>
    <t xml:space="preserve">بورد حفر </t>
  </si>
  <si>
    <t>000/88</t>
  </si>
  <si>
    <t>wx19</t>
  </si>
  <si>
    <t>اكريليك فضي</t>
  </si>
  <si>
    <t>000/89</t>
  </si>
  <si>
    <t>رشيد</t>
  </si>
  <si>
    <t>مسكة اكريليك</t>
  </si>
  <si>
    <t>000/90</t>
  </si>
  <si>
    <t>حروف اكريليك</t>
  </si>
  <si>
    <t>علبة بخور+ قاعدة</t>
  </si>
  <si>
    <t>بورد اكرلك</t>
  </si>
  <si>
    <t>رسالة العمر</t>
  </si>
  <si>
    <t>اعلان داخلي</t>
  </si>
  <si>
    <t>بورد توقيع</t>
  </si>
  <si>
    <t>اسماء منضدي</t>
  </si>
  <si>
    <t>قران</t>
  </si>
  <si>
    <t>000/91</t>
  </si>
  <si>
    <t>wx20</t>
  </si>
  <si>
    <t>تعلاقة</t>
  </si>
  <si>
    <t>wx21</t>
  </si>
  <si>
    <t>تعلاقة مسكات</t>
  </si>
  <si>
    <t>صيانة اعلان</t>
  </si>
  <si>
    <t>اعلان الفهد</t>
  </si>
  <si>
    <t>000/97</t>
  </si>
  <si>
    <t xml:space="preserve">قاعدة ذهب </t>
  </si>
  <si>
    <t>000/92</t>
  </si>
  <si>
    <t>000/14</t>
  </si>
  <si>
    <t>بورد دفتري</t>
  </si>
  <si>
    <t>wx22</t>
  </si>
  <si>
    <t>000/99</t>
  </si>
  <si>
    <t>قلب خشب</t>
  </si>
  <si>
    <t>00/100</t>
  </si>
  <si>
    <t>اكريليك فضي لاصق</t>
  </si>
  <si>
    <t>000/95</t>
  </si>
  <si>
    <t>000/24</t>
  </si>
  <si>
    <t xml:space="preserve">مبخرة علبة بخور صينية </t>
  </si>
  <si>
    <t xml:space="preserve">بوكس حلقات   </t>
  </si>
  <si>
    <t>مبخرة علبة بخور بورد بصمات</t>
  </si>
  <si>
    <t xml:space="preserve">بوكس مهر </t>
  </si>
  <si>
    <t>مبخرة علبة بخور</t>
  </si>
  <si>
    <t>قماش طبع عدد3</t>
  </si>
  <si>
    <t>ستيكرات</t>
  </si>
  <si>
    <t>بوكس جاهز</t>
  </si>
  <si>
    <t>wx23</t>
  </si>
  <si>
    <t>طاولة لف</t>
  </si>
  <si>
    <t>000/16</t>
  </si>
  <si>
    <t>ورقيات</t>
  </si>
  <si>
    <t>wx24</t>
  </si>
  <si>
    <t>خلفيات عدد 2</t>
  </si>
  <si>
    <t>000/18</t>
  </si>
  <si>
    <t>كتابة اكرليك</t>
  </si>
  <si>
    <t>000/19</t>
  </si>
  <si>
    <t>طاولات عدد 3 لف مع تصليح</t>
  </si>
  <si>
    <t>wx25</t>
  </si>
  <si>
    <t>خلفية ستاندات</t>
  </si>
  <si>
    <t>بورد اكريليك+ورقيات</t>
  </si>
  <si>
    <t>000/26</t>
  </si>
  <si>
    <t xml:space="preserve">وثيقة تخرج </t>
  </si>
  <si>
    <t>000/20</t>
  </si>
  <si>
    <t>اكرلك فضي لاصق</t>
  </si>
  <si>
    <t>wx26</t>
  </si>
  <si>
    <t>مسكة اكريليك A.4</t>
  </si>
  <si>
    <t>wx27</t>
  </si>
  <si>
    <t>000/23</t>
  </si>
  <si>
    <t>بوكس فوم عدد4</t>
  </si>
  <si>
    <t>000/36</t>
  </si>
  <si>
    <t>وثيقة اكرليك</t>
  </si>
  <si>
    <t>000/33</t>
  </si>
  <si>
    <t>101/102</t>
  </si>
  <si>
    <t>سيف</t>
  </si>
  <si>
    <t xml:space="preserve">نعيم السراي / عن حلقات اكرلك مع نصف دوائر </t>
  </si>
  <si>
    <t xml:space="preserve">تصميم وطباعة ستكرات </t>
  </si>
  <si>
    <t>000/30</t>
  </si>
  <si>
    <t>بورد اكريليك منقوش</t>
  </si>
  <si>
    <t>wx28</t>
  </si>
  <si>
    <t>ذذذذ</t>
  </si>
  <si>
    <t>000/31</t>
  </si>
  <si>
    <t>اكرلك شفاف</t>
  </si>
  <si>
    <t>000/37</t>
  </si>
  <si>
    <t xml:space="preserve">مبخرة وعلبة بخور </t>
  </si>
  <si>
    <t xml:space="preserve">بوكس ماستر كارد </t>
  </si>
  <si>
    <t>000/34</t>
  </si>
  <si>
    <t>وليد</t>
  </si>
  <si>
    <t>وصل مطعم</t>
  </si>
  <si>
    <t>000/39</t>
  </si>
  <si>
    <t xml:space="preserve">مبخرة   </t>
  </si>
  <si>
    <t>wx29</t>
  </si>
  <si>
    <t>قاعدة بورد</t>
  </si>
  <si>
    <t>0/152</t>
  </si>
  <si>
    <t>اعلان المحامي</t>
  </si>
  <si>
    <t>0/153</t>
  </si>
  <si>
    <t>لوغو اسنان</t>
  </si>
  <si>
    <t>3 بوكسات ذهب</t>
  </si>
  <si>
    <t>000/38</t>
  </si>
  <si>
    <t>خشب</t>
  </si>
  <si>
    <t>000/43</t>
  </si>
  <si>
    <t>بورد استقبال</t>
  </si>
  <si>
    <t>wx30</t>
  </si>
  <si>
    <t>جلد</t>
  </si>
  <si>
    <t>000/49</t>
  </si>
  <si>
    <t>مبخرة و علبة بخور</t>
  </si>
  <si>
    <t>wx31</t>
  </si>
  <si>
    <t>صينية مهر</t>
  </si>
  <si>
    <t>000/47</t>
  </si>
  <si>
    <t>اكريليك منضدي</t>
  </si>
  <si>
    <t>طبع قماش عدد6</t>
  </si>
  <si>
    <t>000/48</t>
  </si>
  <si>
    <t>شريط طبع</t>
  </si>
  <si>
    <t>wx32</t>
  </si>
  <si>
    <t>000/50</t>
  </si>
  <si>
    <t>.58.0▬</t>
  </si>
  <si>
    <t>wx33</t>
  </si>
  <si>
    <t xml:space="preserve">اكرليك ذهبي </t>
  </si>
  <si>
    <t>شريط2</t>
  </si>
  <si>
    <t xml:space="preserve">خلفيات 2 مع كوشة تغليف قماش رصاصي مع صواني </t>
  </si>
  <si>
    <t>عالم الامريكي</t>
  </si>
  <si>
    <t>مبخرة اكرلك جلد جوزي</t>
  </si>
  <si>
    <t xml:space="preserve">كشوفات حساب شمس البصرة </t>
  </si>
  <si>
    <t>شمس البصرة 2024</t>
  </si>
  <si>
    <t xml:space="preserve">بوكس حلقات </t>
  </si>
  <si>
    <t>بوكس ساعات</t>
  </si>
  <si>
    <t>طبق ورق</t>
  </si>
  <si>
    <t>000/156</t>
  </si>
  <si>
    <t>اتقان للبناء</t>
  </si>
  <si>
    <t>0/159</t>
  </si>
  <si>
    <t>شركة نقل</t>
  </si>
  <si>
    <t>ستاند اكرلك</t>
  </si>
  <si>
    <t xml:space="preserve">بوكس بدلة </t>
  </si>
  <si>
    <t xml:space="preserve">صينية ع2 </t>
  </si>
  <si>
    <t>wx35</t>
  </si>
  <si>
    <t xml:space="preserve">حنان دين قديم </t>
  </si>
  <si>
    <t>wx36</t>
  </si>
  <si>
    <t>تصفية حسابات  اسماء</t>
  </si>
  <si>
    <t>بورد تغليف</t>
  </si>
  <si>
    <t>يوكس مهر</t>
  </si>
  <si>
    <t>wx157</t>
  </si>
  <si>
    <t>شريط مع كروت معايدة</t>
  </si>
  <si>
    <t>بوكس بدلة</t>
  </si>
  <si>
    <t>000/158</t>
  </si>
  <si>
    <t>بوتيك هافان</t>
  </si>
  <si>
    <t>مبخرة و علبية بخور</t>
  </si>
  <si>
    <t>صينية فوم تغليف</t>
  </si>
  <si>
    <t>للهواتف النقالة فقط</t>
  </si>
  <si>
    <t>000/157</t>
  </si>
  <si>
    <t>مكتب خدمات المهندس</t>
  </si>
  <si>
    <t>0/162</t>
  </si>
  <si>
    <t>محمد سلام</t>
  </si>
  <si>
    <t>wx37</t>
  </si>
  <si>
    <t>صينية اكريلك</t>
  </si>
  <si>
    <t>بورد فوم</t>
  </si>
  <si>
    <t xml:space="preserve">حروف اكرلك </t>
  </si>
  <si>
    <t>00/30</t>
  </si>
  <si>
    <t>عربة جديدة</t>
  </si>
  <si>
    <t>wx42</t>
  </si>
  <si>
    <t>بطاقات ضيافة</t>
  </si>
  <si>
    <t>wx43</t>
  </si>
  <si>
    <t>بورد جلد</t>
  </si>
  <si>
    <t xml:space="preserve">سيد محمد الامل </t>
  </si>
  <si>
    <t xml:space="preserve">ضروف </t>
  </si>
  <si>
    <t>غلا ف  مجلة</t>
  </si>
  <si>
    <t>قص سي ان سي شركة السراج</t>
  </si>
  <si>
    <t>بروشات شهيد</t>
  </si>
  <si>
    <t>حروف اكرلك</t>
  </si>
  <si>
    <t>حروف اكرلك  MA</t>
  </si>
  <si>
    <t>قماش حروث</t>
  </si>
  <si>
    <t>wx44</t>
  </si>
  <si>
    <t>تعلاقة مي</t>
  </si>
  <si>
    <t xml:space="preserve">مهدي الموسوي </t>
  </si>
  <si>
    <t xml:space="preserve">بوكس حلقات مع قاعدة </t>
  </si>
  <si>
    <t>علبة حلقات</t>
  </si>
  <si>
    <t>wx45</t>
  </si>
  <si>
    <t>بروشات</t>
  </si>
  <si>
    <t>عبارة اكرلك قالب خشب</t>
  </si>
  <si>
    <t xml:space="preserve">بوكسات - تعلاقة مي </t>
  </si>
  <si>
    <t>احلرف كوشة</t>
  </si>
  <si>
    <t>مبخرة علبة يخور</t>
  </si>
  <si>
    <t>ورق</t>
  </si>
  <si>
    <t>wx46</t>
  </si>
  <si>
    <t>243.</t>
  </si>
  <si>
    <t>كوشة</t>
  </si>
  <si>
    <t>wx47</t>
  </si>
  <si>
    <t xml:space="preserve">مبخرة علبة بخور </t>
  </si>
  <si>
    <t>علبة بخور</t>
  </si>
  <si>
    <t>علبة عطور</t>
  </si>
  <si>
    <t xml:space="preserve">عيادة جانيت بخصوص اعلانات متفرقة </t>
  </si>
  <si>
    <t>علي اسطنبول / مطبعة جوهرة الجوادين</t>
  </si>
  <si>
    <t xml:space="preserve">بوكس ذهب </t>
  </si>
  <si>
    <t xml:space="preserve">بوردج بصمات </t>
  </si>
  <si>
    <t>قاعدة حلقات</t>
  </si>
  <si>
    <t>قاعدة اساور</t>
  </si>
  <si>
    <t>ملكانة</t>
  </si>
  <si>
    <t>wx48</t>
  </si>
  <si>
    <t>wx49</t>
  </si>
  <si>
    <t>هاشتاك تخرج</t>
  </si>
  <si>
    <t>000/8</t>
  </si>
  <si>
    <t>احرف اكريلك + بورد</t>
  </si>
  <si>
    <t>00/10</t>
  </si>
  <si>
    <t>00/12</t>
  </si>
  <si>
    <t>شريط قماش</t>
  </si>
  <si>
    <t>صينية</t>
  </si>
  <si>
    <t>000/7</t>
  </si>
  <si>
    <t>مقدمة فوم +ورقيات طبع</t>
  </si>
  <si>
    <t>00/11</t>
  </si>
  <si>
    <t>بوكس فلوس اكرلك</t>
  </si>
  <si>
    <t>wx50</t>
  </si>
  <si>
    <t>لوحة رمضانية</t>
  </si>
  <si>
    <t xml:space="preserve">علبة بخور وصينية </t>
  </si>
  <si>
    <t xml:space="preserve">صينية فوم </t>
  </si>
  <si>
    <t>000/9</t>
  </si>
  <si>
    <t>فاطمة محسن</t>
  </si>
  <si>
    <t>بورد تخرج</t>
  </si>
  <si>
    <t>wx51</t>
  </si>
  <si>
    <t>مكتبية</t>
  </si>
  <si>
    <t>wx52</t>
  </si>
  <si>
    <t>wx53</t>
  </si>
  <si>
    <t>wx54</t>
  </si>
  <si>
    <t xml:space="preserve">هلال </t>
  </si>
  <si>
    <t>wx55</t>
  </si>
  <si>
    <t>بطائق دعوة</t>
  </si>
  <si>
    <t>wx56</t>
  </si>
  <si>
    <t>اكرلك ذهبي</t>
  </si>
  <si>
    <t>بطاقة دعوة</t>
  </si>
  <si>
    <t>0/167</t>
  </si>
  <si>
    <t>اشرف</t>
  </si>
  <si>
    <t>عادل المياحي / بوكس ضوئي</t>
  </si>
  <si>
    <t>00/17</t>
  </si>
  <si>
    <t>فاطمة</t>
  </si>
  <si>
    <t>صينية اكرلك</t>
  </si>
  <si>
    <t>صينية اكرلك احرف اكرلك فضي</t>
  </si>
  <si>
    <t>0/166</t>
  </si>
  <si>
    <t>عبد الله جانيت</t>
  </si>
  <si>
    <t>wx57</t>
  </si>
  <si>
    <t>اكرلك</t>
  </si>
  <si>
    <t>wx58</t>
  </si>
  <si>
    <t>wx59</t>
  </si>
  <si>
    <t>تعلاكة اركيلة</t>
  </si>
  <si>
    <t>wx60</t>
  </si>
  <si>
    <t>ارقام طاولات</t>
  </si>
  <si>
    <t>wx61</t>
  </si>
  <si>
    <t>منيو</t>
  </si>
  <si>
    <t>wx62</t>
  </si>
  <si>
    <t>wx63</t>
  </si>
  <si>
    <t>wx64</t>
  </si>
  <si>
    <t>مقدمة تمر</t>
  </si>
  <si>
    <t>wx65</t>
  </si>
  <si>
    <t>مقدمة رمضانية</t>
  </si>
  <si>
    <t>wx66</t>
  </si>
  <si>
    <t>اكرلك بوكس</t>
  </si>
  <si>
    <t>00/16</t>
  </si>
  <si>
    <t>احرف اكرلك فضي</t>
  </si>
  <si>
    <t>اعلام طبع</t>
  </si>
  <si>
    <t>cnc جانيت</t>
  </si>
  <si>
    <t>wx67</t>
  </si>
  <si>
    <t>هلال</t>
  </si>
  <si>
    <t>00/19</t>
  </si>
  <si>
    <t>امساكيات</t>
  </si>
  <si>
    <t>wx70</t>
  </si>
  <si>
    <t>طبع ورق</t>
  </si>
  <si>
    <t>00/18</t>
  </si>
  <si>
    <t>رمضانيات</t>
  </si>
  <si>
    <t>طاولة</t>
  </si>
  <si>
    <t>wx68</t>
  </si>
  <si>
    <t>ركن رمضاني</t>
  </si>
  <si>
    <t>wx69</t>
  </si>
  <si>
    <t>جوامع</t>
  </si>
  <si>
    <t>هلالات</t>
  </si>
  <si>
    <t>wx71</t>
  </si>
  <si>
    <t>خلفية طاولات</t>
  </si>
  <si>
    <t>wx72</t>
  </si>
  <si>
    <t>طاولات</t>
  </si>
  <si>
    <t>00/22</t>
  </si>
  <si>
    <t>00/37</t>
  </si>
  <si>
    <t>00/21</t>
  </si>
  <si>
    <t>لوكو اكرلك</t>
  </si>
  <si>
    <t xml:space="preserve">خلفية كورتادو </t>
  </si>
  <si>
    <t>بنت القاضي</t>
  </si>
  <si>
    <t>مقدمة</t>
  </si>
  <si>
    <t>عبد الرضا</t>
  </si>
  <si>
    <t>دكتور احمد / اعلان جانبي</t>
  </si>
  <si>
    <t>ستيكر جانيت</t>
  </si>
  <si>
    <t xml:space="preserve">جانيت رول اب </t>
  </si>
  <si>
    <t>wx74</t>
  </si>
  <si>
    <t xml:space="preserve">حساب راجع من عربون شاشات ليان </t>
  </si>
  <si>
    <t>wx75</t>
  </si>
  <si>
    <t xml:space="preserve">اطار اكرلك ذهبي </t>
  </si>
  <si>
    <t>00/23</t>
  </si>
  <si>
    <t>بورد اكريلك + اكريلك ذهبي</t>
  </si>
  <si>
    <t>كلمة رمضان</t>
  </si>
  <si>
    <t xml:space="preserve">مبخرة </t>
  </si>
  <si>
    <t>مبخرة هلال</t>
  </si>
  <si>
    <t xml:space="preserve">صينية </t>
  </si>
  <si>
    <t>ديكور رمضاني</t>
  </si>
  <si>
    <t>تعلاقات</t>
  </si>
  <si>
    <t>00/20</t>
  </si>
  <si>
    <t>جامع</t>
  </si>
  <si>
    <t>بورد منضدري</t>
  </si>
  <si>
    <t>روزناما</t>
  </si>
  <si>
    <t>اعلان ميتشي</t>
  </si>
  <si>
    <t>00/28</t>
  </si>
  <si>
    <t>عبارة اكريلك ذهبي</t>
  </si>
  <si>
    <t>00/38</t>
  </si>
  <si>
    <t xml:space="preserve">بورد منضدي </t>
  </si>
  <si>
    <t>00/25</t>
  </si>
  <si>
    <t>wx76</t>
  </si>
  <si>
    <t xml:space="preserve">ياسر اوكسجين </t>
  </si>
  <si>
    <t xml:space="preserve">بوتيك هافان </t>
  </si>
  <si>
    <t xml:space="preserve">مبارك عليكم الشهر </t>
  </si>
  <si>
    <t xml:space="preserve"> صينية </t>
  </si>
  <si>
    <t>00/24</t>
  </si>
  <si>
    <t>00/27</t>
  </si>
  <si>
    <t>00/39</t>
  </si>
  <si>
    <t>صينية تغليف</t>
  </si>
  <si>
    <t>ديكور  رمضاني</t>
  </si>
  <si>
    <t>wx77</t>
  </si>
  <si>
    <t>wx78</t>
  </si>
  <si>
    <t>wx79</t>
  </si>
  <si>
    <t>wx80</t>
  </si>
  <si>
    <t>00/32</t>
  </si>
  <si>
    <t>wx82</t>
  </si>
  <si>
    <t>خلفية</t>
  </si>
  <si>
    <t>wx83</t>
  </si>
  <si>
    <t>منضدي</t>
  </si>
  <si>
    <t>wx84</t>
  </si>
  <si>
    <t>بورد طبع</t>
  </si>
  <si>
    <t>wx85</t>
  </si>
  <si>
    <t>wx86</t>
  </si>
  <si>
    <t>wx87</t>
  </si>
  <si>
    <t>wx88</t>
  </si>
  <si>
    <t>00/36</t>
  </si>
  <si>
    <t>wx90</t>
  </si>
  <si>
    <t>هلال منضدي</t>
  </si>
  <si>
    <t>نجوم + هلالات + ملاعق</t>
  </si>
  <si>
    <t>حواشيك</t>
  </si>
  <si>
    <t>wx93</t>
  </si>
  <si>
    <t>هلال و نجمة</t>
  </si>
  <si>
    <t>wx94</t>
  </si>
  <si>
    <t>wx95</t>
  </si>
  <si>
    <t>دانة برايد</t>
  </si>
  <si>
    <t>علي الكناني مطبوعات ورقية</t>
  </si>
  <si>
    <t>قماش  طبع</t>
  </si>
  <si>
    <t>wx96</t>
  </si>
  <si>
    <t xml:space="preserve">ديكور رمضاني + لوكو فوم اكرلك  + اعلان </t>
  </si>
  <si>
    <t>wx98</t>
  </si>
  <si>
    <t>ساعات</t>
  </si>
  <si>
    <t>مجسم</t>
  </si>
  <si>
    <t>مقدمة رمضان كريم</t>
  </si>
  <si>
    <t>هلال + نجمه</t>
  </si>
  <si>
    <t>wx99</t>
  </si>
  <si>
    <t>بوردات بيتزا مطعم كنزا</t>
  </si>
  <si>
    <t>بوردات طبع</t>
  </si>
  <si>
    <t>مقدمة سوار</t>
  </si>
  <si>
    <t>wx100</t>
  </si>
  <si>
    <t>wx101</t>
  </si>
  <si>
    <t>اجرة نقل الكوشه</t>
  </si>
  <si>
    <t>wx102</t>
  </si>
  <si>
    <t>هلال + فانوس</t>
  </si>
  <si>
    <t>عباس توصيل</t>
  </si>
  <si>
    <t>wx104</t>
  </si>
  <si>
    <t>wx105</t>
  </si>
  <si>
    <t>بوكس بدلة صغير</t>
  </si>
  <si>
    <t>wx106</t>
  </si>
  <si>
    <t>wx107</t>
  </si>
  <si>
    <t>بورد خطوبة</t>
  </si>
  <si>
    <t>مبخرة + علبة</t>
  </si>
  <si>
    <t>منارة</t>
  </si>
  <si>
    <t>بورد طبع uv</t>
  </si>
  <si>
    <t>00/40</t>
  </si>
  <si>
    <t>خلفية توزيعات</t>
  </si>
  <si>
    <t>بورد ىايباد</t>
  </si>
  <si>
    <t>wx108</t>
  </si>
  <si>
    <t>wx109</t>
  </si>
  <si>
    <t>3 بحوث طبع</t>
  </si>
  <si>
    <t>بوكس ذهبب</t>
  </si>
  <si>
    <t>00/41</t>
  </si>
  <si>
    <t>حوض اكرلك</t>
  </si>
  <si>
    <t>00/42</t>
  </si>
  <si>
    <t>00/43</t>
  </si>
  <si>
    <t>wx103</t>
  </si>
  <si>
    <t>wx110</t>
  </si>
  <si>
    <t>wx111</t>
  </si>
  <si>
    <t>بوكس حلقات + قاعدة</t>
  </si>
  <si>
    <t>wx112</t>
  </si>
  <si>
    <t>كلمة قبلت</t>
  </si>
  <si>
    <t>wx113</t>
  </si>
  <si>
    <t>قماش حلقات</t>
  </si>
  <si>
    <t>wx114</t>
  </si>
  <si>
    <t>00/46</t>
  </si>
  <si>
    <t>خلفية كوشه</t>
  </si>
  <si>
    <t>قاعدة مبخرة</t>
  </si>
  <si>
    <t>بوردات اكرلك</t>
  </si>
  <si>
    <t>wx115</t>
  </si>
  <si>
    <t>لافتة عدد 5 لمتنة رمضانية</t>
  </si>
  <si>
    <t>00/44</t>
  </si>
  <si>
    <t>توزيعات</t>
  </si>
  <si>
    <t>wx116</t>
  </si>
  <si>
    <t>اكرلك فضي</t>
  </si>
  <si>
    <t>wx117</t>
  </si>
  <si>
    <t>wx118</t>
  </si>
  <si>
    <t>wx119</t>
  </si>
  <si>
    <t>قاعدة مبخرة و علبة بخور</t>
  </si>
  <si>
    <t>صينية + قران + مقدمة</t>
  </si>
  <si>
    <t>رسائل العمر</t>
  </si>
  <si>
    <t>wx120</t>
  </si>
  <si>
    <t>هاجتاك عدد 2 تخرج</t>
  </si>
  <si>
    <t>عبارة اكرلك</t>
  </si>
  <si>
    <t>بوكس اكرلك</t>
  </si>
  <si>
    <t>بوكسات بدلة</t>
  </si>
  <si>
    <t>wx121</t>
  </si>
  <si>
    <t>wx122</t>
  </si>
  <si>
    <t>قاعدة ورد</t>
  </si>
  <si>
    <t>wx123</t>
  </si>
  <si>
    <t>اكرلك رمضان كريم</t>
  </si>
  <si>
    <t>wx124</t>
  </si>
  <si>
    <t>wx125</t>
  </si>
  <si>
    <t xml:space="preserve">اعلان ضوئي العامري للاسماك </t>
  </si>
  <si>
    <t>شركة المستقبل</t>
  </si>
  <si>
    <t xml:space="preserve">ريتاج توب </t>
  </si>
  <si>
    <t>مون لاين ( الكهربائيين )</t>
  </si>
  <si>
    <t xml:space="preserve">بلودرات </t>
  </si>
  <si>
    <t>بورد خشب</t>
  </si>
  <si>
    <t>ستيكر</t>
  </si>
  <si>
    <t>اكلرلك</t>
  </si>
  <si>
    <t>ضروف عيد</t>
  </si>
  <si>
    <t>بوكس مهر + بورد بصمات</t>
  </si>
  <si>
    <t>اكرلك شفاف 2</t>
  </si>
  <si>
    <t>بوكس جلد ابيض</t>
  </si>
  <si>
    <t>wx126</t>
  </si>
  <si>
    <t>ورق جداري</t>
  </si>
  <si>
    <t>بورد اكرلك مطلبعة باء</t>
  </si>
  <si>
    <t>wx127</t>
  </si>
  <si>
    <t>نحت اقلام</t>
  </si>
  <si>
    <t>اعلان ضوئي من الالمنيوم  ( الدوغجي )</t>
  </si>
  <si>
    <t xml:space="preserve">طبع ورق </t>
  </si>
  <si>
    <t>ستاند رول</t>
  </si>
  <si>
    <t>خلفية طبع</t>
  </si>
  <si>
    <t>بورد</t>
  </si>
  <si>
    <t>عادل علوان ( بهارات العافية )</t>
  </si>
  <si>
    <t>wx128</t>
  </si>
  <si>
    <t>ملزمة  طبع 195 ورقه</t>
  </si>
  <si>
    <t>اعلان ابو حيدر بوكس ضوئي</t>
  </si>
  <si>
    <t xml:space="preserve">بوكس ساعات </t>
  </si>
  <si>
    <t>ميز دزدة</t>
  </si>
  <si>
    <t>احرف اكرلك</t>
  </si>
  <si>
    <t>اكرلك شفاف2</t>
  </si>
  <si>
    <t>محبرة</t>
  </si>
  <si>
    <t>بورد عيد</t>
  </si>
  <si>
    <t>اعلان قياس 4 م  ( حسينية اقمار اهل البيت ع )</t>
  </si>
  <si>
    <t>طبع فلكسات</t>
  </si>
  <si>
    <t>اقمشة</t>
  </si>
  <si>
    <t>wx131</t>
  </si>
  <si>
    <t>wx132</t>
  </si>
  <si>
    <t>بوكس مهر + بوكس ساعات</t>
  </si>
  <si>
    <t>بوكس مهر 2 و بوكس فلوس</t>
  </si>
  <si>
    <t xml:space="preserve">حساب مهدي فاصلتة </t>
  </si>
  <si>
    <t>wx133</t>
  </si>
  <si>
    <t>لوحه ضوئية قياس 60 * 40</t>
  </si>
  <si>
    <t>بورد بصمات \ مبخرة</t>
  </si>
  <si>
    <t>مبخرة \ علبة بخور</t>
  </si>
  <si>
    <t>سيت مهر كامل</t>
  </si>
  <si>
    <t>العقار للبيع</t>
  </si>
  <si>
    <t>علامة دالة</t>
  </si>
  <si>
    <t>وقة تهنئة</t>
  </si>
  <si>
    <t>الدار للايجار</t>
  </si>
  <si>
    <t>بوكس هدية</t>
  </si>
  <si>
    <t>احرف فوم</t>
  </si>
  <si>
    <t>مبخرة \ بوكس حلقات</t>
  </si>
  <si>
    <t>wx97</t>
  </si>
  <si>
    <t>ديكور داخلي قاعة فيولا المدينة</t>
  </si>
  <si>
    <t>فليكس + فريم عدد 3</t>
  </si>
  <si>
    <t xml:space="preserve">اكلك ذهبي عدد 3 </t>
  </si>
  <si>
    <t>ستيكر طبع</t>
  </si>
  <si>
    <t>بوستر عدد 3</t>
  </si>
  <si>
    <t>wx130</t>
  </si>
  <si>
    <t>نافورة مياه</t>
  </si>
  <si>
    <t>بلوتر</t>
  </si>
  <si>
    <t>wx135</t>
  </si>
  <si>
    <t>خلفية تصوير</t>
  </si>
  <si>
    <t>قطع اكرلك</t>
  </si>
  <si>
    <t>cnc 2.5 اعلان سي ان سي</t>
  </si>
  <si>
    <t>wx136</t>
  </si>
  <si>
    <t>بيع ورشه مباشر</t>
  </si>
  <si>
    <t>cnc مرطبات بالبيري</t>
  </si>
  <si>
    <t>اعلان cnc | ابو حسين</t>
  </si>
  <si>
    <t>طبع بحث</t>
  </si>
  <si>
    <t>اكرلك لاصق</t>
  </si>
  <si>
    <t>بوكس بدلة عدد 4</t>
  </si>
  <si>
    <t>wx138</t>
  </si>
  <si>
    <t>استلام حساب من ارجاع الاحبار</t>
  </si>
  <si>
    <t xml:space="preserve">مجسم عدد 2 / بورد 120 سم * 180 سم </t>
  </si>
  <si>
    <t>wx139</t>
  </si>
  <si>
    <t>wx140</t>
  </si>
  <si>
    <t>بورد بدون بصمات</t>
  </si>
  <si>
    <t>اعلان شركة الارود</t>
  </si>
  <si>
    <t>اعلان الجزائر</t>
  </si>
  <si>
    <t>wx141</t>
  </si>
  <si>
    <t>راجع من حساب باسكت</t>
  </si>
  <si>
    <t>wx142</t>
  </si>
  <si>
    <t>بوكس حلقات عباس توصيل كراج</t>
  </si>
  <si>
    <t>صينية جلد</t>
  </si>
  <si>
    <t>wx134</t>
  </si>
  <si>
    <t>wx143</t>
  </si>
  <si>
    <t xml:space="preserve">مقدمة </t>
  </si>
  <si>
    <t>الشاطئ للمحامات</t>
  </si>
  <si>
    <t>شد اعلان</t>
  </si>
  <si>
    <t>لوكو + بورد</t>
  </si>
  <si>
    <t>قاعدة ذهب ورق طبع دعوة</t>
  </si>
  <si>
    <t>مداليات</t>
  </si>
  <si>
    <t>بوكس ذهب عدد 2</t>
  </si>
  <si>
    <t>wx144</t>
  </si>
  <si>
    <t>رول اب</t>
  </si>
  <si>
    <t>ستيكر 1م عدد 3</t>
  </si>
  <si>
    <t>اكلك ذهبي + 3 بوكس اكرلك</t>
  </si>
  <si>
    <t>نيون اشرف منتظر</t>
  </si>
  <si>
    <t>اكرلك شفاف 15*8</t>
  </si>
  <si>
    <t>مشروع تخرج ماكيت</t>
  </si>
  <si>
    <t>اعلان داخلي عيادة الصوان</t>
  </si>
  <si>
    <t>ستيكرات + بنرات + بلونر</t>
  </si>
  <si>
    <t>فلكس</t>
  </si>
  <si>
    <t>عيادة الصوان</t>
  </si>
  <si>
    <t>السراج للطباعة و الاعلان</t>
  </si>
  <si>
    <t>wx145</t>
  </si>
  <si>
    <t>جلد اختام</t>
  </si>
  <si>
    <t>wx148</t>
  </si>
  <si>
    <t>wx149</t>
  </si>
  <si>
    <t>تسديد وليد الديون التي عليه</t>
  </si>
  <si>
    <t>wx150</t>
  </si>
  <si>
    <t>مصطفى بلدية مارثون</t>
  </si>
  <si>
    <t>wx151</t>
  </si>
  <si>
    <t>wx152</t>
  </si>
  <si>
    <t>علي اسطنبول</t>
  </si>
  <si>
    <t>المكتب الفاشل الي سوا حسن قاسم</t>
  </si>
  <si>
    <t>عقارات الفارس</t>
  </si>
  <si>
    <t>ستاند حلقات</t>
  </si>
  <si>
    <t>مبخرة + قاعدة</t>
  </si>
  <si>
    <t>wx155</t>
  </si>
  <si>
    <t>wx156</t>
  </si>
  <si>
    <t>ستاند حزام</t>
  </si>
  <si>
    <t>wx158</t>
  </si>
  <si>
    <t>لمسة</t>
  </si>
  <si>
    <t>wx159</t>
  </si>
  <si>
    <t xml:space="preserve">جلد </t>
  </si>
  <si>
    <t>محل عطور</t>
  </si>
  <si>
    <t>ركعة</t>
  </si>
  <si>
    <t>wx160</t>
  </si>
  <si>
    <t>Megatech</t>
  </si>
  <si>
    <t>wx164</t>
  </si>
  <si>
    <t>كورنر</t>
  </si>
  <si>
    <t>wx165</t>
  </si>
  <si>
    <t>مقدمة مع الكورنر</t>
  </si>
  <si>
    <t>محمد الفضيلي</t>
  </si>
  <si>
    <t>اعلان مؤيد العالمي للزنون</t>
  </si>
  <si>
    <t>مقدمات</t>
  </si>
  <si>
    <t>حلقات</t>
  </si>
  <si>
    <t>wx166</t>
  </si>
  <si>
    <t>بوكسات بدلة 2</t>
  </si>
  <si>
    <t>wx167</t>
  </si>
  <si>
    <t>فليكس</t>
  </si>
  <si>
    <t>wx168</t>
  </si>
  <si>
    <t>ابو حمودي السوري ستيكر طبع</t>
  </si>
  <si>
    <t>wx169</t>
  </si>
  <si>
    <t>wx170</t>
  </si>
  <si>
    <t>بيع مباشر</t>
  </si>
  <si>
    <t>wx171</t>
  </si>
  <si>
    <t>احواض اكرلك</t>
  </si>
  <si>
    <t>wx172</t>
  </si>
  <si>
    <t>كيدز كامب + اضاات</t>
  </si>
  <si>
    <t>wx173</t>
  </si>
  <si>
    <t>wx174</t>
  </si>
  <si>
    <t>3 بوكس</t>
  </si>
  <si>
    <t>wx175</t>
  </si>
  <si>
    <t>اعلان حور</t>
  </si>
  <si>
    <t>wx176</t>
  </si>
  <si>
    <t>wx177</t>
  </si>
  <si>
    <t>ديفان عباية</t>
  </si>
  <si>
    <t>wx178</t>
  </si>
  <si>
    <t>الركن الفرنسي</t>
  </si>
  <si>
    <t>wx180</t>
  </si>
  <si>
    <t>wx181</t>
  </si>
  <si>
    <t>wx182</t>
  </si>
  <si>
    <t>ملكانات</t>
  </si>
  <si>
    <t>wx183</t>
  </si>
  <si>
    <t>wx184</t>
  </si>
  <si>
    <t>اعلان فلكس</t>
  </si>
  <si>
    <t>wx185</t>
  </si>
  <si>
    <t>ريتاج</t>
  </si>
  <si>
    <t>شلمرجر slb</t>
  </si>
  <si>
    <t>wx186</t>
  </si>
  <si>
    <t>اعلان الالعاب</t>
  </si>
  <si>
    <t>wx187</t>
  </si>
  <si>
    <t>wx189</t>
  </si>
  <si>
    <t>نموذج ابو حمودي السوري</t>
  </si>
  <si>
    <t>wx190</t>
  </si>
  <si>
    <t>ورق طبع</t>
  </si>
  <si>
    <t>wx192</t>
  </si>
  <si>
    <t>wx193</t>
  </si>
  <si>
    <t>wx194</t>
  </si>
  <si>
    <t>wx195</t>
  </si>
  <si>
    <t>مقدمة كبيرة فقط</t>
  </si>
  <si>
    <t>مبخرة + علبة + قاعدة</t>
  </si>
  <si>
    <t>بوكس دهب</t>
  </si>
  <si>
    <t>ستاند عطور</t>
  </si>
  <si>
    <t>wx203</t>
  </si>
  <si>
    <t>ياسر اوكسجين</t>
  </si>
  <si>
    <t>wx197</t>
  </si>
  <si>
    <t xml:space="preserve">بورد   </t>
  </si>
  <si>
    <t>wx198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</si>
  <si>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ىىىىىىىى -- </t>
  </si>
  <si>
    <t>wx199</t>
  </si>
  <si>
    <t>wx200</t>
  </si>
  <si>
    <t>مقدمه</t>
  </si>
  <si>
    <t>wx201</t>
  </si>
  <si>
    <t>wx202</t>
  </si>
  <si>
    <t>ابو حمودي السوري</t>
  </si>
  <si>
    <t>wx206</t>
  </si>
  <si>
    <t>تسديد اشرف</t>
  </si>
  <si>
    <t xml:space="preserve">تنفيذ تصميم لوحة اغلانيه مرسله من مكتب الدار4 قطع السعر 800$ </t>
  </si>
  <si>
    <t>منيو +  بروشور</t>
  </si>
  <si>
    <t>wx212</t>
  </si>
  <si>
    <t>wx207</t>
  </si>
  <si>
    <t>wx208</t>
  </si>
  <si>
    <t>تعلاكة</t>
  </si>
  <si>
    <t>wx209</t>
  </si>
  <si>
    <t>طبع</t>
  </si>
  <si>
    <t>wx210</t>
  </si>
  <si>
    <t>عربة</t>
  </si>
  <si>
    <t>wx211</t>
  </si>
  <si>
    <t>قطع دلالة</t>
  </si>
  <si>
    <t>wx213</t>
  </si>
  <si>
    <t>wx214</t>
  </si>
  <si>
    <t>wx215</t>
  </si>
  <si>
    <t>اعلان حلا</t>
  </si>
  <si>
    <t>wx216</t>
  </si>
  <si>
    <t>wx217</t>
  </si>
  <si>
    <t>خلفية فوم</t>
  </si>
  <si>
    <t>wx218</t>
  </si>
  <si>
    <t>wx219</t>
  </si>
  <si>
    <t>وشاح</t>
  </si>
  <si>
    <t>wx220</t>
  </si>
  <si>
    <t>طباعة اكرلك</t>
  </si>
  <si>
    <t>wx221</t>
  </si>
  <si>
    <t>wx222</t>
  </si>
  <si>
    <t>نجمات اكرلك</t>
  </si>
  <si>
    <t>wx223</t>
  </si>
  <si>
    <t>لافتات تعريفية</t>
  </si>
  <si>
    <t>بوكس طفل</t>
  </si>
  <si>
    <t>wx226</t>
  </si>
  <si>
    <t>فلين ملطخ بمعجون</t>
  </si>
  <si>
    <t>wx227</t>
  </si>
  <si>
    <t>علامات دلاله . وليد . المعلمه</t>
  </si>
  <si>
    <t>wx233</t>
  </si>
  <si>
    <t>اعلان ورشة ابو علي</t>
  </si>
  <si>
    <t>wx234</t>
  </si>
  <si>
    <t>wx235</t>
  </si>
  <si>
    <t>wx241</t>
  </si>
  <si>
    <t>فلكس cnc</t>
  </si>
  <si>
    <t>wx248</t>
  </si>
  <si>
    <t>خصم</t>
  </si>
  <si>
    <t>اعلان ابو القيطان سيد داغر</t>
  </si>
  <si>
    <t>wx247</t>
  </si>
  <si>
    <t>اعلان محمد سلام</t>
  </si>
  <si>
    <t>wx250</t>
  </si>
  <si>
    <t>اعلان الدكتور نوار</t>
  </si>
  <si>
    <t>wx251</t>
  </si>
  <si>
    <t xml:space="preserve">اعلان مازن سنتر </t>
  </si>
  <si>
    <t>wx252</t>
  </si>
  <si>
    <t>دوائر فوم</t>
  </si>
  <si>
    <t>wx255</t>
  </si>
  <si>
    <t xml:space="preserve">العلان شعار بلدية البصرة + شعار محافظة البصرة </t>
  </si>
  <si>
    <t>wx258</t>
  </si>
  <si>
    <t>حيدر المحاسب</t>
  </si>
  <si>
    <t>جوازات تدريب عدد 50</t>
  </si>
  <si>
    <t>wx259</t>
  </si>
  <si>
    <t>اصلاح اعلان سعد جبار</t>
  </si>
  <si>
    <t>wx260</t>
  </si>
  <si>
    <t>اعلان بيبي كدس</t>
  </si>
  <si>
    <t xml:space="preserve">اعلان بالكوني </t>
  </si>
  <si>
    <t>wx265</t>
  </si>
  <si>
    <t>لصق ستيكر</t>
  </si>
  <si>
    <t>wx266</t>
  </si>
  <si>
    <t>صورة المرحومة</t>
  </si>
  <si>
    <t>كورنر حفلة</t>
  </si>
  <si>
    <t>تصليح كوشة</t>
  </si>
  <si>
    <t>عربانة فوم</t>
  </si>
  <si>
    <t>wx270</t>
  </si>
  <si>
    <t>سراج</t>
  </si>
  <si>
    <t>اجور تصليح اعلان لاب</t>
  </si>
  <si>
    <t>wx271</t>
  </si>
  <si>
    <t>wx273</t>
  </si>
  <si>
    <t>ياس</t>
  </si>
  <si>
    <t>wx274</t>
  </si>
  <si>
    <t xml:space="preserve">اجور تصليح اعلان </t>
  </si>
  <si>
    <t>wx276</t>
  </si>
  <si>
    <t>اعلان الكهربائي</t>
  </si>
  <si>
    <t>wx277</t>
  </si>
  <si>
    <t>حساب بطل الليزر الي خرب بسبب اهمال ثلة من الموضفين و الكادر الاداري من يوسف يعقوب</t>
  </si>
  <si>
    <t>اعلان مطبعة السراج</t>
  </si>
  <si>
    <t>wx278</t>
  </si>
  <si>
    <t>طبليات مصطفى السياب</t>
  </si>
  <si>
    <t>wx279</t>
  </si>
  <si>
    <t>اصلاح اعلاح</t>
  </si>
  <si>
    <t>wx280</t>
  </si>
  <si>
    <t>يوسف</t>
  </si>
  <si>
    <t>صندوق اكرلك بان بيري</t>
  </si>
  <si>
    <t>wx281</t>
  </si>
  <si>
    <t>wx282</t>
  </si>
  <si>
    <t>١</t>
  </si>
  <si>
    <t>wx283</t>
  </si>
  <si>
    <t>wx284</t>
  </si>
  <si>
    <t>صينية مهر + قران</t>
  </si>
  <si>
    <t>wx285</t>
  </si>
  <si>
    <t>wx286</t>
  </si>
  <si>
    <t>بورد اكرلك ٦٠*٥٠</t>
  </si>
  <si>
    <t>wx287</t>
  </si>
  <si>
    <t>حساب فليكس المدينة الرياضية علي مظلوم</t>
  </si>
  <si>
    <t xml:space="preserve"> </t>
  </si>
  <si>
    <t>wx288</t>
  </si>
  <si>
    <t>اعلان قصر الاسماك</t>
  </si>
  <si>
    <t>ميز بارامترك</t>
  </si>
  <si>
    <t>wx291</t>
  </si>
  <si>
    <t>قطع دلالة اكرلك</t>
  </si>
  <si>
    <t>wx289</t>
  </si>
  <si>
    <t>متبقي حساب YAS</t>
  </si>
  <si>
    <t>wx290</t>
  </si>
  <si>
    <t>صورة الحجية</t>
  </si>
  <si>
    <t>اعلان mk</t>
  </si>
  <si>
    <t>0/5</t>
  </si>
  <si>
    <t>واجهة بوردكس + اعلان</t>
  </si>
  <si>
    <t>wx294</t>
  </si>
  <si>
    <t>75 م طبع + 15م * / 1.5*2.5 + تركيب الانتخابات 300 صورة</t>
  </si>
  <si>
    <t>هاجتاك فوم + اكرلك عدد 2</t>
  </si>
  <si>
    <t>wx293</t>
  </si>
  <si>
    <t>بوث دعائي</t>
  </si>
  <si>
    <t>اعلان المهندس الميكانيكي</t>
  </si>
  <si>
    <t>اعلان بلدية البصرة و شعار المحافظة</t>
  </si>
  <si>
    <t>ستيكر hm</t>
  </si>
  <si>
    <t>اعلان ضوئي مقهى الديوان</t>
  </si>
  <si>
    <t>ستاندات عرض اكرلك A4+ / +3A</t>
  </si>
  <si>
    <t>ابو اللبلبي</t>
  </si>
  <si>
    <t>قطع اكرلك اسود</t>
  </si>
  <si>
    <t>بوكس لمسه</t>
  </si>
  <si>
    <t>wx299</t>
  </si>
  <si>
    <t>wx300</t>
  </si>
  <si>
    <t>متبقي دين عبد الرضا</t>
  </si>
  <si>
    <t>wx301</t>
  </si>
  <si>
    <t>بوكس قران + بورد بصمات</t>
  </si>
  <si>
    <t>wx302</t>
  </si>
  <si>
    <t>طفل الحليب</t>
  </si>
  <si>
    <t>wx303</t>
  </si>
  <si>
    <t>لدائن</t>
  </si>
  <si>
    <t>wx304</t>
  </si>
  <si>
    <t>wx306</t>
  </si>
  <si>
    <t>عطور الكويتية</t>
  </si>
  <si>
    <t>المتبقي من دين  حيدر يافوز  من سلف تم سحبها من الورشة</t>
  </si>
  <si>
    <t>فايبر اكس</t>
  </si>
  <si>
    <t xml:space="preserve"> 1</t>
  </si>
  <si>
    <t>طلبية</t>
  </si>
  <si>
    <t xml:space="preserve">اعلانات بلدية البصرة لاستقبال عام 2026 </t>
  </si>
  <si>
    <t xml:space="preserve">اعلان رئاسة جامعة البصرة </t>
  </si>
  <si>
    <t>اعلان  مركز شمس</t>
  </si>
  <si>
    <t>تنفيذ تصميم بوث MG مع اللوكوات الانارة و المنصة و باقي التفاصيل</t>
  </si>
  <si>
    <t>الميز الرصاصي</t>
  </si>
  <si>
    <t>ماكيت معماري</t>
  </si>
  <si>
    <t>لوح الكوشة الخايس</t>
  </si>
  <si>
    <t>ميز خشب و مدري شنو يوسف مسوي</t>
  </si>
  <si>
    <t xml:space="preserve"> الكمية</t>
  </si>
  <si>
    <t>المستلم / المدفوع</t>
  </si>
  <si>
    <t>شراء</t>
  </si>
  <si>
    <t>محل جينكو</t>
  </si>
  <si>
    <t>جينكو</t>
  </si>
  <si>
    <t>7 || 1</t>
  </si>
  <si>
    <t>جرخ كوسرة</t>
  </si>
  <si>
    <t>6 || 2</t>
  </si>
  <si>
    <t>الخوره</t>
  </si>
  <si>
    <t>كلوروفوم</t>
  </si>
  <si>
    <t>1 || 3 || 1</t>
  </si>
  <si>
    <t>سيف عدنان</t>
  </si>
  <si>
    <t>لفة دبل</t>
  </si>
  <si>
    <t>1 || 1</t>
  </si>
  <si>
    <t>سرالج</t>
  </si>
  <si>
    <t>سلكون صوصج</t>
  </si>
  <si>
    <t>بيع</t>
  </si>
  <si>
    <t>احرف لدائن</t>
  </si>
  <si>
    <t>عارضة عطور فوم علاى شكل مدرج</t>
  </si>
  <si>
    <t>معرض الابرار</t>
  </si>
  <si>
    <t>بلاستك برتقالي  بلاستك بنفسجي لد شمسي</t>
  </si>
  <si>
    <t>1 || 1 || 8</t>
  </si>
  <si>
    <t>لد شريط 8 ملم ابيض</t>
  </si>
  <si>
    <t>بلاستك + اجر ة</t>
  </si>
  <si>
    <t>1 || 1 || 1</t>
  </si>
  <si>
    <t>البيع</t>
  </si>
  <si>
    <t>الشراء</t>
  </si>
  <si>
    <t>العمل الاسطوري الذي اممامك هو خارج قدرات العقل البشري فلا تحاول صنع شئ مشابه لانك و بكل بساطة لاتستطيع</t>
  </si>
  <si>
    <t>الورشة للطباعة و لكافة انواع الاعلانات الضوئية و اعمال الديكور الداخلي و الخارجي</t>
  </si>
  <si>
    <t>التأريخ</t>
  </si>
  <si>
    <t>بعد كتابة تفاصيل الوصل تأخذ المجاميع من الخانات المقابلة لها يتم نسخها ووضعها في مكانها</t>
  </si>
  <si>
    <t>بعد اضغط على الدالة البرمجية للبيع او للشراء تذهب المعلومات تلقائيا الى الارشيف والايرادات اذا كان بيع و المصروفات اذا كان شراء</t>
  </si>
  <si>
    <t>المدفوع</t>
  </si>
  <si>
    <t>المتبقي</t>
  </si>
  <si>
    <t>تحتاج الدالة الموافقة من داخل الحساب المربوط بالجدول لكي تعمل بشكل صحيح</t>
  </si>
  <si>
    <t>الكية</t>
  </si>
  <si>
    <t>Column 14</t>
  </si>
  <si>
    <t>644</t>
  </si>
  <si>
    <t>تكاليف تطوير</t>
  </si>
  <si>
    <t>المكتب</t>
  </si>
  <si>
    <t>صحيات</t>
  </si>
  <si>
    <t>استهلاكيات ورشة</t>
  </si>
  <si>
    <t>شراء كفوف وكمامات</t>
  </si>
  <si>
    <t>كهربائيات</t>
  </si>
  <si>
    <t>رصيد</t>
  </si>
  <si>
    <t>طرقات ورصيد</t>
  </si>
  <si>
    <t>المواد الخام</t>
  </si>
  <si>
    <t>شراء اقمشة</t>
  </si>
  <si>
    <t>12٬224</t>
  </si>
  <si>
    <t>عدة يدوية</t>
  </si>
  <si>
    <t>مكص قماش ومستلزمات تعليب</t>
  </si>
  <si>
    <t>شراء كهربائيات</t>
  </si>
  <si>
    <t>32327 وصل قبض الورشة</t>
  </si>
  <si>
    <t>خشب MDF</t>
  </si>
  <si>
    <t>تسديد حساب قديم ( صفاء )</t>
  </si>
  <si>
    <t>خدمات</t>
  </si>
  <si>
    <t>شراء معدات ولواصق</t>
  </si>
  <si>
    <t>شراء عدد يدوية + مواد للصحيات</t>
  </si>
  <si>
    <t>عدة حدادة يوسف</t>
  </si>
  <si>
    <t>نقليات (تكسي توصيل طلبيات)</t>
  </si>
  <si>
    <t>3٬562</t>
  </si>
  <si>
    <t>الابرار</t>
  </si>
  <si>
    <t>صرفيات يوسف نثرية ( مواد تنظيف - عدة - بخاخات -....)</t>
  </si>
  <si>
    <t>31٬089</t>
  </si>
  <si>
    <t>عمود تل</t>
  </si>
  <si>
    <t>943</t>
  </si>
  <si>
    <t>لواصق</t>
  </si>
  <si>
    <t>علي عبد الواحد حمود</t>
  </si>
  <si>
    <t>30٬053</t>
  </si>
  <si>
    <t>شركة الضيف</t>
  </si>
  <si>
    <t>1٬474</t>
  </si>
  <si>
    <t>درة الخليج</t>
  </si>
  <si>
    <t>244</t>
  </si>
  <si>
    <t>محل الاخوين</t>
  </si>
  <si>
    <t>انشائيات</t>
  </si>
  <si>
    <t>121</t>
  </si>
  <si>
    <t>نثرية</t>
  </si>
  <si>
    <t>نقليات</t>
  </si>
  <si>
    <t>شراء كاكات</t>
  </si>
  <si>
    <t>شراء رصيد</t>
  </si>
  <si>
    <t>نفاضة</t>
  </si>
  <si>
    <t>وليد طرقات</t>
  </si>
  <si>
    <t>طرقات اشرف</t>
  </si>
  <si>
    <t>3٬615</t>
  </si>
  <si>
    <t>31٬771</t>
  </si>
  <si>
    <t>الخورة</t>
  </si>
  <si>
    <t>نقليات عبدالرضا</t>
  </si>
  <si>
    <t>مشتريات( مسامير + كهربائيات + نثرية)</t>
  </si>
  <si>
    <t>3٬662</t>
  </si>
  <si>
    <t>شراء اقمشة ومواد خام</t>
  </si>
  <si>
    <t>نقل حسين للمدينة</t>
  </si>
  <si>
    <t>60٬186</t>
  </si>
  <si>
    <t>الضيف</t>
  </si>
  <si>
    <t>3٬532</t>
  </si>
  <si>
    <t>شراء رصيد لهاتف الورشة + هاتف اشرف</t>
  </si>
  <si>
    <t>نقليات + شراء مواد خام</t>
  </si>
  <si>
    <t>18٬637</t>
  </si>
  <si>
    <t>ابو حسن الفائق</t>
  </si>
  <si>
    <t>1٬610</t>
  </si>
  <si>
    <t>اخشاب الماجد</t>
  </si>
  <si>
    <t>اشتراك نت</t>
  </si>
  <si>
    <t>31٬870</t>
  </si>
  <si>
    <t>خشب فايبر صاج</t>
  </si>
  <si>
    <t>اقمشة وعدة حسين</t>
  </si>
  <si>
    <t>بنكو</t>
  </si>
  <si>
    <t>31٬894</t>
  </si>
  <si>
    <t>؟؟؟؟</t>
  </si>
  <si>
    <t>صرفيات يوسف</t>
  </si>
  <si>
    <t>مصاريف</t>
  </si>
  <si>
    <t>000-76</t>
  </si>
  <si>
    <t>عبد الرضا عقيل</t>
  </si>
  <si>
    <t>صرفيات ورشة 000-76</t>
  </si>
  <si>
    <t>30٬196</t>
  </si>
  <si>
    <t>بنكو و باسكت</t>
  </si>
  <si>
    <t>118٬547</t>
  </si>
  <si>
    <t>واير</t>
  </si>
  <si>
    <t>الوان و دهانات</t>
  </si>
  <si>
    <t>طرقات -عدة - صبغ</t>
  </si>
  <si>
    <t>3٬401</t>
  </si>
  <si>
    <t>علي البديري</t>
  </si>
  <si>
    <t>I-06212</t>
  </si>
  <si>
    <t>سيغما</t>
  </si>
  <si>
    <t>اصباغ احمر ازرق ابيض</t>
  </si>
  <si>
    <t>000-80</t>
  </si>
  <si>
    <t>تسويق</t>
  </si>
  <si>
    <t>مطعم الموناليزا صرفيات</t>
  </si>
  <si>
    <t>مطعم المتحف صرفيات</t>
  </si>
  <si>
    <t>31٬971</t>
  </si>
  <si>
    <t>i-06172</t>
  </si>
  <si>
    <t>طريق الى المدينة</t>
  </si>
  <si>
    <t>100-1</t>
  </si>
  <si>
    <t>النبع للحسابات الالكترونية</t>
  </si>
  <si>
    <t>3٬812</t>
  </si>
  <si>
    <t>30٬249</t>
  </si>
  <si>
    <t>ماسحة ومفرعة</t>
  </si>
  <si>
    <t>30٬247</t>
  </si>
  <si>
    <t>فشر سليكون</t>
  </si>
  <si>
    <t>000-81</t>
  </si>
  <si>
    <t>اجور مشروع</t>
  </si>
  <si>
    <t>صرف وصل رقم 000/81</t>
  </si>
  <si>
    <t>1٬722</t>
  </si>
  <si>
    <t>الماجد للأخشاب</t>
  </si>
  <si>
    <t>3٬858</t>
  </si>
  <si>
    <t>3٬866</t>
  </si>
  <si>
    <t>60٬212</t>
  </si>
  <si>
    <t>سيغما اصباغ</t>
  </si>
  <si>
    <t>تم تسليم وليد</t>
  </si>
  <si>
    <t>220٬840</t>
  </si>
  <si>
    <t>مكتب ايمن</t>
  </si>
  <si>
    <t>187٬322</t>
  </si>
  <si>
    <t>اور للخدمات التكنلوجية</t>
  </si>
  <si>
    <t>احبار</t>
  </si>
  <si>
    <t>جلود</t>
  </si>
  <si>
    <t>صوندة سنك + مكانس عدد 2</t>
  </si>
  <si>
    <t>طلرقات وليد مع نثرية</t>
  </si>
  <si>
    <t>بوكس فايل</t>
  </si>
  <si>
    <t>كروة حيدر الصباغ</t>
  </si>
  <si>
    <t>221٬927</t>
  </si>
  <si>
    <t>فرشة</t>
  </si>
  <si>
    <t>659</t>
  </si>
  <si>
    <t>خرامة كتر + سبايرول + نقل</t>
  </si>
  <si>
    <t>251</t>
  </si>
  <si>
    <t>شراء باسكت مع ايجار دريل</t>
  </si>
  <si>
    <t>صبغ اكرليك \</t>
  </si>
  <si>
    <t>حنان</t>
  </si>
  <si>
    <t>دين حنان ايجار كوشة</t>
  </si>
  <si>
    <t>685</t>
  </si>
  <si>
    <t>بلدية</t>
  </si>
  <si>
    <t>3٬969</t>
  </si>
  <si>
    <t>ارجاع</t>
  </si>
  <si>
    <t>ارجاع طلبية مراية ياسر</t>
  </si>
  <si>
    <t>b1-21734</t>
  </si>
  <si>
    <t>السلام للالمنيوم</t>
  </si>
  <si>
    <t>شراء قماش</t>
  </si>
  <si>
    <t>صحن وطرقات</t>
  </si>
  <si>
    <t>طرقات</t>
  </si>
  <si>
    <t>1٬265</t>
  </si>
  <si>
    <t>شراء واير</t>
  </si>
  <si>
    <t>6٬977</t>
  </si>
  <si>
    <t>تكلفة طباعة</t>
  </si>
  <si>
    <t>طباعة على بلوز ام الخير</t>
  </si>
  <si>
    <t>توصيل طلبية رقم 229</t>
  </si>
  <si>
    <t>000-79</t>
  </si>
  <si>
    <t>صرف وصل رقم 000/79</t>
  </si>
  <si>
    <t>107</t>
  </si>
  <si>
    <t>محلات النطاق</t>
  </si>
  <si>
    <t>قماش مع توصيل0</t>
  </si>
  <si>
    <t>106٬263</t>
  </si>
  <si>
    <t>اصباغ سيغما</t>
  </si>
  <si>
    <t>2٬456</t>
  </si>
  <si>
    <t>الوان</t>
  </si>
  <si>
    <t>كوفي شوب</t>
  </si>
  <si>
    <t>باسكت</t>
  </si>
  <si>
    <t>قماش</t>
  </si>
  <si>
    <t>3٬482</t>
  </si>
  <si>
    <t>120</t>
  </si>
  <si>
    <t>انشائيية</t>
  </si>
  <si>
    <t>فلوس كروة حيدر يافوز</t>
  </si>
  <si>
    <t>صب رش</t>
  </si>
  <si>
    <t>4٬058</t>
  </si>
  <si>
    <t>4٬062</t>
  </si>
  <si>
    <t>داينة</t>
  </si>
  <si>
    <t>1٬852</t>
  </si>
  <si>
    <t>انجيكو</t>
  </si>
  <si>
    <t>مكينة كاوية</t>
  </si>
  <si>
    <t>4٬064</t>
  </si>
  <si>
    <t>4٬063</t>
  </si>
  <si>
    <t>1634/1642</t>
  </si>
  <si>
    <t>اوسكار</t>
  </si>
  <si>
    <t>216</t>
  </si>
  <si>
    <t>عمار</t>
  </si>
  <si>
    <t>كيبل</t>
  </si>
  <si>
    <t>شراء مواد خام</t>
  </si>
  <si>
    <t>المنيوم</t>
  </si>
  <si>
    <t>8</t>
  </si>
  <si>
    <t>نقل يوفي</t>
  </si>
  <si>
    <t>3٬533</t>
  </si>
  <si>
    <t>1٬253</t>
  </si>
  <si>
    <t>بسمار و فشر</t>
  </si>
  <si>
    <t>265</t>
  </si>
  <si>
    <t>الزهراء</t>
  </si>
  <si>
    <t>براغي</t>
  </si>
  <si>
    <t>272</t>
  </si>
  <si>
    <t>زواة يوفي</t>
  </si>
  <si>
    <t>ريوك</t>
  </si>
  <si>
    <t>نقل الابرار</t>
  </si>
  <si>
    <t>نقل كاوية</t>
  </si>
  <si>
    <t>برينة</t>
  </si>
  <si>
    <t>3٬739</t>
  </si>
  <si>
    <t>4٬075</t>
  </si>
  <si>
    <t>86-4</t>
  </si>
  <si>
    <t>النبع+ عده يدوية لرشيد</t>
  </si>
  <si>
    <t>29٬964</t>
  </si>
  <si>
    <t>علاء خليجي</t>
  </si>
  <si>
    <t>sp90</t>
  </si>
  <si>
    <t>الوسام</t>
  </si>
  <si>
    <t>كرسي مكتب</t>
  </si>
  <si>
    <t>صبغ</t>
  </si>
  <si>
    <t>كاوية فلكس</t>
  </si>
  <si>
    <t>ورق ظروف</t>
  </si>
  <si>
    <t>30٬456</t>
  </si>
  <si>
    <t>شمع احمر</t>
  </si>
  <si>
    <t>1٬696</t>
  </si>
  <si>
    <t>ups فاربر عدد 3</t>
  </si>
  <si>
    <t>بروشات اللواء السابع + شراء استهلاكيات ورشة</t>
  </si>
  <si>
    <t>561</t>
  </si>
  <si>
    <t>محمد ارت</t>
  </si>
  <si>
    <t>157</t>
  </si>
  <si>
    <t>القلم</t>
  </si>
  <si>
    <t>2٬997</t>
  </si>
  <si>
    <t>الخليج مياه</t>
  </si>
  <si>
    <t>1٬994</t>
  </si>
  <si>
    <t>ورشة</t>
  </si>
  <si>
    <t>13٬773</t>
  </si>
  <si>
    <t>غراض مكتبية</t>
  </si>
  <si>
    <t>8٬132٬522</t>
  </si>
  <si>
    <t>تم شراء جلد ابيض</t>
  </si>
  <si>
    <t>2٬483</t>
  </si>
  <si>
    <t>سجل يومية</t>
  </si>
  <si>
    <t>طريق وليد</t>
  </si>
  <si>
    <t>1٬986</t>
  </si>
  <si>
    <t>المنار</t>
  </si>
  <si>
    <t>سماعات</t>
  </si>
  <si>
    <t>2٬485</t>
  </si>
  <si>
    <t>سجل</t>
  </si>
  <si>
    <t>تم شراء فلكس</t>
  </si>
  <si>
    <t>جك</t>
  </si>
  <si>
    <t>159-160</t>
  </si>
  <si>
    <t>مواد انشائية - القلم</t>
  </si>
  <si>
    <t>خدمات كهرباء</t>
  </si>
  <si>
    <t>مواد حسين</t>
  </si>
  <si>
    <t>924</t>
  </si>
  <si>
    <t>الغردان اصباع</t>
  </si>
  <si>
    <t>طالبية حسين</t>
  </si>
  <si>
    <t>925</t>
  </si>
  <si>
    <t>الفردان</t>
  </si>
  <si>
    <t>6٬344</t>
  </si>
  <si>
    <t>sigma</t>
  </si>
  <si>
    <t>92</t>
  </si>
  <si>
    <t>علاء علي</t>
  </si>
  <si>
    <t>7٬792</t>
  </si>
  <si>
    <t>مكتب مصطفى عبد الامير</t>
  </si>
  <si>
    <t>شطاف تواليت</t>
  </si>
  <si>
    <t>مقتاح</t>
  </si>
  <si>
    <t>4٬219</t>
  </si>
  <si>
    <t>اشرف الادقاني</t>
  </si>
  <si>
    <t>سلفة اشرف مشروع المدينة</t>
  </si>
  <si>
    <t>6٬233</t>
  </si>
  <si>
    <t>اكل</t>
  </si>
  <si>
    <t>كروة ابرار</t>
  </si>
  <si>
    <t>يوسف صرف</t>
  </si>
  <si>
    <t>عدة حمام</t>
  </si>
  <si>
    <t>172</t>
  </si>
  <si>
    <t>بروش دائري</t>
  </si>
  <si>
    <t>256</t>
  </si>
  <si>
    <t>ايجار المكتب</t>
  </si>
  <si>
    <t>165</t>
  </si>
  <si>
    <t>242</t>
  </si>
  <si>
    <t>علي اكسسوارات</t>
  </si>
  <si>
    <t>سوارات علي اكسسوارات</t>
  </si>
  <si>
    <t>نقل اشرف ( مشتل )</t>
  </si>
  <si>
    <t>1٬691</t>
  </si>
  <si>
    <t>صفاء</t>
  </si>
  <si>
    <t>اخشاب</t>
  </si>
  <si>
    <t>طرقات الامل</t>
  </si>
  <si>
    <t>طرقات وليد طابعات</t>
  </si>
  <si>
    <t>4٬269</t>
  </si>
  <si>
    <t>مصروفات عبد الرضا</t>
  </si>
  <si>
    <t>حيدر يافوز طريق بسبب التاخير</t>
  </si>
  <si>
    <t>22300-2934</t>
  </si>
  <si>
    <t>صبغ رش</t>
  </si>
  <si>
    <t>مصروفات طابعات</t>
  </si>
  <si>
    <t>انترنت</t>
  </si>
  <si>
    <t>اكل علاوي \</t>
  </si>
  <si>
    <t>624260-72767067-11971-32562</t>
  </si>
  <si>
    <t>يوسف مشتريات</t>
  </si>
  <si>
    <t>علي اسطنبول ورقيات</t>
  </si>
  <si>
    <t>حيدر يافوز مكافئة</t>
  </si>
  <si>
    <t>4٬407</t>
  </si>
  <si>
    <t>4٬402</t>
  </si>
  <si>
    <t>263</t>
  </si>
  <si>
    <t>انشائيات + خدمات</t>
  </si>
  <si>
    <t>حلقات حسين</t>
  </si>
  <si>
    <t>262</t>
  </si>
  <si>
    <t>خدمات, استهلاكيات الورشة</t>
  </si>
  <si>
    <t>انشائياات + خدمات</t>
  </si>
  <si>
    <t>سلفون تغليف</t>
  </si>
  <si>
    <t>3٬558</t>
  </si>
  <si>
    <t>3٬565</t>
  </si>
  <si>
    <t>تم شراء صبغ رش</t>
  </si>
  <si>
    <t>طرقات توصيل الابارار</t>
  </si>
  <si>
    <t>بند ورق</t>
  </si>
  <si>
    <t>طرقات توصيل علي البدبري</t>
  </si>
  <si>
    <t>ارجل طاولة</t>
  </si>
  <si>
    <t>1٬370</t>
  </si>
  <si>
    <t>طرقات/ شمس البصرة</t>
  </si>
  <si>
    <t>بنزين</t>
  </si>
  <si>
    <t>4٬473</t>
  </si>
  <si>
    <t>كابون - محولات - لف - زاوية تل</t>
  </si>
  <si>
    <t>264</t>
  </si>
  <si>
    <t>انشائيات + مواد خام</t>
  </si>
  <si>
    <t>كراتين تغليف</t>
  </si>
  <si>
    <t>4٬065</t>
  </si>
  <si>
    <t>370</t>
  </si>
  <si>
    <t>صرف يوسف</t>
  </si>
  <si>
    <t>صرفيات عبد الرضا</t>
  </si>
  <si>
    <t>608</t>
  </si>
  <si>
    <t>الماجد</t>
  </si>
  <si>
    <t>6٬486</t>
  </si>
  <si>
    <t>14٬321</t>
  </si>
  <si>
    <t>نعيم السراي</t>
  </si>
  <si>
    <t>14٬392</t>
  </si>
  <si>
    <t>مازوت</t>
  </si>
  <si>
    <t>100</t>
  </si>
  <si>
    <t>4٬541</t>
  </si>
  <si>
    <t>143/</t>
  </si>
  <si>
    <t>0630\</t>
  </si>
  <si>
    <t>زبالة</t>
  </si>
  <si>
    <t>4٬575</t>
  </si>
  <si>
    <t>لد - بلاستك ابيضو اسود - فوم -</t>
  </si>
  <si>
    <t>4٬590</t>
  </si>
  <si>
    <t>كوبون</t>
  </si>
  <si>
    <t>182</t>
  </si>
  <si>
    <t>الليان للاعلان</t>
  </si>
  <si>
    <t>شاشة</t>
  </si>
  <si>
    <t>701</t>
  </si>
  <si>
    <t>حديد</t>
  </si>
  <si>
    <t>4٬576</t>
  </si>
  <si>
    <t>لدات</t>
  </si>
  <si>
    <t>كراتين</t>
  </si>
  <si>
    <t>اوكسجين</t>
  </si>
  <si>
    <t>نقل اعلان</t>
  </si>
  <si>
    <t>كروة خشب</t>
  </si>
  <si>
    <t>لاصق صبغ</t>
  </si>
  <si>
    <t>4٬598</t>
  </si>
  <si>
    <t>الواح</t>
  </si>
  <si>
    <t>صبغ طريق اكياس</t>
  </si>
  <si>
    <t>براغي برينة قماش</t>
  </si>
  <si>
    <t>273</t>
  </si>
  <si>
    <t>دهن مولد</t>
  </si>
  <si>
    <t>4٬646</t>
  </si>
  <si>
    <t>بلاستك ابيض- لف - لدات - محولة - واير - كابون</t>
  </si>
  <si>
    <t>276</t>
  </si>
  <si>
    <t>عشاء عمل</t>
  </si>
  <si>
    <t>لاصق وجهين</t>
  </si>
  <si>
    <t>4٬745</t>
  </si>
  <si>
    <t>فوم - خشب</t>
  </si>
  <si>
    <t>4٬660</t>
  </si>
  <si>
    <t>اكرلك - اميري - واير كوري</t>
  </si>
  <si>
    <t>274</t>
  </si>
  <si>
    <t>صبغ سكما</t>
  </si>
  <si>
    <t>4٬691</t>
  </si>
  <si>
    <t>محولات - لد- لف- بلاستك- كلولرفوم- اميري- بلاستك اسود</t>
  </si>
  <si>
    <t>دريل + مواد انشائية</t>
  </si>
  <si>
    <t>تسليك واير مولدة</t>
  </si>
  <si>
    <t>لف ذهبي</t>
  </si>
  <si>
    <t>امبيرة</t>
  </si>
  <si>
    <t>تكملة تسليك المولدة</t>
  </si>
  <si>
    <t>ماء</t>
  </si>
  <si>
    <t>اجرة ستوتة</t>
  </si>
  <si>
    <t>بلك عدد 10</t>
  </si>
  <si>
    <t>4٬752</t>
  </si>
  <si>
    <t>فوم ابيض 10</t>
  </si>
  <si>
    <t>3٬075</t>
  </si>
  <si>
    <t>الماجد لتجارة الاخشاب</t>
  </si>
  <si>
    <t>خشب mdf</t>
  </si>
  <si>
    <t>275</t>
  </si>
  <si>
    <t>شد اعلان جانيت</t>
  </si>
  <si>
    <t>1٬359</t>
  </si>
  <si>
    <t>ماء الخليج</t>
  </si>
  <si>
    <t>بلوك + نقل</t>
  </si>
  <si>
    <t>توصيل طلبات علاء 2/ 440 / 434 / 458</t>
  </si>
  <si>
    <t>توصيل طلبات علاء / 440 / 434 / 458</t>
  </si>
  <si>
    <t>24</t>
  </si>
  <si>
    <t>محل انشائية</t>
  </si>
  <si>
    <t>لواصق + علاكة</t>
  </si>
  <si>
    <t>140</t>
  </si>
  <si>
    <t>قماش بيجي</t>
  </si>
  <si>
    <t>رصيد اشرف</t>
  </si>
  <si>
    <t>اجرة ستوتة لنقل ماء الخليج</t>
  </si>
  <si>
    <t>الحوافز</t>
  </si>
  <si>
    <t>علي الكهربائي</t>
  </si>
  <si>
    <t>اكرامية علي الكهربائي</t>
  </si>
  <si>
    <t>365</t>
  </si>
  <si>
    <t>فرش صبغ</t>
  </si>
  <si>
    <t>بلك سويج كارتون</t>
  </si>
  <si>
    <t>\</t>
  </si>
  <si>
    <t>مواصلات وليد</t>
  </si>
  <si>
    <t>اجرة سائق mdf</t>
  </si>
  <si>
    <t>45٬046</t>
  </si>
  <si>
    <t>صبغ + فرش</t>
  </si>
  <si>
    <t>توصيل شاشة جانيت a23</t>
  </si>
  <si>
    <t>رشوة نفايات</t>
  </si>
  <si>
    <t>535</t>
  </si>
  <si>
    <t>حديد مربع + توصيل</t>
  </si>
  <si>
    <t>754</t>
  </si>
  <si>
    <t>حديد مربع</t>
  </si>
  <si>
    <t>اجرة توصيل شمس البصرة</t>
  </si>
  <si>
    <t>اجرة توصيل حديد</t>
  </si>
  <si>
    <t>5٬017</t>
  </si>
  <si>
    <t>279</t>
  </si>
  <si>
    <t>ستوتة اعلانات يومان</t>
  </si>
  <si>
    <t>شراء دريل</t>
  </si>
  <si>
    <t>تكسي وليد</t>
  </si>
  <si>
    <t>137٬873</t>
  </si>
  <si>
    <t>ببلز رول + مقص</t>
  </si>
  <si>
    <t>1٬958</t>
  </si>
  <si>
    <t>كيبورت + ماوس</t>
  </si>
  <si>
    <t>141</t>
  </si>
  <si>
    <t>جكوار ساوة</t>
  </si>
  <si>
    <t>101</t>
  </si>
  <si>
    <t>شفرات انجيكو</t>
  </si>
  <si>
    <t>اجرة طريق</t>
  </si>
  <si>
    <t>B-70</t>
  </si>
  <si>
    <t>ملكانة اسوار</t>
  </si>
  <si>
    <t>ورق مقوى</t>
  </si>
  <si>
    <t>3٬148</t>
  </si>
  <si>
    <t>تسديد باقي حساب محمد ارت</t>
  </si>
  <si>
    <t>354</t>
  </si>
  <si>
    <t>علي عبد الواحد</t>
  </si>
  <si>
    <t>قائمة مواد انشائية</t>
  </si>
  <si>
    <t>3٬205</t>
  </si>
  <si>
    <t>الماجد لتجارة الخشب</t>
  </si>
  <si>
    <t>112</t>
  </si>
  <si>
    <t>جامة تفصال + كروة</t>
  </si>
  <si>
    <t>مقص + شفرات</t>
  </si>
  <si>
    <t>153٬356</t>
  </si>
  <si>
    <t>1 كغم كاكاو + اجرة</t>
  </si>
  <si>
    <t>سناسل براغي</t>
  </si>
  <si>
    <t>اجرة نقل خشب mdf</t>
  </si>
  <si>
    <t>اجرة خشب</t>
  </si>
  <si>
    <t>جاي خطار</t>
  </si>
  <si>
    <t>سطنبات حبر</t>
  </si>
  <si>
    <t>3٬219</t>
  </si>
  <si>
    <t>حشب mdf</t>
  </si>
  <si>
    <t>111</t>
  </si>
  <si>
    <t>قماش من العشار</t>
  </si>
  <si>
    <t>اصباغ سكما</t>
  </si>
  <si>
    <t>توصيل طلبات</t>
  </si>
  <si>
    <t>نكسي توصيل + ستوتة</t>
  </si>
  <si>
    <t>ابو الرصيد</t>
  </si>
  <si>
    <t>رصيد هاتف الورشة</t>
  </si>
  <si>
    <t>4٬906</t>
  </si>
  <si>
    <t>فوم 6 ملم+ اسود + احمر + ابيض + سمائي + لد + لف فضي</t>
  </si>
  <si>
    <t>قماش قديفة ابيض 10 متر مع التوصيل</t>
  </si>
  <si>
    <t>1_06619</t>
  </si>
  <si>
    <t>جلد ابيض 8 متر</t>
  </si>
  <si>
    <t>سلر</t>
  </si>
  <si>
    <t>حيدر الصباغ</t>
  </si>
  <si>
    <t>ثنر 2 دبة</t>
  </si>
  <si>
    <t>255٬352</t>
  </si>
  <si>
    <t>سما الوسيط</t>
  </si>
  <si>
    <t>569</t>
  </si>
  <si>
    <t>حديد شخاط + اجرة</t>
  </si>
  <si>
    <t>3٬246</t>
  </si>
  <si>
    <t>خشب mdf 10 الواح + الاجرة 7</t>
  </si>
  <si>
    <t>اجرة نقل حنان</t>
  </si>
  <si>
    <t>117</t>
  </si>
  <si>
    <t>اجرة نقل الابرار</t>
  </si>
  <si>
    <t>صبغ رش 3علبة</t>
  </si>
  <si>
    <t>621</t>
  </si>
  <si>
    <t>حديد شخاط + حديد مربع + اجرة</t>
  </si>
  <si>
    <t>78</t>
  </si>
  <si>
    <t>مبردة هواء</t>
  </si>
  <si>
    <t>5٬054</t>
  </si>
  <si>
    <t>الوان للقرطاسية</t>
  </si>
  <si>
    <t>قرطاسة متنوعة</t>
  </si>
  <si>
    <t>نقلياتت المهدي</t>
  </si>
  <si>
    <t>اجرة نقل طابغة فلكس</t>
  </si>
  <si>
    <t>سيثكوتين + لاصق وجهين</t>
  </si>
  <si>
    <t>حيدر مع حسين مراجعه</t>
  </si>
  <si>
    <t>اجرت هياب نحميل نقل تنزيل</t>
  </si>
  <si>
    <t>عمولة</t>
  </si>
  <si>
    <t>فرق الصيرفة</t>
  </si>
  <si>
    <t>ليث العبادي</t>
  </si>
  <si>
    <t>اجرة كاربت</t>
  </si>
  <si>
    <t>47٬681</t>
  </si>
  <si>
    <t>كيوت سنتر</t>
  </si>
  <si>
    <t>شيشة زجاجية عدد 2</t>
  </si>
  <si>
    <t>محل جلود بالعشار</t>
  </si>
  <si>
    <t>جلد بيجي 2 متر</t>
  </si>
  <si>
    <t>4٬974</t>
  </si>
  <si>
    <t>اكرلك ذهبي + فضي لاصق _ اكرلك ابيض معتم + اسود طافي</t>
  </si>
  <si>
    <t>خدمات, تكاليف تطوير</t>
  </si>
  <si>
    <t>سيارة</t>
  </si>
  <si>
    <t>اجدور سفرة بغداد سيف</t>
  </si>
  <si>
    <t>علاء بنكو</t>
  </si>
  <si>
    <t>مشروع المدينة اشرف</t>
  </si>
  <si>
    <t>مشروع المدينة مواد انشائية 25 قرص كوسرة 2 + برغي اسود + زاوية جبس +اجرة 75</t>
  </si>
  <si>
    <t>IT LOBE</t>
  </si>
  <si>
    <t>كاميرات عدد 2</t>
  </si>
  <si>
    <t>تبديل دهن سيارة سيف</t>
  </si>
  <si>
    <t>FBS90_F1_P5</t>
  </si>
  <si>
    <t>فاتورة الانترنيت</t>
  </si>
  <si>
    <t>محمد الحداد</t>
  </si>
  <si>
    <t>عمال تصعيد الى الطابق الثاني</t>
  </si>
  <si>
    <t>ستوتة</t>
  </si>
  <si>
    <t>اجرة ستوتة طلب القبلة</t>
  </si>
  <si>
    <t>شمس البصرة</t>
  </si>
  <si>
    <t>اجور توصيل شمس البصرة طلبات 407 / 444</t>
  </si>
  <si>
    <t>b1_9253</t>
  </si>
  <si>
    <t>الحكيم للانارة</t>
  </si>
  <si>
    <t>انارة داخلية</t>
  </si>
  <si>
    <t>فرق دولار</t>
  </si>
  <si>
    <t>29٬778</t>
  </si>
  <si>
    <t>الكرار</t>
  </si>
  <si>
    <t>جرخ كوسرة كتر</t>
  </si>
  <si>
    <t>5٬020</t>
  </si>
  <si>
    <t>لف اسود 6 / 150 لد ابيض 600 /198 لد شمسي 600 / 198 واير كوري 1 / 30 محولة 4 / 72</t>
  </si>
  <si>
    <t>الواح اكرلك عدد 3 اسود طافي.</t>
  </si>
  <si>
    <t>اجرة نقل الطابعات + عمل</t>
  </si>
  <si>
    <t>I-06669</t>
  </si>
  <si>
    <t>صبغ بنتلايت سيغما ابيض</t>
  </si>
  <si>
    <t>اجور توصيل شمس البصرة طلبات 426</t>
  </si>
  <si>
    <t>اجرة تكسي / مدينة الامل / صيانة اعلان</t>
  </si>
  <si>
    <t>5٬059</t>
  </si>
  <si>
    <t>معرض الابرار فوم 10 ملم 15 / 354 + كلوروفوم كبير 2 / 44</t>
  </si>
  <si>
    <t>مروحه عموديه للمكتب</t>
  </si>
  <si>
    <t>لاصق كارتوني</t>
  </si>
  <si>
    <t>اجور كهرباء</t>
  </si>
  <si>
    <t>2٬159٬336</t>
  </si>
  <si>
    <t>مطبعة الزمرد</t>
  </si>
  <si>
    <t>1000 كارت للورشة</t>
  </si>
  <si>
    <t>اجور توصيل شمس البصرة طلبات 458 / لامسو خلفيات رمضانية 957912</t>
  </si>
  <si>
    <t>اجور توصيل شمس البصرة لطلبات 957911 \ 957912 \ 957917</t>
  </si>
  <si>
    <t>كفوف</t>
  </si>
  <si>
    <t>125</t>
  </si>
  <si>
    <t>معمل البحر</t>
  </si>
  <si>
    <t>كورنيش 6 قالب + دوائر 5 قالب + براون + بورك</t>
  </si>
  <si>
    <t>مطبعة الاثر</t>
  </si>
  <si>
    <t>فلكس 4 متر 5 فلكس 1 متر 2</t>
  </si>
  <si>
    <t>b5-28412</t>
  </si>
  <si>
    <t>مربع اسود + شفة مربع + جوكر + اجرة 10</t>
  </si>
  <si>
    <t>شراء صبغ عدد 4</t>
  </si>
  <si>
    <t>سحب سلفة سيف بغداد</t>
  </si>
  <si>
    <t>مشروع المدينة اشرف اجرة عامل 5 ايام 150 + دفعة من حساب التكسي 125 + محمد اتلحداد 150 + بديل حجر 25 + منشار 5 + مشاحيف 10 طاسات بناء 10 كاغد جام 3</t>
  </si>
  <si>
    <t>اشرف مشروع المدينة</t>
  </si>
  <si>
    <t>اجرة ستوتة شد اعلان اربع مرات نسو الغراض و رجعو غرامه عليهم</t>
  </si>
  <si>
    <t>b9-2009</t>
  </si>
  <si>
    <t>جلد جوزي 2 متر + نيلي 5 متر</t>
  </si>
  <si>
    <t>425</t>
  </si>
  <si>
    <t>بركات الرسول</t>
  </si>
  <si>
    <t>رولات صبغ 3 + لاصق وجهين + براغي اسود باكيت + صبغ بلاستيسكي + واير 5 متر</t>
  </si>
  <si>
    <t>تكسي عبد الرضا شد اعلان الجنينة</t>
  </si>
  <si>
    <t>باسكت اعلان</t>
  </si>
  <si>
    <t>8٬132٬646</t>
  </si>
  <si>
    <t>ابو الجلد</t>
  </si>
  <si>
    <t>جلد ابيض 15 متر</t>
  </si>
  <si>
    <t>491</t>
  </si>
  <si>
    <t>معرض الاخوين</t>
  </si>
  <si>
    <t>حديد شخاط + الاجره</t>
  </si>
  <si>
    <t>71٬100٬508</t>
  </si>
  <si>
    <t>استاذ سيف</t>
  </si>
  <si>
    <t>مجفف كيبل طابعة</t>
  </si>
  <si>
    <t>5٬153</t>
  </si>
  <si>
    <t>الابرار + الاجره</t>
  </si>
  <si>
    <t>0000/367</t>
  </si>
  <si>
    <t>اقمشة الحوراء</t>
  </si>
  <si>
    <t>قديفة مبطن 10 متر</t>
  </si>
  <si>
    <t>حبر ختم 2 + قصاصات</t>
  </si>
  <si>
    <t>اكياس نفايات</t>
  </si>
  <si>
    <t>2٬099</t>
  </si>
  <si>
    <t>نقليات الكرادة</t>
  </si>
  <si>
    <t>3٬323</t>
  </si>
  <si>
    <t>خشب MDF 6 الواح + اجره 10</t>
  </si>
  <si>
    <t>541</t>
  </si>
  <si>
    <t>البديري</t>
  </si>
  <si>
    <t>حديد بوري مربع 1.5 انج + اجرة 5</t>
  </si>
  <si>
    <t>406</t>
  </si>
  <si>
    <t>عبدالله الصباغ</t>
  </si>
  <si>
    <t>HDmi</t>
  </si>
  <si>
    <t>ريوك المدراء التنفييذيين حيدر / سيف</t>
  </si>
  <si>
    <t>184</t>
  </si>
  <si>
    <t>حسوني سبلت</t>
  </si>
  <si>
    <t>تصليح السبالت و المكيفات</t>
  </si>
  <si>
    <t>30٬614٬140</t>
  </si>
  <si>
    <t>الكاظمي</t>
  </si>
  <si>
    <t>ويرات لف عدد 3 6 ملم 4 ملم 2.5 ملم + جوزات</t>
  </si>
  <si>
    <t>510</t>
  </si>
  <si>
    <t>مشتريات وصل يوسف حديد + صبغ</t>
  </si>
  <si>
    <t>عباس توصيل جاب فليكس للورشه 72 + اجرة 5</t>
  </si>
  <si>
    <t>حساب طلبية استاذ سيف</t>
  </si>
  <si>
    <t>كحول</t>
  </si>
  <si>
    <t>سلفة اشرف مشروع المدينة التفاصيل ص 32 في السجل</t>
  </si>
  <si>
    <t>فوم</t>
  </si>
  <si>
    <t>اجرة تكسي اعلان الدكتورة</t>
  </si>
  <si>
    <t>فليت قاتل حشرات</t>
  </si>
  <si>
    <t>تصفية حساب يوسف على الوصولات</t>
  </si>
  <si>
    <t>سلفة اشرف مشروع المدينة التفاصيل ص 34 في السجل</t>
  </si>
  <si>
    <t>5٬278</t>
  </si>
  <si>
    <t>2٬932</t>
  </si>
  <si>
    <t>خشب بلايود</t>
  </si>
  <si>
    <t>5٬306</t>
  </si>
  <si>
    <t>صرف الى وليد و محمد و رضا ايجار من سيف</t>
  </si>
  <si>
    <t>00/3378</t>
  </si>
  <si>
    <t>العالمية للديكور</t>
  </si>
  <si>
    <t>صمغ 2 كارتون</t>
  </si>
  <si>
    <t>1٬009</t>
  </si>
  <si>
    <t>الفرزدق</t>
  </si>
  <si>
    <t>معجون ناشينال 1 كارتون</t>
  </si>
  <si>
    <t>3٬384</t>
  </si>
  <si>
    <t>العالمية للديكور زاوية شاشة</t>
  </si>
  <si>
    <t>اوتوماتيك سبلت</t>
  </si>
  <si>
    <t>كاباسيتر</t>
  </si>
  <si>
    <t>اجرة</t>
  </si>
  <si>
    <t>2635/01/01</t>
  </si>
  <si>
    <t>انارة مخفية + محولات</t>
  </si>
  <si>
    <t>0000/371</t>
  </si>
  <si>
    <t>الحوراء</t>
  </si>
  <si>
    <t>فماش 45 متر</t>
  </si>
  <si>
    <t>5٬320</t>
  </si>
  <si>
    <t>194</t>
  </si>
  <si>
    <t>محل</t>
  </si>
  <si>
    <t>سيكوتين 2 مصابيح 4</t>
  </si>
  <si>
    <t>872</t>
  </si>
  <si>
    <t>وصل رقم 872 مشتريات</t>
  </si>
  <si>
    <t>192٬252</t>
  </si>
  <si>
    <t>مراوح حاسبات اجرة توصيل</t>
  </si>
  <si>
    <t>صبع by</t>
  </si>
  <si>
    <t>تكسي رضا مدينة الامل</t>
  </si>
  <si>
    <t>بانزين</t>
  </si>
  <si>
    <t>15٬394</t>
  </si>
  <si>
    <t>مجموعة الاجدل</t>
  </si>
  <si>
    <t>ubs عدد 2</t>
  </si>
  <si>
    <t>الحداد مشروع المدينة</t>
  </si>
  <si>
    <t>5٬362</t>
  </si>
  <si>
    <t>b5-29850</t>
  </si>
  <si>
    <t>توصيل طلبيات شمس البصرة * 2</t>
  </si>
  <si>
    <t>5٬392</t>
  </si>
  <si>
    <t>علاء الربيعهي</t>
  </si>
  <si>
    <t>طباعة اعلان فليكس</t>
  </si>
  <si>
    <t>3٬947</t>
  </si>
  <si>
    <t>حديد زاوية</t>
  </si>
  <si>
    <t>نوزلات للمولدة</t>
  </si>
  <si>
    <t>حساب تكسي المدينه 5 ايام</t>
  </si>
  <si>
    <t>مشروع المدينة</t>
  </si>
  <si>
    <t>حساب عامل مدينة</t>
  </si>
  <si>
    <t>5٬418</t>
  </si>
  <si>
    <t>معرض الابرار + الاجرة</t>
  </si>
  <si>
    <t>10٬481</t>
  </si>
  <si>
    <t>جوتن</t>
  </si>
  <si>
    <t>مدينة الامل</t>
  </si>
  <si>
    <t>ميكا تك</t>
  </si>
  <si>
    <t>الورشه</t>
  </si>
  <si>
    <t>واير لحيم</t>
  </si>
  <si>
    <t>اجرة توصيل طلب ادو</t>
  </si>
  <si>
    <t>فلاش تنظيف</t>
  </si>
  <si>
    <t>8٬132٬648</t>
  </si>
  <si>
    <t>محل جلد</t>
  </si>
  <si>
    <t>جلد فانيلة</t>
  </si>
  <si>
    <t>310</t>
  </si>
  <si>
    <t>الاسطورة</t>
  </si>
  <si>
    <t>قبق مبخرة</t>
  </si>
  <si>
    <t>قفايص للاعلان</t>
  </si>
  <si>
    <t>5٬433</t>
  </si>
  <si>
    <t>اعلان باسكعت عدد 2</t>
  </si>
  <si>
    <t>اجرة معرض الابرار</t>
  </si>
  <si>
    <t>5٬462</t>
  </si>
  <si>
    <t>معرض الابرار + الاجرة 8</t>
  </si>
  <si>
    <t>اجرة توصيل</t>
  </si>
  <si>
    <t>000/305</t>
  </si>
  <si>
    <t>القائم لتجارة و تصنيع المكان</t>
  </si>
  <si>
    <t>مكينة ليزر 130 * 100</t>
  </si>
  <si>
    <t>000/306</t>
  </si>
  <si>
    <t>اجرة نقل المكينة</t>
  </si>
  <si>
    <t>29٬359</t>
  </si>
  <si>
    <t>غاز ون باريس \ فاكيوم سحب و دفع \ غاز ونستون</t>
  </si>
  <si>
    <t>2٬775</t>
  </si>
  <si>
    <t>00/182</t>
  </si>
  <si>
    <t>نقاط كهرباء 10</t>
  </si>
  <si>
    <t>حصيرة نوزلات</t>
  </si>
  <si>
    <t>732-1</t>
  </si>
  <si>
    <t>ثنر</t>
  </si>
  <si>
    <t>اجرة نقل السكلة</t>
  </si>
  <si>
    <t>الاجرة</t>
  </si>
  <si>
    <t>توصيل طلبات شمس البصرة</t>
  </si>
  <si>
    <t>تيوب ليزر</t>
  </si>
  <si>
    <t>رولة جلد عدد 3</t>
  </si>
  <si>
    <t>سيكوتين رش + سيكوتين عادي</t>
  </si>
  <si>
    <t>33٬619</t>
  </si>
  <si>
    <t>طبع يوفي محمد ارت اعلان بالبيري</t>
  </si>
  <si>
    <t>العشار</t>
  </si>
  <si>
    <t>حديد 3 روطة 45 + ذانا 2 + اجرة 13</t>
  </si>
  <si>
    <t>جادر غرفة</t>
  </si>
  <si>
    <t>عدسات ليزر</t>
  </si>
  <si>
    <t>معجون dcp مع غراء</t>
  </si>
  <si>
    <t>دريل + براغي</t>
  </si>
  <si>
    <t>مشتريات + منضفات</t>
  </si>
  <si>
    <t>سلكون حراريي</t>
  </si>
  <si>
    <t>نقليات بغداد</t>
  </si>
  <si>
    <t>بلودر ستيكر</t>
  </si>
  <si>
    <t>ابو التكسي</t>
  </si>
  <si>
    <t>ريوك سائق مكينة الليزر</t>
  </si>
  <si>
    <t>5٬548</t>
  </si>
  <si>
    <t>معرض الابرار + الاجرة 9</t>
  </si>
  <si>
    <t>اجرة توصيل حنان</t>
  </si>
  <si>
    <t>5٬577</t>
  </si>
  <si>
    <t>2٬024</t>
  </si>
  <si>
    <t>HDmi عدد 4</t>
  </si>
  <si>
    <t>اجرة اعلان يوفبي</t>
  </si>
  <si>
    <t>اجرة توصيل طلبات شمس البصرة</t>
  </si>
  <si>
    <t>محمد الحداد 120 + حيدر الصباغ 100 + علي الكهربائي 50 + تكسي 210 + انشائية 35 + زولية 170/6245 + بوري حديد 25 + سيد عمار الحداد 225 + اصباغ سكما 54 / 06780 +تكسي 10 + صبغ بتك 7 لتر 65 + تكسي 5 + اجرة كمريسر مع نقل 25 + تكسي ميكا تك يومان 75 + 140 باقي حساب العمال / اشرف مشروع المدينة</t>
  </si>
  <si>
    <t>1-06862</t>
  </si>
  <si>
    <t>سيكما</t>
  </si>
  <si>
    <t>سيكما ايبوكسي</t>
  </si>
  <si>
    <t>اشرف ميكاتك + نافورا</t>
  </si>
  <si>
    <t>5٬613</t>
  </si>
  <si>
    <t>خشب فايبر 10 لوح + اجرة</t>
  </si>
  <si>
    <t>2٬735</t>
  </si>
  <si>
    <t>المالجد لتجارة الخشب</t>
  </si>
  <si>
    <t>معاكس 6 مع اجرة 5</t>
  </si>
  <si>
    <t>2963/01/01</t>
  </si>
  <si>
    <t>نعيم السراء</t>
  </si>
  <si>
    <t>نعيم السراي + اجره 5</t>
  </si>
  <si>
    <t>فان + معطر</t>
  </si>
  <si>
    <t>1٬901</t>
  </si>
  <si>
    <t>الضيف للكهربائيات</t>
  </si>
  <si>
    <t>سلكون</t>
  </si>
  <si>
    <t>.</t>
  </si>
  <si>
    <t>2٬110</t>
  </si>
  <si>
    <t>اياد</t>
  </si>
  <si>
    <t>قماش 14 متر</t>
  </si>
  <si>
    <t>0000/376</t>
  </si>
  <si>
    <t>قماش 15 متر</t>
  </si>
  <si>
    <t>اجرة ار جاع الاحبار</t>
  </si>
  <si>
    <t>30504-1</t>
  </si>
  <si>
    <t>بلوتر سكاي كت 120 سم v48 مع مواد</t>
  </si>
  <si>
    <t>5٬662</t>
  </si>
  <si>
    <t>2٬660</t>
  </si>
  <si>
    <t>نوزلات</t>
  </si>
  <si>
    <t>سويجات بوكسات</t>
  </si>
  <si>
    <t>اجرة الابرار</t>
  </si>
  <si>
    <t>غذاء الجلب</t>
  </si>
  <si>
    <t>تيب عازل حرار</t>
  </si>
  <si>
    <t>2٬361</t>
  </si>
  <si>
    <t>شيش حديد 64 + حديد مغلون 75 + اجرة 15</t>
  </si>
  <si>
    <t>b2-31722</t>
  </si>
  <si>
    <t>السلام للالمنيوم + الاجرة 10</t>
  </si>
  <si>
    <t>اجرة بلوتر 16 + كيبل بلوتر 10</t>
  </si>
  <si>
    <t>000/156 - 000/155</t>
  </si>
  <si>
    <t>انشائيات الكاظمي</t>
  </si>
  <si>
    <t>رصيد 300 + مواد انشائية</t>
  </si>
  <si>
    <t>836</t>
  </si>
  <si>
    <t>البديري+نقل 10</t>
  </si>
  <si>
    <t>2٬690</t>
  </si>
  <si>
    <t>خشب + اجرة</t>
  </si>
  <si>
    <t>5٬730</t>
  </si>
  <si>
    <t>2٬691</t>
  </si>
  <si>
    <t>902-2</t>
  </si>
  <si>
    <t>صبغ رش + اجرة 1</t>
  </si>
  <si>
    <t>الجلب 6 قواطي</t>
  </si>
  <si>
    <t>اجرة غسالة</t>
  </si>
  <si>
    <t>كلبسات</t>
  </si>
  <si>
    <t>اشرف ميكا تك + نافورا</t>
  </si>
  <si>
    <t>توصيل</t>
  </si>
  <si>
    <t>مكثف ماء</t>
  </si>
  <si>
    <t>علاء بنكو مرثون البصرة</t>
  </si>
  <si>
    <t>مصاريف مارثون</t>
  </si>
  <si>
    <t>حيدر</t>
  </si>
  <si>
    <t>اجرة نقل مواد الى المارثون</t>
  </si>
  <si>
    <t>سفيفة اعلان صوان</t>
  </si>
  <si>
    <t>20٬010</t>
  </si>
  <si>
    <t>العلوش</t>
  </si>
  <si>
    <t>سبلت 2 طن</t>
  </si>
  <si>
    <t>تكاليف اصلاح المولدة</t>
  </si>
  <si>
    <t>استقطاع اجور توصيل 15 طلب حجم كبير الى شمس البصرة</t>
  </si>
  <si>
    <t>كاز من علاء بنكو 25 لتر</t>
  </si>
  <si>
    <t>اجور نقل اعلان الجزائر</t>
  </si>
  <si>
    <t>ماء مقطر</t>
  </si>
  <si>
    <t>2٬311</t>
  </si>
  <si>
    <t>5٬778</t>
  </si>
  <si>
    <t>مظخة دواء + زاهي</t>
  </si>
  <si>
    <t>اجور نقل مواد من حمدان و 5 ميل الى النافورا</t>
  </si>
  <si>
    <t>انشائية</t>
  </si>
  <si>
    <t>نقل كوشة حنان</t>
  </si>
  <si>
    <t>اجرة نقل السبلت</t>
  </si>
  <si>
    <t>793</t>
  </si>
  <si>
    <t>مصروفات يوسف</t>
  </si>
  <si>
    <t>كيبورت</t>
  </si>
  <si>
    <t>اجرة توصيل تيوب</t>
  </si>
  <si>
    <t>كيلون + سبرنكات للبيبان</t>
  </si>
  <si>
    <t>يونس يعقوب</t>
  </si>
  <si>
    <t>فرق صيرفة 1000$</t>
  </si>
  <si>
    <t>اجرة توصيل كراج طلب 652</t>
  </si>
  <si>
    <t>158-1</t>
  </si>
  <si>
    <t>مجموعة الاسدي</t>
  </si>
  <si>
    <t>تيب عازل حرار + جوزة 100 امبير</t>
  </si>
  <si>
    <t>3200/01/01</t>
  </si>
  <si>
    <t>بلك سيويج + ستلايت سويج</t>
  </si>
  <si>
    <t>سبلت</t>
  </si>
  <si>
    <t>اجرة نقل ابو السبالت</t>
  </si>
  <si>
    <t>اسواق</t>
  </si>
  <si>
    <t>اكياس نفايات + ماء</t>
  </si>
  <si>
    <t>اجرة نقل كوشة من قاعة الملوك</t>
  </si>
  <si>
    <t>صولدر + صوندة الى النافورة</t>
  </si>
  <si>
    <t>5٬844</t>
  </si>
  <si>
    <t>قفل الباب الذكي</t>
  </si>
  <si>
    <t>000.87</t>
  </si>
  <si>
    <t>ماء الخليج 50 كارتون</t>
  </si>
  <si>
    <t>مصاريف روزة</t>
  </si>
  <si>
    <t>خالد بنكو</t>
  </si>
  <si>
    <t>كاز</t>
  </si>
  <si>
    <t>اجرة + مصاريف الى مدينة الامل</t>
  </si>
  <si>
    <t>ماء 3 كارتون</t>
  </si>
  <si>
    <t>منتظر علي</t>
  </si>
  <si>
    <t>سرنجات</t>
  </si>
  <si>
    <t>مهندس نضافة</t>
  </si>
  <si>
    <t>اكرامية زبالة</t>
  </si>
  <si>
    <t>ايجار</t>
  </si>
  <si>
    <t>ايجار الشركه مقسم على ستت اشهر</t>
  </si>
  <si>
    <t>000/822</t>
  </si>
  <si>
    <t>اصباغ by</t>
  </si>
  <si>
    <t>اجور شد و خطورة اعلانات عبد الرضا</t>
  </si>
  <si>
    <t>اجور عباس توصيل كراج + اجرة</t>
  </si>
  <si>
    <t>اجور ميكا تك</t>
  </si>
  <si>
    <t>فليت ذبان + اجرة</t>
  </si>
  <si>
    <t>زقنبوت الجلب</t>
  </si>
  <si>
    <t>5٬883</t>
  </si>
  <si>
    <t>تصليح سيارة</t>
  </si>
  <si>
    <t>اجرة تكسي + شد اعلان صوان</t>
  </si>
  <si>
    <t>5٬904</t>
  </si>
  <si>
    <t>137٬392</t>
  </si>
  <si>
    <t>اجرة ابو الستوتة اعلانات</t>
  </si>
  <si>
    <t>7588-8726</t>
  </si>
  <si>
    <t>سفنج</t>
  </si>
  <si>
    <t>فرق صيرفة</t>
  </si>
  <si>
    <t>4٬408</t>
  </si>
  <si>
    <t>ورق جدران</t>
  </si>
  <si>
    <t>10٬185</t>
  </si>
  <si>
    <t>تكسي</t>
  </si>
  <si>
    <t>5٬965</t>
  </si>
  <si>
    <t>0/864</t>
  </si>
  <si>
    <t>ميكا</t>
  </si>
  <si>
    <t>سكما</t>
  </si>
  <si>
    <t>1-07030</t>
  </si>
  <si>
    <t>محمد السوري</t>
  </si>
  <si>
    <t>قماش اسود10 متر</t>
  </si>
  <si>
    <t>تصليح الطابعات</t>
  </si>
  <si>
    <t>اجور تكملة شد اعلان</t>
  </si>
  <si>
    <t>اجرة نقل الاصباغ سكما جوتن + قماش</t>
  </si>
  <si>
    <t>اجور توصيل طلبات</t>
  </si>
  <si>
    <t>6٬032</t>
  </si>
  <si>
    <t>1-07041</t>
  </si>
  <si>
    <t>اجور نقل + مصاريف اعلان الزبير</t>
  </si>
  <si>
    <t>قرطاسية</t>
  </si>
  <si>
    <t>اجره</t>
  </si>
  <si>
    <t>اجرة بلي نقل اغراض عبد الرضا</t>
  </si>
  <si>
    <t>اجرة للعشار</t>
  </si>
  <si>
    <t>اجرة نافورا</t>
  </si>
  <si>
    <t>199٬436</t>
  </si>
  <si>
    <t>مواد نافورلاا</t>
  </si>
  <si>
    <t>من يجي يحاسب</t>
  </si>
  <si>
    <t>نشينال</t>
  </si>
  <si>
    <t>نافورا</t>
  </si>
  <si>
    <t>مصاريف اعلان + ايجار درج</t>
  </si>
  <si>
    <t>اجور شد اعلان</t>
  </si>
  <si>
    <t>مقص بوري بلاستكك</t>
  </si>
  <si>
    <t>محمد علي</t>
  </si>
  <si>
    <t>فرش رسم</t>
  </si>
  <si>
    <t>سوكت</t>
  </si>
  <si>
    <t>6٬097</t>
  </si>
  <si>
    <t>6٬105</t>
  </si>
  <si>
    <t>اجرة ارجاع الدرج</t>
  </si>
  <si>
    <t>نايلون تغليف</t>
  </si>
  <si>
    <t>6٬115</t>
  </si>
  <si>
    <t>اجرة ستوتة الابرار * 2</t>
  </si>
  <si>
    <t>حسن قاسم</t>
  </si>
  <si>
    <t>231٬085</t>
  </si>
  <si>
    <t>شركة خبراء المستقبل</t>
  </si>
  <si>
    <t>11٬027</t>
  </si>
  <si>
    <t>جوتن + اجرة</t>
  </si>
  <si>
    <t>0/407</t>
  </si>
  <si>
    <t>جلد + اجرة</t>
  </si>
  <si>
    <t>اجرة نقل من بغداد قطعة نافورة</t>
  </si>
  <si>
    <t>2لوح لبان + اجور توصيل</t>
  </si>
  <si>
    <t>طباعة يوفي</t>
  </si>
  <si>
    <t>قطعة النافورا</t>
  </si>
  <si>
    <t>صبغ جوتن + رولات</t>
  </si>
  <si>
    <t>11٬242</t>
  </si>
  <si>
    <t>اجور نقل طاولة و باقي اغراض ميكا</t>
  </si>
  <si>
    <t>نورس صباغ ميكاتك</t>
  </si>
  <si>
    <t>وليد + محمد رشيد</t>
  </si>
  <si>
    <t>حوالة ابو الجام للنافورا</t>
  </si>
  <si>
    <t>تفعيل نت</t>
  </si>
  <si>
    <t>مباخر 50 قطعه</t>
  </si>
  <si>
    <t>اجور شمس البصرة متبقي الطلبات الكبيرة</t>
  </si>
  <si>
    <t>خالد بنكو ميكا</t>
  </si>
  <si>
    <t>رول تغليف</t>
  </si>
  <si>
    <t>6٬220</t>
  </si>
  <si>
    <t>طابعة</t>
  </si>
  <si>
    <t>كاز برميل</t>
  </si>
  <si>
    <t>تحويل ارباح بيج جالس كالري</t>
  </si>
  <si>
    <t>ببلز 2 رولة</t>
  </si>
  <si>
    <t>اجرة صفاء خشب + معرض الابرار</t>
  </si>
  <si>
    <t>بقت 5 بالبطاقة</t>
  </si>
  <si>
    <t>جام + مسواك + نقل (نافورا)</t>
  </si>
  <si>
    <t>دوشمة كراسي ميكا</t>
  </si>
  <si>
    <t>اجرة نقل</t>
  </si>
  <si>
    <t>8٬725</t>
  </si>
  <si>
    <t>0/142</t>
  </si>
  <si>
    <t>الماجد لتجارة الاخشاب طلبي 2 وصل صسابق + هذ الوصل</t>
  </si>
  <si>
    <t>6٬680</t>
  </si>
  <si>
    <t>8٬645</t>
  </si>
  <si>
    <t>اجرة اعلان داخلي</t>
  </si>
  <si>
    <t>سجاد توصيل</t>
  </si>
  <si>
    <t>اجرة توصيلة طلبات الشركات</t>
  </si>
  <si>
    <t>8٬745</t>
  </si>
  <si>
    <t>اجرة وليد</t>
  </si>
  <si>
    <t>ضاغطة للكاز</t>
  </si>
  <si>
    <t>شحن بطاقة ماستر 142000 تم التحويل الى ابو الجام</t>
  </si>
  <si>
    <t>مطبعة اليوسف</t>
  </si>
  <si>
    <t>النافورا</t>
  </si>
  <si>
    <t>تكملة حساب جوتن المرة السابقة</t>
  </si>
  <si>
    <t>منتظر فلاح</t>
  </si>
  <si>
    <t>جروخ</t>
  </si>
  <si>
    <t>ارباح بيج جارلس گالري</t>
  </si>
  <si>
    <t>علي الحداد حاويات مصطفى</t>
  </si>
  <si>
    <t>اجور شد اعلانات</t>
  </si>
  <si>
    <t>اجور شمس البصره طلبات كبيرة</t>
  </si>
  <si>
    <t>قواعد رجلين كرسي</t>
  </si>
  <si>
    <t>صرف الى يوسف 875.000المتبقي من فلاح ميكاتك</t>
  </si>
  <si>
    <t>b5-35682</t>
  </si>
  <si>
    <t>مسواك حسين</t>
  </si>
  <si>
    <t>8٬626</t>
  </si>
  <si>
    <t>تصفير حساب الخورة</t>
  </si>
  <si>
    <t>بانزين + نقل جام نافورا</t>
  </si>
  <si>
    <t>ملكان + كراتين + اجرة</t>
  </si>
  <si>
    <t>شد اعلان + اجرة الخورة</t>
  </si>
  <si>
    <t>اجور توصيل كراج 755 / 754</t>
  </si>
  <si>
    <t>جام نافورا</t>
  </si>
  <si>
    <t>دبات رش</t>
  </si>
  <si>
    <t>اجور نافورا</t>
  </si>
  <si>
    <t>فرش</t>
  </si>
  <si>
    <t>0/803</t>
  </si>
  <si>
    <t>0/8645</t>
  </si>
  <si>
    <t>72-4</t>
  </si>
  <si>
    <t>اور للتكنلوجيا</t>
  </si>
  <si>
    <t>1٬550</t>
  </si>
  <si>
    <t>بطاقة ذاكرة</t>
  </si>
  <si>
    <t>9٬164</t>
  </si>
  <si>
    <t>9٬184</t>
  </si>
  <si>
    <t>135٬435</t>
  </si>
  <si>
    <t>عقيل حديد</t>
  </si>
  <si>
    <t>9٬189</t>
  </si>
  <si>
    <t>مباخر</t>
  </si>
  <si>
    <t>براغي + قفايص</t>
  </si>
  <si>
    <t>حاويات مصطفى</t>
  </si>
  <si>
    <t>6٬714</t>
  </si>
  <si>
    <t>9٬180</t>
  </si>
  <si>
    <t>حديد + قفايص</t>
  </si>
  <si>
    <t>0/1986</t>
  </si>
  <si>
    <t>بديل حجر</t>
  </si>
  <si>
    <t>404٬144</t>
  </si>
  <si>
    <t>نورس الصباغ</t>
  </si>
  <si>
    <t>13 لوح فايبر مشروع المدينة</t>
  </si>
  <si>
    <t>رولات</t>
  </si>
  <si>
    <t>قهوة</t>
  </si>
  <si>
    <t>فرج</t>
  </si>
  <si>
    <t>9٬074</t>
  </si>
  <si>
    <t>9٬078</t>
  </si>
  <si>
    <t>االابرار</t>
  </si>
  <si>
    <t>11201 / 11202</t>
  </si>
  <si>
    <t>ممكتب ابو حسن امور طابعات</t>
  </si>
  <si>
    <t>6٬679</t>
  </si>
  <si>
    <t>9٬086</t>
  </si>
  <si>
    <t>9٬088</t>
  </si>
  <si>
    <t>اجور اعلان من يوسف</t>
  </si>
  <si>
    <t>30٬708</t>
  </si>
  <si>
    <t>براغي + اجرة لاعلان ديفان</t>
  </si>
  <si>
    <t>اجور طباعة السوري</t>
  </si>
  <si>
    <t>135٬466</t>
  </si>
  <si>
    <t>9٬099</t>
  </si>
  <si>
    <t>اجرة نقل الكورنر</t>
  </si>
  <si>
    <t>اجرة+ثنر+صبغ</t>
  </si>
  <si>
    <t>اجور توصيل</t>
  </si>
  <si>
    <t>34٬623</t>
  </si>
  <si>
    <t>الخورة + عمولة تحويل</t>
  </si>
  <si>
    <t>واير لحيم + فيتة 8 م</t>
  </si>
  <si>
    <t>اجرة نقل مواد الخورة</t>
  </si>
  <si>
    <t>نقل 30 اكل 10</t>
  </si>
  <si>
    <t>0/8979</t>
  </si>
  <si>
    <t>0/933</t>
  </si>
  <si>
    <t>ماستر كارت حيدر المحاسب</t>
  </si>
  <si>
    <t>باتريات خودة لحام</t>
  </si>
  <si>
    <t>كلينس</t>
  </si>
  <si>
    <t>براغي سكرو</t>
  </si>
  <si>
    <t>جرة</t>
  </si>
  <si>
    <t>ببلز</t>
  </si>
  <si>
    <t>مصاريف المقر الجديد</t>
  </si>
  <si>
    <t>اجرة نقل كراج + اجرة توصيل</t>
  </si>
  <si>
    <t>تعلان حلا</t>
  </si>
  <si>
    <t>اجور طلب 767</t>
  </si>
  <si>
    <t>0/9048</t>
  </si>
  <si>
    <t>حصو + رمل و سمنت الى المقر الجديد</t>
  </si>
  <si>
    <t>اجرة ستوته نقل الربلات</t>
  </si>
  <si>
    <t>سرنجة مال حاسبة</t>
  </si>
  <si>
    <t>8٬913</t>
  </si>
  <si>
    <t>413</t>
  </si>
  <si>
    <t>اجور كهرباء رشوة</t>
  </si>
  <si>
    <t>شد و تصليح سبالت الشركه</t>
  </si>
  <si>
    <t>هارد</t>
  </si>
  <si>
    <t>كاميرات الشركة</t>
  </si>
  <si>
    <t>اجرة + سبيس + سلفة + سمنت للشركة</t>
  </si>
  <si>
    <t>شحن ماستر</t>
  </si>
  <si>
    <t>جامة تحويل ماستر</t>
  </si>
  <si>
    <t>شمعات + جوك</t>
  </si>
  <si>
    <t>صرفيات شركة</t>
  </si>
  <si>
    <t>323</t>
  </si>
  <si>
    <t>كهربائيات السيد</t>
  </si>
  <si>
    <t>اجور موقع الورشه الجديد ستوتة</t>
  </si>
  <si>
    <t>شد اعلان مع لحيم</t>
  </si>
  <si>
    <t>اجور نقل</t>
  </si>
  <si>
    <t>نقل اعلان العشار</t>
  </si>
  <si>
    <t>414</t>
  </si>
  <si>
    <t>عشاء</t>
  </si>
  <si>
    <t>نقل اعلان عبد الرضا</t>
  </si>
  <si>
    <t>لاصق شفاف</t>
  </si>
  <si>
    <t>اجرة بنكو الشركة الجديدة</t>
  </si>
  <si>
    <t>اجور نقل بين الورشة و الشركه العمال</t>
  </si>
  <si>
    <t>اجور اعلان الالعاب</t>
  </si>
  <si>
    <t>جرس + نقطة</t>
  </si>
  <si>
    <t>تركيب جام نافورا</t>
  </si>
  <si>
    <t>رصيد تفعيل نت للورشة</t>
  </si>
  <si>
    <t>اجرة هينو</t>
  </si>
  <si>
    <t>اجور نقل بين الورشة و الشركه العمال ثلاثة ايام</t>
  </si>
  <si>
    <t>اجور فتح السندويج</t>
  </si>
  <si>
    <t>856</t>
  </si>
  <si>
    <t>38٬845</t>
  </si>
  <si>
    <t>السلام</t>
  </si>
  <si>
    <t>غداء عمال</t>
  </si>
  <si>
    <t>سندويج</t>
  </si>
  <si>
    <t>هياب</t>
  </si>
  <si>
    <t>صرفيات وليد ورشة</t>
  </si>
  <si>
    <t>اجرة 2 ستوتة + زبالة</t>
  </si>
  <si>
    <t>مصاريف ورشة</t>
  </si>
  <si>
    <t>اجرة نقل اكرلك من الورشه</t>
  </si>
  <si>
    <t>كاميرات الشركة + نت</t>
  </si>
  <si>
    <t>حوالة شلال نافورا</t>
  </si>
  <si>
    <t>ستوتة سقيفة</t>
  </si>
  <si>
    <t>مواد سقيفة</t>
  </si>
  <si>
    <t>مسواك اصباغ</t>
  </si>
  <si>
    <t>جام</t>
  </si>
  <si>
    <t>صرفيات نافورا</t>
  </si>
  <si>
    <t>دين على حيدر المحاسب</t>
  </si>
  <si>
    <t>فليكس كبير</t>
  </si>
  <si>
    <t>ابو علي</t>
  </si>
  <si>
    <t>نابض حلزوني للباب</t>
  </si>
  <si>
    <t>بصمة</t>
  </si>
  <si>
    <t>تداوي</t>
  </si>
  <si>
    <t>هينو</t>
  </si>
  <si>
    <t>9٬791</t>
  </si>
  <si>
    <t>شناطات + روبة</t>
  </si>
  <si>
    <t>مصاريف اعلان</t>
  </si>
  <si>
    <t>9٬982</t>
  </si>
  <si>
    <t>طعام 7</t>
  </si>
  <si>
    <t>طلبية زاوية حديد</t>
  </si>
  <si>
    <t>اجار دريل</t>
  </si>
  <si>
    <t>اجرة قياسات اعلان</t>
  </si>
  <si>
    <t>ماء مقصر</t>
  </si>
  <si>
    <t>حسين مصطفى</t>
  </si>
  <si>
    <t>00/94</t>
  </si>
  <si>
    <t>202</t>
  </si>
  <si>
    <t>مسواك ديكور غرفة الصفوة</t>
  </si>
  <si>
    <t>اجرة هياب</t>
  </si>
  <si>
    <t>حوالة ام الناصرية</t>
  </si>
  <si>
    <t>كيبوردات + توصالة</t>
  </si>
  <si>
    <t>منشار زاوية + اجره</t>
  </si>
  <si>
    <t>عشاء منتظر</t>
  </si>
  <si>
    <t>دريل اجار</t>
  </si>
  <si>
    <t>دريل</t>
  </si>
  <si>
    <t>اصلاح اعلان مدينة العاب</t>
  </si>
  <si>
    <t>تصليح مولد</t>
  </si>
  <si>
    <t>ديكور مكتب</t>
  </si>
  <si>
    <t>اجور نقل حسين اليمني</t>
  </si>
  <si>
    <t>رولات صبغ</t>
  </si>
  <si>
    <t>كورنيشات</t>
  </si>
  <si>
    <t>الابرار + اجرة</t>
  </si>
  <si>
    <t>شمعات</t>
  </si>
  <si>
    <t>منضفات</t>
  </si>
  <si>
    <t>كيبورد + ماوس + كيبل اش دي ٢ توصيلات كابستر</t>
  </si>
  <si>
    <t>لدات اعلان</t>
  </si>
  <si>
    <t>تحويل الى علي سي ان سي</t>
  </si>
  <si>
    <t>0/318</t>
  </si>
  <si>
    <t>ابو السبالت</t>
  </si>
  <si>
    <t>اجرة شد اعلان</t>
  </si>
  <si>
    <t>مصاريف حاويلت + اعلان بلدية</t>
  </si>
  <si>
    <t>تفعيل اشتراك المحاسب</t>
  </si>
  <si>
    <t>اجرة نقل اعلان البلدية</t>
  </si>
  <si>
    <t>اجرة نقل اعلان الدكتور</t>
  </si>
  <si>
    <t>منظفات اكياس</t>
  </si>
  <si>
    <t>صبغ رش حاويات</t>
  </si>
  <si>
    <t>ايجار شقة سيف</t>
  </si>
  <si>
    <t>اجور طباعة جوازات</t>
  </si>
  <si>
    <t>الانترنيت</t>
  </si>
  <si>
    <t>عمولة تحويل</t>
  </si>
  <si>
    <t>كباب</t>
  </si>
  <si>
    <t>گاز</t>
  </si>
  <si>
    <t>براين + ماء مقطر + براغي</t>
  </si>
  <si>
    <t>كونتكترات مولدة</t>
  </si>
  <si>
    <t>شطاف + مسدس صبغ</t>
  </si>
  <si>
    <t>اجور ميكاتك</t>
  </si>
  <si>
    <t>تفعيل حساب سيف</t>
  </si>
  <si>
    <t>قرض حيدر المحاسب</t>
  </si>
  <si>
    <t>0/117</t>
  </si>
  <si>
    <t>الابرار مع الاجرة</t>
  </si>
  <si>
    <t>اجرة قياسات اعلان المقهى</t>
  </si>
  <si>
    <t>اجور قص سي ان سي اعلان البلديه</t>
  </si>
  <si>
    <t>عمولة سحب البطاقة</t>
  </si>
  <si>
    <t>جاي + سكر</t>
  </si>
  <si>
    <t>حديد انج 1.5 ملم 20 روطة</t>
  </si>
  <si>
    <t>9٬000</t>
  </si>
  <si>
    <t>خشب mdf 18 ملم</t>
  </si>
  <si>
    <t>حجرات كوسره + وايرات نت + واير لحيم</t>
  </si>
  <si>
    <t>رصيد تفعيل نت</t>
  </si>
  <si>
    <t>0/642</t>
  </si>
  <si>
    <t>علاجات الشباب</t>
  </si>
  <si>
    <t>كاوية صولدر</t>
  </si>
  <si>
    <t>شراء هاتف حيدر المحاسب</t>
  </si>
  <si>
    <t>حساب عمل بوردكس اعلان بالكوني</t>
  </si>
  <si>
    <t>0/663</t>
  </si>
  <si>
    <t>ورق a4 عادي + فوتو</t>
  </si>
  <si>
    <t>معجون فايبر + صبغ</t>
  </si>
  <si>
    <t>كاوية اصلية</t>
  </si>
  <si>
    <t>0/684</t>
  </si>
  <si>
    <t>طباعة uv</t>
  </si>
  <si>
    <t>اجرة عبدالرضا + سراج</t>
  </si>
  <si>
    <t>2 كارتون وايرات</t>
  </si>
  <si>
    <t>0000/378</t>
  </si>
  <si>
    <t>قايش ليزر + عدسة ليزر 2 ملم + عدسة امريكي</t>
  </si>
  <si>
    <t>صبغ مسدس</t>
  </si>
  <si>
    <t>مصاريف بارامترك</t>
  </si>
  <si>
    <t>صبغ + ثنر</t>
  </si>
  <si>
    <t>كيلون + سلسلة + قفل</t>
  </si>
  <si>
    <t>نقل</t>
  </si>
  <si>
    <t>خصم و تصفير حساب الحاويات الاعلانية مصطفى الدخان</t>
  </si>
  <si>
    <t>حجر كوسرة</t>
  </si>
  <si>
    <t>كاغد جام</t>
  </si>
  <si>
    <t>وزارة الكهرباء</t>
  </si>
  <si>
    <t>2 لوح mdf 18 ملم</t>
  </si>
  <si>
    <t>مراة للكوشة تلف</t>
  </si>
  <si>
    <t>صبخ للطبليات</t>
  </si>
  <si>
    <t>قرائين</t>
  </si>
  <si>
    <t>صرف قرض حيدر المحاسب</t>
  </si>
  <si>
    <t>نت</t>
  </si>
  <si>
    <t>938</t>
  </si>
  <si>
    <t>724</t>
  </si>
  <si>
    <t>محولات 400 واط * 4</t>
  </si>
  <si>
    <t>سباحات الكورنر</t>
  </si>
  <si>
    <t>كوبون للاعلان</t>
  </si>
  <si>
    <t>سلفون تغليف * 2</t>
  </si>
  <si>
    <t>اضائة + صبغ للكورنر</t>
  </si>
  <si>
    <t>1٬012</t>
  </si>
  <si>
    <t>سراج راح يشتري مسدس و فلاتر</t>
  </si>
  <si>
    <t>اجور روحة ردة طبليات</t>
  </si>
  <si>
    <t>مسدس بطة + صوندة</t>
  </si>
  <si>
    <t>سيكوتين</t>
  </si>
  <si>
    <t>فرج صبغ</t>
  </si>
  <si>
    <t>ضيافة</t>
  </si>
  <si>
    <t>yas</t>
  </si>
  <si>
    <t>حديد لوي</t>
  </si>
  <si>
    <t>1٬104</t>
  </si>
  <si>
    <t>34 لوح / 10MM</t>
  </si>
  <si>
    <t>فوم 10 لوح 18 mm</t>
  </si>
  <si>
    <t>زاويه 3 انج 3 ملم 6</t>
  </si>
  <si>
    <t>18 لوح / 6 MM</t>
  </si>
  <si>
    <t>15 روطة مغلون 0.8</t>
  </si>
  <si>
    <t>نرمايد بلاستك عدد 70</t>
  </si>
  <si>
    <t>اندنوسي 2 لوح</t>
  </si>
  <si>
    <t>كبان ليزر</t>
  </si>
  <si>
    <t>واير 30 متر</t>
  </si>
  <si>
    <t>بدلات عمل 2</t>
  </si>
  <si>
    <t>لوح mdf 18mm كريمي</t>
  </si>
  <si>
    <t>حديد الفلكس</t>
  </si>
  <si>
    <t>بوت سيفتي</t>
  </si>
  <si>
    <t>حديد عوج</t>
  </si>
  <si>
    <t>فوم الخورة</t>
  </si>
  <si>
    <t>خشب اندنوسي</t>
  </si>
  <si>
    <t>لد</t>
  </si>
  <si>
    <t>طلق</t>
  </si>
  <si>
    <t>مقصات جبس</t>
  </si>
  <si>
    <t>منشار</t>
  </si>
  <si>
    <t>طباشير</t>
  </si>
  <si>
    <t>مايك منصة</t>
  </si>
  <si>
    <t>حديد فوتوبوث</t>
  </si>
  <si>
    <t>اكرلك اسود</t>
  </si>
  <si>
    <t>نسبة اعلان كهربائي</t>
  </si>
  <si>
    <t>مسدس صبغ</t>
  </si>
  <si>
    <t>بطل ليزر</t>
  </si>
  <si>
    <t>1٬165</t>
  </si>
  <si>
    <t>1٬138</t>
  </si>
  <si>
    <t>اصباغ و مواد صبغ</t>
  </si>
  <si>
    <t>فلين</t>
  </si>
  <si>
    <t>1٬231</t>
  </si>
  <si>
    <t>البصرة الصناعي + الاجرة</t>
  </si>
  <si>
    <t>الابرار نرمايد</t>
  </si>
  <si>
    <t>0/891</t>
  </si>
  <si>
    <t>اصباغ فكستون + مع الاجرة</t>
  </si>
  <si>
    <t>6٬206</t>
  </si>
  <si>
    <t>تحويل الى ابو الطاولات</t>
  </si>
  <si>
    <t>كاز + برميل</t>
  </si>
  <si>
    <t>1٬207</t>
  </si>
  <si>
    <t>1٬208</t>
  </si>
  <si>
    <t>اصباغ جوتن</t>
  </si>
  <si>
    <t>سيلكون كارتون</t>
  </si>
  <si>
    <t>مصرف سيف عدنان</t>
  </si>
  <si>
    <t>مكافئة حيدر يافوز</t>
  </si>
  <si>
    <t>صبغ by * 4</t>
  </si>
  <si>
    <t>اجرة نقل البوث + الستيكر دربين</t>
  </si>
  <si>
    <t>اجور</t>
  </si>
  <si>
    <t>لكر ماء</t>
  </si>
  <si>
    <t>مشاحيف 3</t>
  </si>
  <si>
    <t>حساب اخو حيدر الصباغ</t>
  </si>
  <si>
    <t>حوالة ابو الطاولات</t>
  </si>
  <si>
    <t>الخورة اللمنيوم</t>
  </si>
  <si>
    <t>1٬282</t>
  </si>
  <si>
    <t>مجموع طعام لايام المشروع</t>
  </si>
  <si>
    <t>mdf</t>
  </si>
  <si>
    <t>3 الواح mdf</t>
  </si>
  <si>
    <t>اجرة هينو يوم التسليم</t>
  </si>
  <si>
    <t>ارجاع تحويل الدكتورة</t>
  </si>
  <si>
    <t>بافي حساب حيدر الصباغ</t>
  </si>
  <si>
    <t>طعام</t>
  </si>
  <si>
    <t>الخورة فوم مع الاجره</t>
  </si>
  <si>
    <t>مصاريف يوم التسليم</t>
  </si>
  <si>
    <t>حساب حيدر الصباغ</t>
  </si>
  <si>
    <t>رصيد المدير</t>
  </si>
  <si>
    <t>عمولات تحويل 3</t>
  </si>
  <si>
    <t>بطارية الكاميرا</t>
  </si>
  <si>
    <t>حساب باقر العامل</t>
  </si>
  <si>
    <t>مواد لصق ستيكر</t>
  </si>
  <si>
    <t>منظفات + كاغد جام</t>
  </si>
  <si>
    <t>مصاريف قياسات اعلانات</t>
  </si>
  <si>
    <t>1٬360</t>
  </si>
  <si>
    <t>علاوي الي لزك الستيكر بالمشروع</t>
  </si>
  <si>
    <t>1٬339</t>
  </si>
  <si>
    <t>معجون بارامترك</t>
  </si>
  <si>
    <t>الحجي بنكو</t>
  </si>
  <si>
    <t>الخرطوم</t>
  </si>
  <si>
    <t>مصروفات ماء و زاهي</t>
  </si>
  <si>
    <t>1٬416</t>
  </si>
  <si>
    <t>باسكت اعلان البهادرية</t>
  </si>
  <si>
    <t>انشائيات بارامترك</t>
  </si>
  <si>
    <t>كوسرة</t>
  </si>
  <si>
    <t>باسكت اقواس</t>
  </si>
  <si>
    <t>مصاريف يوسف يعقوب ياس + بارامترك</t>
  </si>
  <si>
    <t>اجرة حمل نقل</t>
  </si>
  <si>
    <t>بنكو شد اعلان</t>
  </si>
  <si>
    <t>مصاريف مشروع من سيف الى سراج</t>
  </si>
  <si>
    <t>ابراهيم</t>
  </si>
  <si>
    <t>مصاريف بارا مترك من ابراهيم</t>
  </si>
  <si>
    <t>دهن مكينة</t>
  </si>
  <si>
    <t>قرطاسة</t>
  </si>
  <si>
    <t>الكترونيات</t>
  </si>
  <si>
    <t>كيبورت تاب</t>
  </si>
  <si>
    <t>كفوف + انشائيات + واير لحيم</t>
  </si>
  <si>
    <t>انوار كاظم</t>
  </si>
  <si>
    <t>غاز</t>
  </si>
  <si>
    <t>محمد مضلوم</t>
  </si>
  <si>
    <t>جادر ازرق لسقيفة الورشة الامامية</t>
  </si>
  <si>
    <t>قماش قديفة 5 م * 7.000</t>
  </si>
  <si>
    <t>اجرة تكسي</t>
  </si>
  <si>
    <t>صرف 10 الى ابراهيم يكول عدة شغل في بيت اهل سيف</t>
  </si>
  <si>
    <t>صرف مستحقات محمد مضلوم لمشروع ياس</t>
  </si>
  <si>
    <t>صرف مستحقات علي فوشي لمشروع ياس</t>
  </si>
  <si>
    <t>سوك الجمعة</t>
  </si>
  <si>
    <t>1٬522</t>
  </si>
  <si>
    <t>00/155</t>
  </si>
  <si>
    <t>محولات عدد ٢٢</t>
  </si>
  <si>
    <t>شراء شاشة من حساب سيف</t>
  </si>
  <si>
    <t>1٬570</t>
  </si>
  <si>
    <t>باسكت و سلكون و اجرة</t>
  </si>
  <si>
    <t>تصليح لابتوب سيف</t>
  </si>
  <si>
    <t>حديد + اجرة لمكاتب الدكتور</t>
  </si>
  <si>
    <t>نسبة عبد الرضا من اعلان الاسماك</t>
  </si>
  <si>
    <t>واير ناعم اعلانات و ماء مقطر</t>
  </si>
  <si>
    <t>سطل معجون و صبغ</t>
  </si>
  <si>
    <t>بطارية كاميرا و شاحنه</t>
  </si>
  <si>
    <t>اجرة الابرار*2</t>
  </si>
  <si>
    <t>تصليح الكاميرا</t>
  </si>
  <si>
    <t>مواد اصباغ</t>
  </si>
  <si>
    <t>باتريات</t>
  </si>
  <si>
    <t>1٬705</t>
  </si>
  <si>
    <t>طوافة</t>
  </si>
  <si>
    <t>1٬896</t>
  </si>
  <si>
    <t>1٬934</t>
  </si>
  <si>
    <t>اجرة الابرار *2</t>
  </si>
  <si>
    <t>1٬996</t>
  </si>
  <si>
    <t>صوصج + مسدس</t>
  </si>
  <si>
    <t>صرف الى واجهة المشراك علي عطور بوردكس</t>
  </si>
  <si>
    <t>كهرباء رشوة</t>
  </si>
  <si>
    <t>حيدر الصباغ حساب الميز مال الدكتور مع طلب حساب باراتمترك</t>
  </si>
  <si>
    <t>مشتريات يوسف لمكتب الدكتور</t>
  </si>
  <si>
    <t>حساب عبداللة الصباغ في ياس</t>
  </si>
  <si>
    <t>2٬586</t>
  </si>
  <si>
    <t>حديد مع الاجرة</t>
  </si>
  <si>
    <t>2٬038</t>
  </si>
  <si>
    <t>6 كارتون براغي + سيت جرخ كوسرة</t>
  </si>
  <si>
    <t>سبيس</t>
  </si>
  <si>
    <t>اجور تدريب و تطوير حيدر يافوز و عبد الرضا</t>
  </si>
  <si>
    <t>طلبة الدوانية البوث الدعائي و الاحبار و المنضف</t>
  </si>
  <si>
    <t>مسواك سوك الجمعة</t>
  </si>
  <si>
    <t>نقل اعلان المهندس الميكانيكي</t>
  </si>
  <si>
    <t>نقل اعلان البلدية</t>
  </si>
  <si>
    <t>متبقي حساب ياس</t>
  </si>
  <si>
    <t>قوري جاي مع استكاين للاعلانات</t>
  </si>
  <si>
    <t>غراض لمسدس المسامير</t>
  </si>
  <si>
    <t>اجرة حيدر يافوز الى المعهد</t>
  </si>
  <si>
    <t>مصاريف اعلان البلدية</t>
  </si>
  <si>
    <t>متبقي حساب ابراهيم من واجهة علي للعطور</t>
  </si>
  <si>
    <t>2٬120</t>
  </si>
  <si>
    <t>2٬411</t>
  </si>
  <si>
    <t>مشروع ميز الدكتور سويجات + بوكسات مع شراء كلبسات مسدس</t>
  </si>
  <si>
    <t>b6_50129</t>
  </si>
  <si>
    <t>السلام للالمنيوم + الاجر ة</t>
  </si>
  <si>
    <t>2٬363</t>
  </si>
  <si>
    <t>اجور نقل hm</t>
  </si>
  <si>
    <t>مصاريف شد ستيكر h m</t>
  </si>
  <si>
    <t>مراية</t>
  </si>
  <si>
    <t>اكمال لصق ستيكر hm</t>
  </si>
  <si>
    <t>كراجية</t>
  </si>
  <si>
    <t>2٬653</t>
  </si>
  <si>
    <t>الابرار + اجرة حته الاجرة ديون لدات صيني 500 ب 500 شمسي ابيض مع كلورو فوم</t>
  </si>
  <si>
    <t>برينة +انشائيات بسيطة لشد اعلان مقهى ديوان</t>
  </si>
  <si>
    <t>اجرة تكسي كادر شد اعلان مقهى ديوان</t>
  </si>
  <si>
    <t>جنطة + كبان 10سم</t>
  </si>
  <si>
    <t>جوزة تحويل مولد عدد 2</t>
  </si>
  <si>
    <t>2٬619</t>
  </si>
  <si>
    <t>معرض الابرار 2 رولة بنر</t>
  </si>
  <si>
    <t>متبقي حساب محمد الفضيلي من مشروع ياس 4 ايام محمد الفضيلي و يومان محمد يحيى</t>
  </si>
  <si>
    <t>كارتون بلك سويج</t>
  </si>
  <si>
    <t>نرمايد باب</t>
  </si>
  <si>
    <t>كلبسمسدس هواء</t>
  </si>
  <si>
    <t>2٬844</t>
  </si>
  <si>
    <t>بلاستك اسود</t>
  </si>
  <si>
    <t>مقدم فايبر اكس</t>
  </si>
  <si>
    <t>خلاط للحمام الجوة</t>
  </si>
  <si>
    <t>توصيل جام +فلين</t>
  </si>
  <si>
    <t>اجرةالابرار</t>
  </si>
  <si>
    <t>2٬933</t>
  </si>
  <si>
    <t>اكرلك بنفسجي . برتقالي شريط شمسي</t>
  </si>
  <si>
    <t>82</t>
  </si>
  <si>
    <t>حديد حرف + لوكو</t>
  </si>
  <si>
    <t>2٬938</t>
  </si>
  <si>
    <t>شريط ابيض</t>
  </si>
  <si>
    <t>10٬201٬001</t>
  </si>
  <si>
    <t>الابرار اجرة</t>
  </si>
  <si>
    <t>2٬688</t>
  </si>
  <si>
    <t>كريمي . اميري</t>
  </si>
  <si>
    <t>37٬349</t>
  </si>
  <si>
    <t>مكينة لحام</t>
  </si>
  <si>
    <t>مصاريف شد الميز الرصاصي</t>
  </si>
  <si>
    <t>حجرة كوسره</t>
  </si>
  <si>
    <t>5003</t>
  </si>
  <si>
    <t>5007</t>
  </si>
  <si>
    <t>5004</t>
  </si>
  <si>
    <t>5006</t>
  </si>
  <si>
    <t>واير تسسليك انارة</t>
  </si>
  <si>
    <t>عربون مظلة علي  كرار</t>
  </si>
  <si>
    <t>اجرة الاحرف الكبيرة</t>
  </si>
  <si>
    <t>شمعات انارة الكراج</t>
  </si>
  <si>
    <t>صيانةفايبر اكس</t>
  </si>
  <si>
    <t>فوم رش</t>
  </si>
  <si>
    <t>تسليم سيد ابراهيم فايبر اكس</t>
  </si>
  <si>
    <t>شراء لد الى البلدية ( نعيم الراي )</t>
  </si>
  <si>
    <t>باسكت فايبر اكس</t>
  </si>
  <si>
    <t>شفاطات منظفات</t>
  </si>
  <si>
    <t>بانزين السيارة</t>
  </si>
  <si>
    <t>نقل طلبية</t>
  </si>
  <si>
    <t>طلبية فاء + ديون</t>
  </si>
  <si>
    <t>وايز ناعم كارتون</t>
  </si>
  <si>
    <t>فوم 2 لوح + تويل</t>
  </si>
  <si>
    <t>دفع عربون حديد البلدية</t>
  </si>
  <si>
    <t>حديد دفعة اخيرة</t>
  </si>
  <si>
    <t>تسديد باقي دفعة المضلة</t>
  </si>
  <si>
    <t>غاز+ رولة + مسد</t>
  </si>
  <si>
    <t>نرمادة + كفوف + نضارة لحيم</t>
  </si>
  <si>
    <t>تويل حديد زاوية</t>
  </si>
  <si>
    <t>بغ فكستون + توصيل</t>
  </si>
  <si>
    <t>تويل طلبات عدد 2</t>
  </si>
  <si>
    <t>توصيل الابرار</t>
  </si>
  <si>
    <t>جاي</t>
  </si>
  <si>
    <t>حساب سعد الحداد</t>
  </si>
  <si>
    <t>انترنيت</t>
  </si>
  <si>
    <t>مواد انشائية</t>
  </si>
  <si>
    <t>لثام + نضارات</t>
  </si>
  <si>
    <t>قفل بلدية المحاكم</t>
  </si>
  <si>
    <t>سبورت لايت</t>
  </si>
  <si>
    <t>بروجكتر هالوجين</t>
  </si>
  <si>
    <t>هولدرات</t>
  </si>
  <si>
    <t>وندات كهرباء</t>
  </si>
  <si>
    <t>شناطات</t>
  </si>
  <si>
    <t>حديد 4/3 انج</t>
  </si>
  <si>
    <t>نقل حصو سمنت رمل</t>
  </si>
  <si>
    <t>اسعد الحداد</t>
  </si>
  <si>
    <t>صعام + ماء</t>
  </si>
  <si>
    <t>نقل مواد0</t>
  </si>
  <si>
    <t>نقل مواد بلدية</t>
  </si>
  <si>
    <t>طعام حيدر  + عبدجلله ليلا</t>
  </si>
  <si>
    <t>نقل بوث</t>
  </si>
  <si>
    <t>طعام عمال شركة</t>
  </si>
  <si>
    <t>عبدالله</t>
  </si>
  <si>
    <t>طعام موقعبي بوث</t>
  </si>
  <si>
    <t>بوردكس + انشائية</t>
  </si>
  <si>
    <t>سعد الحداد بوث</t>
  </si>
  <si>
    <t>انشائيات + ديكور</t>
  </si>
  <si>
    <t>تسديد الابرار</t>
  </si>
  <si>
    <t>وقود طائرات</t>
  </si>
  <si>
    <t>طعام بوث</t>
  </si>
  <si>
    <t>انشائيات بوث</t>
  </si>
  <si>
    <t>الخورة فوم بوث</t>
  </si>
  <si>
    <t>صبغ + اجرة</t>
  </si>
  <si>
    <t>اجرة حديد</t>
  </si>
  <si>
    <t>عمال 3</t>
  </si>
  <si>
    <t>مواد علوة</t>
  </si>
  <si>
    <t>انارة + اجرة</t>
  </si>
  <si>
    <t>محمد سيد</t>
  </si>
  <si>
    <t>نت ورشة</t>
  </si>
  <si>
    <t>حديد احرف</t>
  </si>
  <si>
    <t>حسين سالم</t>
  </si>
  <si>
    <t>ارضية + شفرات</t>
  </si>
  <si>
    <t>حساب عمال</t>
  </si>
  <si>
    <t>اقمشة فليكس خارجي</t>
  </si>
  <si>
    <t>كرار اجر خارجي</t>
  </si>
  <si>
    <t>حديد مع اجرة</t>
  </si>
  <si>
    <t>وليد عدنان</t>
  </si>
  <si>
    <t>بوري حديد</t>
  </si>
  <si>
    <t>حساب زكريا شضد اعلان مجسر التربية</t>
  </si>
  <si>
    <t>37921</t>
  </si>
  <si>
    <t>اجور و مشتريات</t>
  </si>
  <si>
    <t>عمال + حداد</t>
  </si>
  <si>
    <t>تسدين يافوز اجور و مشتريات</t>
  </si>
  <si>
    <t>عمال + طعام</t>
  </si>
  <si>
    <t>نقل احرف حديد</t>
  </si>
  <si>
    <t>اجرة + نقل + طعام + شد اعلان بصرة 26</t>
  </si>
  <si>
    <t>اجرة نقل اعلان البصرة 2026</t>
  </si>
  <si>
    <t>احديد</t>
  </si>
  <si>
    <t>مشتريات شد اعلان التربية</t>
  </si>
  <si>
    <t>مندي اصدقاء زكريا</t>
  </si>
  <si>
    <t>مسواك حسنين الباكستاني</t>
  </si>
  <si>
    <t>بانزين حسين</t>
  </si>
  <si>
    <t>اجرة الخورة وصل 37921</t>
  </si>
  <si>
    <t>جاي + قهوة</t>
  </si>
  <si>
    <t>اجرة خشب وصل 1707</t>
  </si>
  <si>
    <t>معجون + كاغد جام</t>
  </si>
  <si>
    <t>اجرة من البوث للشركة</t>
  </si>
  <si>
    <t>منظفات</t>
  </si>
  <si>
    <t>كادر نصب</t>
  </si>
  <si>
    <t>بنكو نقل حديد كرمة</t>
  </si>
  <si>
    <t>طبع ستيكر</t>
  </si>
  <si>
    <t>واصل حديد</t>
  </si>
  <si>
    <t>انشائيات ديكور</t>
  </si>
  <si>
    <t>طربوش سلامة</t>
  </si>
  <si>
    <t>دهن مولد + فلنر</t>
  </si>
  <si>
    <t>حساب حدادين</t>
  </si>
  <si>
    <t>يافوز</t>
  </si>
  <si>
    <t>اكرامية بلدية</t>
  </si>
  <si>
    <t>برينة همر + اجار دريل</t>
  </si>
  <si>
    <t>حساب حسن ستيكر</t>
  </si>
  <si>
    <t>حيدرالمحاسب</t>
  </si>
  <si>
    <t>بروجكتر عدد 3</t>
  </si>
  <si>
    <t>جلابتين</t>
  </si>
  <si>
    <t>شفرة</t>
  </si>
  <si>
    <t>كونتكتر</t>
  </si>
  <si>
    <t>واير +جوزة</t>
  </si>
  <si>
    <t>درنفيس</t>
  </si>
  <si>
    <t>مسواك جاسم فؤاد</t>
  </si>
  <si>
    <t>0000270</t>
  </si>
  <si>
    <t>شركة صروح البصرة</t>
  </si>
  <si>
    <t>2220</t>
  </si>
  <si>
    <t>اصباغ الياقوت</t>
  </si>
  <si>
    <t>نعيم الحداد</t>
  </si>
  <si>
    <t>الحداد ابو صخير</t>
  </si>
  <si>
    <t>علي بلازما داكير اخو عباس العامل</t>
  </si>
  <si>
    <t>محمد صباح اجور عمال</t>
  </si>
  <si>
    <t>فكستون</t>
  </si>
  <si>
    <t>كهرباء</t>
  </si>
  <si>
    <t>لؤي انشائيات مع لفة فلافل</t>
  </si>
  <si>
    <t>عامل</t>
  </si>
  <si>
    <t>واصل من حساب صفاء</t>
  </si>
  <si>
    <t>ثنر اردني</t>
  </si>
  <si>
    <t>محولات + اجرة</t>
  </si>
  <si>
    <t>الحضور</t>
  </si>
  <si>
    <t>جمعة</t>
  </si>
  <si>
    <t>*1</t>
  </si>
  <si>
    <t>*1.5</t>
  </si>
  <si>
    <t>*2</t>
  </si>
  <si>
    <t xml:space="preserve">الساعات </t>
  </si>
  <si>
    <t>نقل + طعام</t>
  </si>
  <si>
    <t>الراتب الكلي</t>
  </si>
  <si>
    <t>الإجمالي النهائي</t>
  </si>
  <si>
    <t>العمود 15</t>
  </si>
  <si>
    <t>يناير</t>
  </si>
  <si>
    <t>معتصم</t>
  </si>
  <si>
    <t>صديق يونس</t>
  </si>
  <si>
    <t>فرقان</t>
  </si>
  <si>
    <t>عامل يوسف</t>
  </si>
  <si>
    <t>علي عمار</t>
  </si>
  <si>
    <t>ليث المحاسب</t>
  </si>
  <si>
    <t>زهراء</t>
  </si>
  <si>
    <t>افنان يعقوب</t>
  </si>
  <si>
    <t>صادق احمد</t>
  </si>
  <si>
    <t>مسرة</t>
  </si>
  <si>
    <t>باهس</t>
  </si>
  <si>
    <t>كرار رمضان</t>
  </si>
  <si>
    <t>اخو عبد الرضا</t>
  </si>
  <si>
    <t>حسين معماري</t>
  </si>
  <si>
    <t>1136000</t>
  </si>
  <si>
    <t>محمد حسن</t>
  </si>
  <si>
    <t>1921000</t>
  </si>
  <si>
    <t xml:space="preserve">مصطفى عدي </t>
  </si>
  <si>
    <t>618000 دين متبقي 237000</t>
  </si>
  <si>
    <t>عباس احمد</t>
  </si>
  <si>
    <t>سيف الدين علي</t>
  </si>
  <si>
    <t>خضر</t>
  </si>
  <si>
    <t>علي الباكستاني</t>
  </si>
  <si>
    <t>زكريا</t>
  </si>
  <si>
    <t>العمود 1</t>
  </si>
  <si>
    <t>الغرامات التاخيرية</t>
  </si>
  <si>
    <t xml:space="preserve">1 قوطية صبغ اساس طبليات مصطفى </t>
  </si>
  <si>
    <t>اشرطة اكرلك تلف</t>
  </si>
  <si>
    <t>ربع شفاف</t>
  </si>
  <si>
    <t>طلب على حيدر من سيف 5030.00 بافي 453000</t>
  </si>
  <si>
    <t>نسب اعلانات</t>
  </si>
  <si>
    <t>ساعات خارجية</t>
  </si>
  <si>
    <t>بؤوري</t>
  </si>
  <si>
    <t xml:space="preserve">2 قوطية صبغ اساس طبليات مصطفى </t>
  </si>
  <si>
    <t>دروع</t>
  </si>
  <si>
    <t>858000  دين حيدر يافوز تسديد 50000  كل شهر</t>
  </si>
  <si>
    <t>متبقي من راتب شهر ٩</t>
  </si>
  <si>
    <t>شد اعلان mk من الساعة 13:00 _ 14:00 + نسبة الاعلان 800000</t>
  </si>
  <si>
    <t>شد اعلان المهندس الميكانيكي من الساعة 17:00 _ 19:00</t>
  </si>
  <si>
    <t>شد اعلان بلدية البصرة من الساعة 6:30 _ 12:00</t>
  </si>
  <si>
    <t>شد اعلان علي للعطور من الساعة 9:30 _ 13:30</t>
  </si>
  <si>
    <t>شد ستيكر h&amp;m  من الساعة 15:00 _ 18:30 + فليكس بالكوني 25000+ قطع بلاستك</t>
  </si>
  <si>
    <t>عمل خارجي من الساعة 14:00 |_ 19:45 اعلان ديوان</t>
  </si>
  <si>
    <t>مثلث ستيكر الحليب 75000</t>
  </si>
  <si>
    <t>ستيكر محل الحليب و كندر 85000</t>
  </si>
  <si>
    <t>يوزر و رقم 50000</t>
  </si>
  <si>
    <t>مجموع النسب</t>
  </si>
  <si>
    <t>مجموع ساعات اضافية و خارجية خارج موقع الشركة</t>
  </si>
  <si>
    <t>نسبة استاندات  عطور</t>
  </si>
  <si>
    <t xml:space="preserve">     </t>
  </si>
  <si>
    <t>عمل خارجي</t>
  </si>
  <si>
    <t>من الشهر السابق يوم محسوب دوام و هو ما ما مداوم</t>
  </si>
  <si>
    <t xml:space="preserve"> راتب الشهر السابق517900</t>
  </si>
  <si>
    <t>قطع من الطلب 618000 باقي 518000</t>
  </si>
  <si>
    <t>قاعة المهندسين</t>
  </si>
  <si>
    <t>خلف مول شنشل</t>
  </si>
  <si>
    <t>مقهى البارون</t>
  </si>
  <si>
    <t>البولنك سترايك</t>
  </si>
  <si>
    <t>تقرير مجموع رواتب الموظف</t>
  </si>
  <si>
    <t>اختيار الموظف</t>
  </si>
  <si>
    <t>مجموع رواتب الموظفين</t>
  </si>
  <si>
    <t>الراتب</t>
  </si>
  <si>
    <t>ملخص الرواتب</t>
  </si>
  <si>
    <t>مجموع الرواتب:</t>
  </si>
  <si>
    <t>أعلى راتب:</t>
  </si>
  <si>
    <t>أقل راتب:</t>
  </si>
  <si>
    <t>عدد الأشهر:</t>
  </si>
  <si>
    <t>مجموع السحب الشهري</t>
  </si>
  <si>
    <t>الاسم /الجهه</t>
  </si>
  <si>
    <t>المبلغ</t>
  </si>
  <si>
    <t>الصافي</t>
  </si>
  <si>
    <t>الحالة</t>
  </si>
  <si>
    <t>الملاحضات</t>
  </si>
  <si>
    <t>سحب سيف</t>
  </si>
  <si>
    <t>حسين مارس</t>
  </si>
  <si>
    <t>سلفة</t>
  </si>
  <si>
    <t>عبدلله الصباغ</t>
  </si>
  <si>
    <t>ممنوع</t>
  </si>
  <si>
    <t>رواتب يوسف يعقوب لمدة ثمان اشهر من بداية عمله بقيمة 6019000</t>
  </si>
  <si>
    <t>دفع الى الورشة من سيف</t>
  </si>
  <si>
    <t>متبقي كشوفات شمس البصرة 2025</t>
  </si>
  <si>
    <t>رصيد افتتاحي 2025</t>
  </si>
  <si>
    <t>دفع الى الورشة من يوسف يعقوب</t>
  </si>
  <si>
    <t>تسديد</t>
  </si>
  <si>
    <t>رواتب يوسف يعقوب لمدة ثمان اشهر من بداية عمله</t>
  </si>
  <si>
    <t>الايرادات</t>
  </si>
  <si>
    <t>المصروفات</t>
  </si>
  <si>
    <t>الرواتب</t>
  </si>
  <si>
    <t>القروض</t>
  </si>
  <si>
    <t>السنة</t>
  </si>
  <si>
    <t>الارباح</t>
  </si>
  <si>
    <t>العجز النقدي</t>
  </si>
  <si>
    <t>التراكمي</t>
  </si>
  <si>
    <t>اجمالي سنوي</t>
  </si>
  <si>
    <t>بدون تطويرية</t>
  </si>
  <si>
    <t>مع التطويرية</t>
  </si>
  <si>
    <t>الفرق</t>
  </si>
  <si>
    <t>القاصة</t>
  </si>
  <si>
    <t>-</t>
  </si>
  <si>
    <t>راتب الشهر</t>
  </si>
  <si>
    <t>الشهر</t>
  </si>
  <si>
    <t>اعلى راتب</t>
  </si>
  <si>
    <t>اقل راتب</t>
  </si>
  <si>
    <t>التقارير و المجاميع للرواتب و السلف</t>
  </si>
  <si>
    <t>مجموع رواتب السنة</t>
  </si>
  <si>
    <t xml:space="preserve">الشهر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</si>
</sst>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1">
    <numFmt numFmtId="164" formatCode="yyyy/MM/dd"/>
    <numFmt numFmtId="165" formatCode="h:mm:ss am/pm"/>
    <numFmt numFmtId="166" formatCode="#,##0;(#,##0)"/>
    <numFmt numFmtId="167" formatCode="d.m.yyyy"/>
    <numFmt numFmtId="168" formatCode="[$ IQD   ]#,##0"/>
    <numFmt numFmtId="169" formatCode="[$IQD  ]#,##0"/>
    <numFmt numFmtId="170" formatCode="[$din]#,##0"/>
    <numFmt numFmtId="171" formatCode="#,##0[$ IQD   ]"/>
    <numFmt numFmtId="172" formatCode="[$IQD  ]#,##0.00"/>
    <numFmt numFmtId="173" formatCode="h:mm am/pm"/>
    <numFmt numFmtId="174" formatCode="#,##0.00;(#,##0.00)"/>
  </numFmts>
  <fonts count="63">
    <font>
      <sz val="11.0"/>
      <color theme="1"/>
      <name val="Calibri"/>
      <scheme val="minor"/>
    </font>
    <font>
      <b/>
      <sz val="14.0"/>
      <color rgb="FF000000"/>
      <name val="Comic Sans MS"/>
    </font>
    <font>
      <b/>
      <sz val="14.0"/>
      <color rgb="FF0B5394"/>
      <name val="Comic Sans MS"/>
    </font>
    <font>
      <sz val="14.0"/>
      <color rgb="FF000000"/>
      <name val="Comic Sans MS"/>
    </font>
    <font>
      <color theme="1"/>
      <name val="Calibri"/>
      <scheme val="minor"/>
    </font>
    <font>
      <sz val="11.0"/>
      <color rgb="FF434343"/>
      <name val="Amiri"/>
    </font>
    <font>
      <sz val="11.0"/>
      <color rgb="FF434343"/>
      <name val="Calibri"/>
    </font>
    <font>
      <b/>
      <sz val="12.0"/>
      <color rgb="FF434343"/>
      <name val="Amiri"/>
    </font>
    <font>
      <sz val="11.0"/>
      <color rgb="FFD4EDBC"/>
      <name val="Calibri"/>
    </font>
    <font>
      <sz val="11.0"/>
      <color theme="1"/>
      <name val="Calibri"/>
    </font>
    <font>
      <sz val="11.0"/>
      <color rgb="FF473821"/>
      <name val="Calibri"/>
    </font>
    <font>
      <sz val="11.0"/>
      <color rgb="FFFF0000"/>
      <name val="Calibri"/>
    </font>
    <font>
      <sz val="11.0"/>
      <color rgb="FF5A3286"/>
      <name val="Calibri"/>
    </font>
    <font>
      <sz val="11.0"/>
      <color rgb="FFFFCFC9"/>
      <name val="Calibri"/>
    </font>
    <font>
      <b/>
      <sz val="15.0"/>
      <color rgb="FF000000"/>
      <name val="Amiri"/>
    </font>
    <font>
      <b/>
      <sz val="18.0"/>
      <color theme="1"/>
      <name val="Calibri"/>
    </font>
    <font/>
    <font>
      <b/>
      <sz val="18.0"/>
      <color rgb="FFFFFF00"/>
      <name val="Amiri"/>
    </font>
    <font>
      <b/>
      <sz val="18.0"/>
      <color rgb="FF000000"/>
      <name val="Calibri"/>
      <scheme val="minor"/>
    </font>
    <font>
      <b/>
      <sz val="18.0"/>
      <color rgb="FF000000"/>
      <name val="Calibri"/>
    </font>
    <font>
      <b/>
      <sz val="14.0"/>
      <color rgb="FF000000"/>
      <name val="Calibri"/>
    </font>
    <font>
      <b/>
      <sz val="18.0"/>
      <color rgb="FF000000"/>
      <name val="Amiri"/>
    </font>
    <font>
      <sz val="9.0"/>
      <color rgb="FF434343"/>
      <name val="Amiri"/>
    </font>
    <font>
      <sz val="18.0"/>
      <color rgb="FFFF0000"/>
      <name val="Amiri"/>
    </font>
    <font>
      <color rgb="FF434343"/>
      <name val="Amiri"/>
    </font>
    <font>
      <sz val="11.0"/>
      <color rgb="FFFF0000"/>
      <name val="Amiri"/>
    </font>
    <font>
      <sz val="11.0"/>
      <color rgb="FF434343"/>
      <name val="Roboto"/>
    </font>
    <font>
      <b/>
      <sz val="11.0"/>
      <color rgb="FF0000FF"/>
      <name val="Arial"/>
    </font>
    <font>
      <sz val="11.0"/>
      <color rgb="FF434343"/>
      <name val="Arial"/>
    </font>
    <font>
      <b/>
      <sz val="11.0"/>
      <color rgb="FF434343"/>
      <name val="Calibri"/>
    </font>
    <font>
      <b/>
      <sz val="12.0"/>
      <color theme="1"/>
      <name val="Calibri"/>
    </font>
    <font>
      <color theme="1"/>
      <name val="Arial"/>
    </font>
    <font>
      <b/>
      <sz val="28.0"/>
      <color rgb="FF000000"/>
      <name val="Calibri"/>
    </font>
    <font>
      <b/>
      <sz val="13.0"/>
      <color theme="1"/>
      <name val="Calibri"/>
    </font>
    <font>
      <b/>
      <sz val="13.0"/>
      <color rgb="FFFF0000"/>
      <name val="Calibri"/>
    </font>
    <font>
      <b/>
      <sz val="11.0"/>
      <color rgb="FFFF0000"/>
      <name val="Calibri"/>
    </font>
    <font>
      <b/>
      <sz val="13.0"/>
      <color rgb="FF0000FF"/>
      <name val="Calibri"/>
    </font>
    <font>
      <b/>
      <sz val="14.0"/>
      <color rgb="FF434343"/>
      <name val="Calibri"/>
    </font>
    <font>
      <b/>
      <sz val="35.0"/>
      <color rgb="FFFFFF00"/>
      <name val="Calibri"/>
    </font>
    <font>
      <b/>
      <sz val="13.0"/>
      <color rgb="FF000000"/>
      <name val="Calibri"/>
    </font>
    <font>
      <b/>
      <sz val="10.0"/>
      <color rgb="FF000000"/>
      <name val="Calibri"/>
    </font>
    <font>
      <b/>
      <sz val="10.0"/>
      <color rgb="FF000000"/>
      <name val="Amiri"/>
    </font>
    <font>
      <b/>
      <sz val="10.0"/>
      <color rgb="FFFFE599"/>
      <name val="Calibri"/>
    </font>
    <font>
      <b/>
      <sz val="10.0"/>
      <color rgb="FFFFE599"/>
      <name val="Amiri"/>
    </font>
    <font>
      <b/>
      <sz val="11.0"/>
      <color rgb="FF000000"/>
      <name val="Calibri"/>
    </font>
    <font>
      <b/>
      <sz val="14.0"/>
      <color theme="1"/>
      <name val="Calibri"/>
    </font>
    <font>
      <sz val="13.0"/>
      <color theme="1"/>
      <name val="Calibri"/>
    </font>
    <font>
      <sz val="13.0"/>
      <color rgb="FF434343"/>
      <name val="Calibri"/>
    </font>
    <font>
      <sz val="13.0"/>
      <color rgb="FFFF0000"/>
      <name val="Calibri"/>
    </font>
    <font>
      <sz val="13.0"/>
      <color rgb="FF0000FF"/>
      <name val="Calibri"/>
    </font>
    <font>
      <b/>
      <sz val="9.0"/>
      <color rgb="FF741B47"/>
      <name val="Calibri"/>
    </font>
    <font>
      <sz val="9.0"/>
      <color rgb="FF0000FF"/>
      <name val="Calibri"/>
    </font>
    <font>
      <sz val="13.0"/>
      <color theme="1"/>
      <name val="Calibri"/>
      <scheme val="minor"/>
    </font>
    <font>
      <sz val="9.0"/>
      <color theme="1"/>
      <name val="Calibri"/>
    </font>
    <font>
      <sz val="9.0"/>
      <color rgb="FFFF0000"/>
      <name val="Calibri"/>
    </font>
    <font>
      <sz val="11.0"/>
      <color rgb="FF0000FF"/>
      <name val="Calibri"/>
    </font>
    <font>
      <sz val="9.0"/>
      <color theme="1"/>
      <name val="Calibri"/>
      <scheme val="minor"/>
    </font>
    <font>
      <b/>
      <sz val="36.0"/>
      <color rgb="FF434343"/>
      <name val="Calibri"/>
      <scheme val="minor"/>
    </font>
    <font>
      <b/>
      <sz val="11.0"/>
      <color rgb="FFC27BA0"/>
      <name val="Calibri"/>
    </font>
    <font>
      <b/>
      <sz val="11.0"/>
      <color theme="1"/>
      <name val="Calibri"/>
      <scheme val="minor"/>
    </font>
    <font>
      <sz val="11.0"/>
      <color rgb="FF7F6000"/>
      <name val="Calibri"/>
    </font>
    <font>
      <b/>
      <sz val="11.0"/>
      <color rgb="FFC27BA0"/>
      <name val="Calibri"/>
      <scheme val="minor"/>
    </font>
    <font>
      <sz val="11.0"/>
      <color rgb="FF7F6000"/>
      <name val="Calibri"/>
      <scheme val="minor"/>
    </font>
  </fonts>
  <fills count="24">
    <fill>
      <patternFill patternType="none"/>
    </fill>
    <fill>
      <patternFill patternType="lightGray"/>
    </fill>
    <fill>
      <patternFill patternType="solid">
        <fgColor rgb="FFA4C2F4"/>
        <bgColor rgb="FFA4C2F4"/>
      </patternFill>
    </fill>
    <fill>
      <patternFill patternType="solid">
        <fgColor rgb="FFF4CCCC"/>
        <bgColor rgb="FFF4CCCC"/>
      </patternFill>
    </fill>
    <fill>
      <patternFill patternType="solid">
        <fgColor rgb="FFFFD500"/>
        <bgColor rgb="FFFFD500"/>
      </patternFill>
    </fill>
    <fill>
      <patternFill patternType="solid">
        <fgColor rgb="FFEFEFEF"/>
        <bgColor rgb="FFEFEFEF"/>
      </patternFill>
    </fill>
    <fill>
      <patternFill patternType="solid">
        <fgColor rgb="FFF3F3F3"/>
        <bgColor rgb="FFF3F3F3"/>
      </patternFill>
    </fill>
    <fill>
      <patternFill patternType="solid">
        <fgColor rgb="FFFFD400"/>
        <bgColor rgb="FFFFD400"/>
      </patternFill>
    </fill>
    <fill>
      <patternFill patternType="solid">
        <fgColor rgb="FFFFE5B4"/>
        <bgColor rgb="FFFFE5B4"/>
      </patternFill>
    </fill>
    <fill>
      <patternFill patternType="solid">
        <fgColor rgb="FFF6F8F9"/>
        <bgColor rgb="FFF6F8F9"/>
      </patternFill>
    </fill>
    <fill>
      <patternFill patternType="solid">
        <fgColor rgb="FFFFFFFF"/>
        <bgColor rgb="FFFFFFFF"/>
      </patternFill>
    </fill>
    <fill>
      <patternFill patternType="solid">
        <fgColor rgb="FF434343"/>
        <bgColor rgb="FF434343"/>
      </patternFill>
    </fill>
    <fill>
      <patternFill patternType="solid">
        <fgColor rgb="FFF9CB9C"/>
        <bgColor rgb="FFF9CB9C"/>
      </patternFill>
    </fill>
    <fill>
      <patternFill patternType="solid">
        <fgColor rgb="FFFBD100"/>
        <bgColor rgb="FFFBD100"/>
      </patternFill>
    </fill>
    <fill>
      <patternFill patternType="solid">
        <fgColor rgb="FF666666"/>
        <bgColor rgb="FF666666"/>
      </patternFill>
    </fill>
    <fill>
      <patternFill patternType="solid">
        <fgColor rgb="FFFFF2CC"/>
        <bgColor rgb="FFFFF2CC"/>
      </patternFill>
    </fill>
    <fill>
      <patternFill patternType="solid">
        <fgColor rgb="FFFCE5CD"/>
        <bgColor rgb="FFFCE5CD"/>
      </patternFill>
    </fill>
    <fill>
      <patternFill patternType="solid">
        <fgColor rgb="FFFFE8A9"/>
        <bgColor rgb="FFFFE8A9"/>
      </patternFill>
    </fill>
    <fill>
      <patternFill patternType="solid">
        <fgColor rgb="FFFFE293"/>
        <bgColor rgb="FFFFE293"/>
      </patternFill>
    </fill>
    <fill>
      <patternFill patternType="solid">
        <fgColor rgb="FFFFEEBF"/>
        <bgColor rgb="FFFFEEBF"/>
      </patternFill>
    </fill>
    <fill>
      <patternFill patternType="solid">
        <fgColor rgb="FFFFE397"/>
        <bgColor rgb="FFFFE397"/>
      </patternFill>
    </fill>
    <fill>
      <patternFill patternType="solid">
        <fgColor rgb="FFFFFBF2"/>
        <bgColor rgb="FFFFFBF2"/>
      </patternFill>
    </fill>
    <fill>
      <patternFill patternType="solid">
        <fgColor rgb="FFFFF4D9"/>
        <bgColor rgb="FFFFF4D9"/>
      </patternFill>
    </fill>
    <fill>
      <patternFill patternType="solid">
        <fgColor rgb="FFF1C232"/>
        <bgColor rgb="FFF1C232"/>
      </patternFill>
    </fill>
  </fills>
  <borders count="61">
    <border/>
    <border>
      <left style="thick">
        <color rgb="FF000000"/>
      </left>
      <right style="hair">
        <color rgb="FF000000"/>
      </right>
      <top style="thick">
        <color rgb="FF000000"/>
      </top>
      <bottom style="hair">
        <color rgb="FF000000"/>
      </bottom>
    </border>
    <border>
      <left style="hair">
        <color rgb="FF000000"/>
      </left>
      <right style="hair">
        <color rgb="FF000000"/>
      </right>
      <top style="thick">
        <color rgb="FF000000"/>
      </top>
      <bottom style="hair">
        <color rgb="FF000000"/>
      </bottom>
    </border>
    <border>
      <left style="hair">
        <color rgb="FF000000"/>
      </left>
      <right style="thick">
        <color rgb="FF000000"/>
      </right>
      <top style="thick">
        <color rgb="FF000000"/>
      </top>
      <bottom style="hair">
        <color rgb="FF000000"/>
      </bottom>
    </border>
    <border>
      <left style="thick">
        <color rgb="FF000000"/>
      </left>
      <right style="hair">
        <color rgb="FF000000"/>
      </right>
      <top style="hair">
        <color rgb="FF000000"/>
      </top>
      <bottom style="hair">
        <color rgb="FF000000"/>
      </bottom>
    </border>
    <border>
      <left style="hair">
        <color rgb="FF000000"/>
      </left>
      <right style="hair">
        <color rgb="FF000000"/>
      </right>
      <top style="hair">
        <color rgb="FF000000"/>
      </top>
      <bottom style="hair">
        <color rgb="FF000000"/>
      </bottom>
    </border>
    <border>
      <left style="hair">
        <color rgb="FF000000"/>
      </left>
      <right style="thick">
        <color rgb="FF000000"/>
      </right>
      <top style="hair">
        <color rgb="FF000000"/>
      </top>
      <bottom style="hair">
        <color rgb="FF000000"/>
      </bottom>
    </border>
    <border>
      <left style="thick">
        <color rgb="FF000000"/>
      </left>
      <right style="hair">
        <color rgb="FF000000"/>
      </right>
      <top style="hair">
        <color rgb="FF000000"/>
      </top>
      <bottom style="thick">
        <color rgb="FF000000"/>
      </bottom>
    </border>
    <border>
      <left style="hair">
        <color rgb="FF000000"/>
      </left>
      <right style="hair">
        <color rgb="FF000000"/>
      </right>
      <top style="hair">
        <color rgb="FF000000"/>
      </top>
      <bottom style="thick">
        <color rgb="FF000000"/>
      </bottom>
    </border>
    <border>
      <left style="hair">
        <color rgb="FF000000"/>
      </left>
      <right style="thick">
        <color rgb="FF000000"/>
      </right>
      <top style="hair">
        <color rgb="FF000000"/>
      </top>
      <bottom style="thick">
        <color rgb="FF000000"/>
      </bottom>
    </border>
    <border>
      <left style="thin">
        <color rgb="FFBFBF00"/>
      </left>
      <right style="thin">
        <color rgb="FFD9D9D9"/>
      </right>
      <top style="thin">
        <color rgb="FFD9D9D9"/>
      </top>
      <bottom style="thin">
        <color rgb="FFD9D9D9"/>
      </bottom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</border>
    <border>
      <left style="thin">
        <color rgb="FFD9D9D9"/>
      </left>
      <right style="thin">
        <color rgb="FFBFBF00"/>
      </right>
      <top style="thin">
        <color rgb="FFD9D9D9"/>
      </top>
      <bottom style="thin">
        <color rgb="FFD9D9D9"/>
      </bottom>
    </border>
    <border>
      <left style="dotted">
        <color rgb="FF000000"/>
      </left>
      <right style="dotted">
        <color rgb="FF000000"/>
      </right>
      <top style="dotted">
        <color rgb="FF000000"/>
      </top>
      <bottom style="dotted">
        <color rgb="FF000000"/>
      </bottom>
    </border>
    <border>
      <left style="dotted">
        <color rgb="FF000000"/>
      </left>
      <right style="dotted">
        <color rgb="FF000000"/>
      </right>
      <top style="thin">
        <color rgb="FFD9D9D9"/>
      </top>
      <bottom style="dotted">
        <color rgb="FF000000"/>
      </bottom>
    </border>
    <border>
      <left style="thin">
        <color rgb="FFBFBF00"/>
      </left>
      <right style="thin">
        <color rgb="FFD9D9D9"/>
      </right>
      <top style="thin">
        <color rgb="FFD9D9D9"/>
      </top>
      <bottom style="thin">
        <color rgb="FFBFBF00"/>
      </bottom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BFBF00"/>
      </bottom>
    </border>
    <border>
      <left style="thin">
        <color rgb="FFD9D9D9"/>
      </left>
      <right style="thin">
        <color rgb="FFBFBF00"/>
      </right>
      <top style="thin">
        <color rgb="FFD9D9D9"/>
      </top>
      <bottom style="thin">
        <color rgb="FFBFBF00"/>
      </bottom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898989"/>
      </left>
      <right style="thin">
        <color rgb="FF898989"/>
      </right>
      <top style="thin">
        <color rgb="FF898989"/>
      </top>
      <bottom style="thin">
        <color rgb="FF898989"/>
      </bottom>
    </border>
    <border>
      <left style="thin">
        <color rgb="FF898989"/>
      </left>
      <right style="thin">
        <color rgb="FFD9D9D9"/>
      </right>
      <top style="thin">
        <color rgb="FFD9D9D9"/>
      </top>
      <bottom style="thin">
        <color rgb="FFD9D9D9"/>
      </bottom>
    </border>
    <border>
      <left style="thin">
        <color rgb="FFD9D9D9"/>
      </left>
      <right style="thin">
        <color rgb="FFD9D9D9"/>
      </right>
      <top style="thin">
        <color rgb="FFD9D9D9"/>
      </top>
    </border>
    <border>
      <left style="thin">
        <color rgb="FFD9D9D9"/>
      </left>
      <right style="thin">
        <color rgb="FF898989"/>
      </right>
      <top style="thin">
        <color rgb="FFD9D9D9"/>
      </top>
    </border>
    <border>
      <left style="thin">
        <color rgb="FF898989"/>
      </left>
      <top style="thin">
        <color rgb="FFD9D9D9"/>
      </top>
      <bottom style="thin">
        <color rgb="FFD9D9D9"/>
      </bottom>
    </border>
    <border>
      <left style="thick">
        <color rgb="FF000000"/>
      </left>
      <right style="thin">
        <color rgb="FFD9D9D9"/>
      </right>
      <top style="thick">
        <color rgb="FF000000"/>
      </top>
      <bottom style="thin">
        <color rgb="FFD9D9D9"/>
      </bottom>
    </border>
    <border>
      <left style="thin">
        <color rgb="FFD9D9D9"/>
      </left>
      <right style="thin">
        <color rgb="FFD9D9D9"/>
      </right>
      <top style="thick">
        <color rgb="FF000000"/>
      </top>
      <bottom style="thin">
        <color rgb="FFD9D9D9"/>
      </bottom>
    </border>
    <border>
      <left style="thin">
        <color rgb="FFD9D9D9"/>
      </left>
      <right style="thick">
        <color rgb="FF000000"/>
      </right>
      <top style="thick">
        <color rgb="FF000000"/>
      </top>
      <bottom style="thin">
        <color rgb="FFD9D9D9"/>
      </bottom>
    </border>
    <border>
      <left style="thick">
        <color rgb="FF000000"/>
      </left>
      <right style="thin">
        <color rgb="FFD9D9D9"/>
      </right>
      <top style="thin">
        <color rgb="FFD9D9D9"/>
      </top>
      <bottom style="thin">
        <color rgb="FFD9D9D9"/>
      </bottom>
    </border>
    <border>
      <left style="thin">
        <color rgb="FFD9D9D9"/>
      </left>
      <right style="thick">
        <color rgb="FF000000"/>
      </right>
      <top style="thin">
        <color rgb="FFD9D9D9"/>
      </top>
      <bottom style="thin">
        <color rgb="FFD9D9D9"/>
      </bottom>
    </border>
    <border>
      <left style="thick">
        <color rgb="FF000000"/>
      </left>
      <right style="thin">
        <color rgb="FFD9D9D9"/>
      </right>
      <top style="thin">
        <color rgb="FFD9D9D9"/>
      </top>
      <bottom style="thick">
        <color rgb="FF000000"/>
      </bottom>
    </border>
    <border>
      <left style="thin">
        <color rgb="FFD9D9D9"/>
      </left>
      <right style="thin">
        <color rgb="FFD9D9D9"/>
      </right>
      <top style="thin">
        <color rgb="FFD9D9D9"/>
      </top>
      <bottom style="thick">
        <color rgb="FF000000"/>
      </bottom>
    </border>
    <border>
      <left style="thin">
        <color rgb="FFD9D9D9"/>
      </left>
      <right style="thick">
        <color rgb="FF000000"/>
      </right>
      <top style="thin">
        <color rgb="FFD9D9D9"/>
      </top>
      <bottom style="thick">
        <color rgb="FF000000"/>
      </bottom>
    </border>
    <border>
      <left style="thin">
        <color rgb="FFD9D9D9"/>
      </left>
      <right style="thin">
        <color rgb="FFD9D9D9"/>
      </right>
    </border>
    <border>
      <left style="thin">
        <color rgb="FFD9D9D9"/>
      </left>
      <right style="thin">
        <color rgb="FF898989"/>
      </right>
    </border>
    <border>
      <left style="thick">
        <color rgb="FF000000"/>
      </left>
      <top style="thick">
        <color rgb="FF000000"/>
      </top>
    </border>
    <border>
      <top style="thick">
        <color rgb="FF000000"/>
      </top>
    </border>
    <border>
      <right style="thick">
        <color rgb="FF000000"/>
      </right>
      <top style="thick">
        <color rgb="FF000000"/>
      </top>
    </border>
    <border>
      <left style="thick">
        <color rgb="FF000000"/>
      </left>
    </border>
    <border>
      <right style="thick">
        <color rgb="FF000000"/>
      </right>
    </border>
    <border>
      <left style="thick">
        <color rgb="FF000000"/>
      </left>
      <bottom style="thick">
        <color rgb="FF000000"/>
      </bottom>
    </border>
    <border>
      <bottom style="thick">
        <color rgb="FF000000"/>
      </bottom>
    </border>
    <border>
      <right style="thick">
        <color rgb="FF000000"/>
      </right>
      <bottom style="thick">
        <color rgb="FF000000"/>
      </bottom>
    </border>
    <border>
      <right style="thin">
        <color rgb="FFD9D9D9"/>
      </right>
    </border>
    <border>
      <left style="thin">
        <color rgb="FFD9D9D9"/>
      </left>
    </border>
    <border>
      <right style="thin">
        <color rgb="FF898989"/>
      </right>
    </border>
    <border>
      <left style="thin">
        <color rgb="FF284E3F"/>
      </left>
      <right style="thin">
        <color rgb="FF284E3F"/>
      </right>
      <top style="thin">
        <color rgb="FF284E3F"/>
      </top>
      <bottom style="thin">
        <color rgb="FF284E3F"/>
      </bottom>
    </border>
    <border>
      <left style="thin">
        <color rgb="FF284E3F"/>
      </left>
      <right style="thin">
        <color rgb="FFD9D9D9"/>
      </right>
      <top style="thin">
        <color rgb="FFD9D9D9"/>
      </top>
      <bottom style="thin">
        <color rgb="FFD9D9D9"/>
      </bottom>
    </border>
    <border>
      <left style="thin">
        <color rgb="FFD9D9D9"/>
      </left>
      <right style="thin">
        <color rgb="FF284E3F"/>
      </right>
      <top style="thin">
        <color rgb="FFD9D9D9"/>
      </top>
      <bottom style="thin">
        <color rgb="FFD9D9D9"/>
      </bottom>
    </border>
    <border>
      <right style="thin">
        <color rgb="FFD9D9D9"/>
      </right>
      <top style="thin">
        <color rgb="FFD9D9D9"/>
      </top>
      <bottom style="thin">
        <color rgb="FFD9D9D9"/>
      </bottom>
    </border>
    <border>
      <left style="thin">
        <color rgb="FFD9D9D9"/>
      </left>
      <right style="thin">
        <color rgb="FFD9D9D9"/>
      </right>
      <bottom style="thin">
        <color rgb="FFD9D9D9"/>
      </bottom>
    </border>
    <border>
      <right style="thin">
        <color rgb="FFD9D9D9"/>
      </right>
      <bottom style="thin">
        <color rgb="FFD9D9D9"/>
      </bottom>
    </border>
    <border>
      <left/>
      <top/>
      <bottom/>
    </border>
    <border>
      <top/>
      <bottom/>
    </border>
  </borders>
  <cellStyleXfs count="1">
    <xf borderId="0" fillId="0" fontId="0" numFmtId="0" applyAlignment="1" applyFont="1"/>
  </cellStyleXfs>
  <cellXfs count="626">
    <xf borderId="0" fillId="0" fontId="0" numFmtId="0" xfId="0" applyAlignment="1" applyFont="1">
      <alignment readingOrder="0" shrinkToFit="0" vertical="bottom" wrapText="0"/>
    </xf>
    <xf borderId="0" fillId="2" fontId="1" numFmtId="164" xfId="0" applyAlignment="1" applyFill="1" applyFont="1" applyNumberFormat="1">
      <alignment horizontal="center" readingOrder="0" shrinkToFit="0" vertical="center" wrapText="1"/>
    </xf>
    <xf borderId="0" fillId="2" fontId="1" numFmtId="0" xfId="0" applyAlignment="1" applyFont="1">
      <alignment horizontal="center" readingOrder="0" shrinkToFit="0" vertical="center" wrapText="1"/>
    </xf>
    <xf borderId="0" fillId="2" fontId="1" numFmtId="165" xfId="0" applyAlignment="1" applyFont="1" applyNumberFormat="1">
      <alignment horizontal="center" readingOrder="0" shrinkToFit="0" vertical="center" wrapText="1"/>
    </xf>
    <xf borderId="0" fillId="2" fontId="1" numFmtId="166" xfId="0" applyAlignment="1" applyFont="1" applyNumberFormat="1">
      <alignment horizontal="center" readingOrder="0" shrinkToFit="0" vertical="center" wrapText="1"/>
    </xf>
    <xf borderId="0" fillId="2" fontId="2" numFmtId="0" xfId="0" applyAlignment="1" applyFont="1">
      <alignment horizontal="center" readingOrder="0" shrinkToFit="0" vertical="center" wrapText="0"/>
    </xf>
    <xf borderId="0" fillId="2" fontId="1" numFmtId="0" xfId="0" applyAlignment="1" applyFont="1">
      <alignment horizontal="center" readingOrder="0" shrinkToFit="0" vertical="center" wrapText="1"/>
    </xf>
    <xf borderId="1" fillId="3" fontId="3" numFmtId="164" xfId="0" applyAlignment="1" applyBorder="1" applyFill="1" applyFont="1" applyNumberFormat="1">
      <alignment horizontal="center" readingOrder="0" shrinkToFit="0" vertical="center" wrapText="1"/>
    </xf>
    <xf borderId="2" fillId="3" fontId="3" numFmtId="0" xfId="0" applyAlignment="1" applyBorder="1" applyFont="1">
      <alignment horizontal="center" shrinkToFit="0" vertical="center" wrapText="1"/>
    </xf>
    <xf borderId="2" fillId="3" fontId="3" numFmtId="0" xfId="0" applyAlignment="1" applyBorder="1" applyFont="1">
      <alignment horizontal="center" readingOrder="0" shrinkToFit="0" vertical="center" wrapText="1"/>
    </xf>
    <xf borderId="2" fillId="3" fontId="3" numFmtId="0" xfId="0" applyAlignment="1" applyBorder="1" applyFont="1">
      <alignment horizontal="center" readingOrder="0" shrinkToFit="0" vertical="center" wrapText="1"/>
    </xf>
    <xf borderId="2" fillId="3" fontId="3" numFmtId="165" xfId="0" applyAlignment="1" applyBorder="1" applyFont="1" applyNumberFormat="1">
      <alignment horizontal="center" shrinkToFit="0" vertical="center" wrapText="1"/>
    </xf>
    <xf borderId="2" fillId="3" fontId="3" numFmtId="166" xfId="0" applyAlignment="1" applyBorder="1" applyFont="1" applyNumberFormat="1">
      <alignment horizontal="center" shrinkToFit="0" vertical="center" wrapText="1"/>
    </xf>
    <xf borderId="2" fillId="3" fontId="3" numFmtId="2" xfId="0" applyAlignment="1" applyBorder="1" applyFont="1" applyNumberFormat="1">
      <alignment horizontal="center" shrinkToFit="0" vertical="center" wrapText="1"/>
    </xf>
    <xf borderId="2" fillId="3" fontId="3" numFmtId="3" xfId="0" applyAlignment="1" applyBorder="1" applyFont="1" applyNumberFormat="1">
      <alignment horizontal="center" shrinkToFit="0" vertical="center" wrapText="1"/>
    </xf>
    <xf borderId="2" fillId="3" fontId="3" numFmtId="3" xfId="0" applyAlignment="1" applyBorder="1" applyFont="1" applyNumberFormat="1">
      <alignment horizontal="center" readingOrder="0" shrinkToFit="0" vertical="center" wrapText="1"/>
    </xf>
    <xf borderId="2" fillId="3" fontId="3" numFmtId="3" xfId="0" applyAlignment="1" applyBorder="1" applyFont="1" applyNumberFormat="1">
      <alignment horizontal="center" shrinkToFit="0" vertical="center" wrapText="0"/>
    </xf>
    <xf borderId="3" fillId="3" fontId="3" numFmtId="0" xfId="0" applyAlignment="1" applyBorder="1" applyFont="1">
      <alignment horizontal="center" shrinkToFit="0" vertical="center" wrapText="1"/>
    </xf>
    <xf borderId="4" fillId="3" fontId="3" numFmtId="164" xfId="0" applyAlignment="1" applyBorder="1" applyFont="1" applyNumberFormat="1">
      <alignment horizontal="center" readingOrder="0" shrinkToFit="0" vertical="center" wrapText="1"/>
    </xf>
    <xf borderId="5" fillId="3" fontId="3" numFmtId="0" xfId="0" applyAlignment="1" applyBorder="1" applyFont="1">
      <alignment horizontal="center" shrinkToFit="0" vertical="center" wrapText="1"/>
    </xf>
    <xf borderId="5" fillId="3" fontId="3" numFmtId="0" xfId="0" applyAlignment="1" applyBorder="1" applyFont="1">
      <alignment horizontal="center" readingOrder="0" shrinkToFit="0" vertical="center" wrapText="1"/>
    </xf>
    <xf borderId="5" fillId="3" fontId="3" numFmtId="0" xfId="0" applyAlignment="1" applyBorder="1" applyFont="1">
      <alignment horizontal="center" readingOrder="0" shrinkToFit="0" vertical="center" wrapText="1"/>
    </xf>
    <xf borderId="5" fillId="3" fontId="3" numFmtId="165" xfId="0" applyAlignment="1" applyBorder="1" applyFont="1" applyNumberFormat="1">
      <alignment horizontal="center" shrinkToFit="0" vertical="center" wrapText="1"/>
    </xf>
    <xf borderId="5" fillId="3" fontId="3" numFmtId="166" xfId="0" applyAlignment="1" applyBorder="1" applyFont="1" applyNumberFormat="1">
      <alignment horizontal="center" shrinkToFit="0" vertical="center" wrapText="1"/>
    </xf>
    <xf borderId="5" fillId="3" fontId="3" numFmtId="2" xfId="0" applyAlignment="1" applyBorder="1" applyFont="1" applyNumberFormat="1">
      <alignment horizontal="center" shrinkToFit="0" vertical="center" wrapText="1"/>
    </xf>
    <xf borderId="5" fillId="3" fontId="3" numFmtId="3" xfId="0" applyAlignment="1" applyBorder="1" applyFont="1" applyNumberFormat="1">
      <alignment horizontal="center" shrinkToFit="0" vertical="center" wrapText="1"/>
    </xf>
    <xf borderId="5" fillId="3" fontId="3" numFmtId="3" xfId="0" applyAlignment="1" applyBorder="1" applyFont="1" applyNumberFormat="1">
      <alignment horizontal="center" shrinkToFit="0" vertical="center" wrapText="0"/>
    </xf>
    <xf borderId="6" fillId="3" fontId="3" numFmtId="0" xfId="0" applyAlignment="1" applyBorder="1" applyFont="1">
      <alignment horizontal="center" shrinkToFit="0" vertical="center" wrapText="1"/>
    </xf>
    <xf borderId="5" fillId="3" fontId="3" numFmtId="2" xfId="0" applyAlignment="1" applyBorder="1" applyFont="1" applyNumberFormat="1">
      <alignment horizontal="center" readingOrder="0" shrinkToFit="0" vertical="center" wrapText="1"/>
    </xf>
    <xf borderId="5" fillId="3" fontId="3" numFmtId="19" xfId="0" applyAlignment="1" applyBorder="1" applyFont="1" applyNumberFormat="1">
      <alignment horizontal="center" shrinkToFit="0" vertical="center" wrapText="1"/>
    </xf>
    <xf borderId="5" fillId="3" fontId="3" numFmtId="19" xfId="0" applyAlignment="1" applyBorder="1" applyFont="1" applyNumberFormat="1">
      <alignment horizontal="center" readingOrder="0" shrinkToFit="0" vertical="center" wrapText="1"/>
    </xf>
    <xf borderId="5" fillId="3" fontId="3" numFmtId="165" xfId="0" applyAlignment="1" applyBorder="1" applyFont="1" applyNumberFormat="1">
      <alignment horizontal="center" readingOrder="0" shrinkToFit="0" vertical="center" wrapText="1"/>
    </xf>
    <xf borderId="7" fillId="3" fontId="3" numFmtId="164" xfId="0" applyAlignment="1" applyBorder="1" applyFont="1" applyNumberFormat="1">
      <alignment horizontal="center" readingOrder="0" shrinkToFit="0" vertical="center" wrapText="1"/>
    </xf>
    <xf borderId="8" fillId="3" fontId="3" numFmtId="0" xfId="0" applyAlignment="1" applyBorder="1" applyFont="1">
      <alignment horizontal="center" shrinkToFit="0" vertical="center" wrapText="1"/>
    </xf>
    <xf borderId="8" fillId="3" fontId="3" numFmtId="0" xfId="0" applyAlignment="1" applyBorder="1" applyFont="1">
      <alignment horizontal="center" readingOrder="0" shrinkToFit="0" vertical="center" wrapText="1"/>
    </xf>
    <xf borderId="8" fillId="3" fontId="3" numFmtId="0" xfId="0" applyAlignment="1" applyBorder="1" applyFont="1">
      <alignment horizontal="center" readingOrder="0" shrinkToFit="0" vertical="center" wrapText="1"/>
    </xf>
    <xf borderId="8" fillId="3" fontId="3" numFmtId="165" xfId="0" applyAlignment="1" applyBorder="1" applyFont="1" applyNumberFormat="1">
      <alignment horizontal="center" readingOrder="0" shrinkToFit="0" vertical="center" wrapText="1"/>
    </xf>
    <xf borderId="8" fillId="3" fontId="3" numFmtId="166" xfId="0" applyAlignment="1" applyBorder="1" applyFont="1" applyNumberFormat="1">
      <alignment horizontal="center" shrinkToFit="0" vertical="center" wrapText="1"/>
    </xf>
    <xf borderId="8" fillId="3" fontId="3" numFmtId="2" xfId="0" applyAlignment="1" applyBorder="1" applyFont="1" applyNumberFormat="1">
      <alignment horizontal="center" shrinkToFit="0" vertical="center" wrapText="1"/>
    </xf>
    <xf borderId="8" fillId="3" fontId="3" numFmtId="3" xfId="0" applyAlignment="1" applyBorder="1" applyFont="1" applyNumberFormat="1">
      <alignment horizontal="center" shrinkToFit="0" vertical="center" wrapText="1"/>
    </xf>
    <xf borderId="8" fillId="3" fontId="3" numFmtId="3" xfId="0" applyAlignment="1" applyBorder="1" applyFont="1" applyNumberFormat="1">
      <alignment horizontal="center" shrinkToFit="0" vertical="center" wrapText="0"/>
    </xf>
    <xf borderId="9" fillId="3" fontId="3" numFmtId="0" xfId="0" applyAlignment="1" applyBorder="1" applyFont="1">
      <alignment horizontal="center" shrinkToFit="0" vertical="center" wrapText="1"/>
    </xf>
    <xf borderId="2" fillId="3" fontId="3" numFmtId="19" xfId="0" applyAlignment="1" applyBorder="1" applyFont="1" applyNumberFormat="1">
      <alignment horizontal="center" shrinkToFit="0" vertical="center" wrapText="1"/>
    </xf>
    <xf borderId="3" fillId="3" fontId="3" numFmtId="0" xfId="0" applyAlignment="1" applyBorder="1" applyFont="1">
      <alignment horizontal="center" readingOrder="0" shrinkToFit="0" vertical="center" wrapText="1"/>
    </xf>
    <xf borderId="0" fillId="0" fontId="4" numFmtId="164" xfId="0" applyAlignment="1" applyFont="1" applyNumberFormat="1">
      <alignment readingOrder="0" shrinkToFit="0" vertical="center" wrapText="1"/>
    </xf>
    <xf borderId="0" fillId="0" fontId="4" numFmtId="0" xfId="0" applyAlignment="1" applyFont="1">
      <alignment shrinkToFit="0" vertical="center" wrapText="1"/>
    </xf>
    <xf borderId="0" fillId="0" fontId="4" numFmtId="0" xfId="0" applyAlignment="1" applyFont="1">
      <alignment readingOrder="0" shrinkToFit="0" vertical="center" wrapText="1"/>
    </xf>
    <xf borderId="0" fillId="0" fontId="4" numFmtId="0" xfId="0" applyAlignment="1" applyFont="1">
      <alignment readingOrder="0" shrinkToFit="0" vertical="center" wrapText="1"/>
    </xf>
    <xf borderId="0" fillId="0" fontId="4" numFmtId="19" xfId="0" applyAlignment="1" applyFont="1" applyNumberFormat="1">
      <alignment readingOrder="0" shrinkToFit="0" vertical="center" wrapText="1"/>
    </xf>
    <xf borderId="0" fillId="0" fontId="4" numFmtId="165" xfId="0" applyAlignment="1" applyFont="1" applyNumberFormat="1">
      <alignment readingOrder="0" shrinkToFit="0" vertical="center" wrapText="1"/>
    </xf>
    <xf borderId="0" fillId="0" fontId="4" numFmtId="166" xfId="0" applyAlignment="1" applyFont="1" applyNumberFormat="1">
      <alignment shrinkToFit="0" vertical="center" wrapText="1"/>
    </xf>
    <xf borderId="0" fillId="0" fontId="4" numFmtId="2" xfId="0" applyAlignment="1" applyFont="1" applyNumberFormat="1">
      <alignment shrinkToFit="0" vertical="center" wrapText="1"/>
    </xf>
    <xf borderId="0" fillId="0" fontId="4" numFmtId="3" xfId="0" applyAlignment="1" applyFont="1" applyNumberFormat="1">
      <alignment shrinkToFit="0" vertical="center" wrapText="1"/>
    </xf>
    <xf borderId="0" fillId="0" fontId="4" numFmtId="3" xfId="0" applyAlignment="1" applyFont="1" applyNumberFormat="1">
      <alignment shrinkToFit="0" vertical="center" wrapText="0"/>
    </xf>
    <xf borderId="0" fillId="0" fontId="4" numFmtId="0" xfId="0" applyAlignment="1" applyFont="1">
      <alignment shrinkToFit="0" vertical="center" wrapText="1"/>
    </xf>
    <xf borderId="0" fillId="0" fontId="4" numFmtId="19" xfId="0" applyAlignment="1" applyFont="1" applyNumberFormat="1">
      <alignment shrinkToFit="0" vertical="center" wrapText="1"/>
    </xf>
    <xf borderId="0" fillId="0" fontId="4" numFmtId="165" xfId="0" applyAlignment="1" applyFont="1" applyNumberFormat="1">
      <alignment shrinkToFit="0" vertical="center" wrapText="1"/>
    </xf>
    <xf borderId="0" fillId="0" fontId="4" numFmtId="2" xfId="0" applyAlignment="1" applyFont="1" applyNumberFormat="1">
      <alignment readingOrder="0" shrinkToFit="0" vertical="center" wrapText="1"/>
    </xf>
    <xf borderId="0" fillId="0" fontId="4" numFmtId="20" xfId="0" applyAlignment="1" applyFont="1" applyNumberFormat="1">
      <alignment shrinkToFit="0" vertical="center" wrapText="1"/>
    </xf>
    <xf borderId="0" fillId="0" fontId="4" numFmtId="3" xfId="0" applyAlignment="1" applyFont="1" applyNumberFormat="1">
      <alignment readingOrder="0" shrinkToFit="0" vertical="center" wrapText="1"/>
    </xf>
    <xf borderId="0" fillId="0" fontId="4" numFmtId="20" xfId="0" applyAlignment="1" applyFont="1" applyNumberFormat="1">
      <alignment readingOrder="0" shrinkToFit="0" vertical="center" wrapText="1"/>
    </xf>
    <xf borderId="0" fillId="0" fontId="4" numFmtId="0" xfId="0" applyAlignment="1" applyFont="1">
      <alignment readingOrder="0" shrinkToFit="0" vertical="center" wrapText="0"/>
    </xf>
    <xf borderId="0" fillId="0" fontId="4" numFmtId="165" xfId="0" applyAlignment="1" applyFont="1" applyNumberFormat="1">
      <alignment shrinkToFit="0" vertical="center" wrapText="0"/>
    </xf>
    <xf borderId="0" fillId="0" fontId="4" numFmtId="0" xfId="0" applyAlignment="1" applyFont="1">
      <alignment readingOrder="0" shrinkToFit="0" vertical="center" wrapText="0"/>
    </xf>
    <xf borderId="0" fillId="0" fontId="4" numFmtId="165" xfId="0" applyAlignment="1" applyFont="1" applyNumberFormat="1">
      <alignment readingOrder="0" shrinkToFit="0" vertical="center" wrapText="0"/>
    </xf>
    <xf borderId="0" fillId="3" fontId="3" numFmtId="164" xfId="0" applyAlignment="1" applyFont="1" applyNumberFormat="1">
      <alignment horizontal="center" readingOrder="0" shrinkToFit="0" vertical="center" wrapText="1"/>
    </xf>
    <xf borderId="0" fillId="3" fontId="3" numFmtId="0" xfId="0" applyAlignment="1" applyFont="1">
      <alignment horizontal="center" shrinkToFit="0" vertical="center" wrapText="1"/>
    </xf>
    <xf borderId="0" fillId="3" fontId="3" numFmtId="0" xfId="0" applyAlignment="1" applyFont="1">
      <alignment horizontal="center" readingOrder="0" vertical="center"/>
    </xf>
    <xf borderId="0" fillId="3" fontId="3" numFmtId="0" xfId="0" applyAlignment="1" applyFont="1">
      <alignment horizontal="center" readingOrder="0" shrinkToFit="0" vertical="center" wrapText="1"/>
    </xf>
    <xf borderId="0" fillId="3" fontId="3" numFmtId="165" xfId="0" applyAlignment="1" applyFont="1" applyNumberFormat="1">
      <alignment readingOrder="0"/>
    </xf>
    <xf borderId="0" fillId="3" fontId="3" numFmtId="165" xfId="0" applyAlignment="1" applyFont="1" applyNumberFormat="1">
      <alignment horizontal="center" readingOrder="0" shrinkToFit="0" vertical="center" wrapText="1"/>
    </xf>
    <xf borderId="0" fillId="3" fontId="3" numFmtId="166" xfId="0" applyAlignment="1" applyFont="1" applyNumberFormat="1">
      <alignment horizontal="center" shrinkToFit="0" vertical="center" wrapText="1"/>
    </xf>
    <xf borderId="0" fillId="3" fontId="3" numFmtId="2" xfId="0" applyAlignment="1" applyFont="1" applyNumberFormat="1">
      <alignment horizontal="center" readingOrder="0" shrinkToFit="0" vertical="center" wrapText="1"/>
    </xf>
    <xf borderId="0" fillId="3" fontId="3" numFmtId="2" xfId="0" applyAlignment="1" applyFont="1" applyNumberFormat="1">
      <alignment horizontal="center" shrinkToFit="0" vertical="center" wrapText="1"/>
    </xf>
    <xf borderId="0" fillId="3" fontId="3" numFmtId="3" xfId="0" applyAlignment="1" applyFont="1" applyNumberFormat="1">
      <alignment horizontal="center" shrinkToFit="0" vertical="center" wrapText="1"/>
    </xf>
    <xf borderId="0" fillId="3" fontId="3" numFmtId="3" xfId="0" applyAlignment="1" applyFont="1" applyNumberFormat="1">
      <alignment horizontal="center"/>
    </xf>
    <xf borderId="0" fillId="3" fontId="3" numFmtId="0" xfId="0" applyAlignment="1" applyFont="1">
      <alignment horizontal="center" shrinkToFit="0" vertical="center" wrapText="1"/>
    </xf>
    <xf borderId="0" fillId="4" fontId="5" numFmtId="0" xfId="0" applyAlignment="1" applyFill="1" applyFont="1">
      <alignment horizontal="center" readingOrder="0" shrinkToFit="0" vertical="center" wrapText="1"/>
    </xf>
    <xf borderId="0" fillId="4" fontId="5" numFmtId="167" xfId="0" applyAlignment="1" applyFont="1" applyNumberFormat="1">
      <alignment horizontal="center" readingOrder="0" shrinkToFit="0" vertical="center" wrapText="1"/>
    </xf>
    <xf borderId="0" fillId="4" fontId="6" numFmtId="3" xfId="0" applyAlignment="1" applyFont="1" applyNumberFormat="1">
      <alignment horizontal="center" readingOrder="0" shrinkToFit="0" vertical="center" wrapText="1"/>
    </xf>
    <xf borderId="0" fillId="4" fontId="5" numFmtId="168" xfId="0" applyAlignment="1" applyFont="1" applyNumberFormat="1">
      <alignment horizontal="center" readingOrder="0" shrinkToFit="0" vertical="center" wrapText="1"/>
    </xf>
    <xf borderId="0" fillId="4" fontId="5" numFmtId="0" xfId="0" applyAlignment="1" applyFont="1">
      <alignment horizontal="center" readingOrder="0" shrinkToFit="0" vertical="center" wrapText="1"/>
    </xf>
    <xf borderId="0" fillId="4" fontId="7" numFmtId="169" xfId="0" applyAlignment="1" applyFont="1" applyNumberFormat="1">
      <alignment horizontal="center" readingOrder="0" shrinkToFit="0" vertical="center" wrapText="1"/>
    </xf>
    <xf borderId="0" fillId="4" fontId="5" numFmtId="0" xfId="0" applyAlignment="1" applyFont="1">
      <alignment horizontal="center" readingOrder="0" shrinkToFit="0" vertical="center" wrapText="1"/>
    </xf>
    <xf borderId="0" fillId="4" fontId="5" numFmtId="164" xfId="0" applyAlignment="1" applyFont="1" applyNumberFormat="1">
      <alignment horizontal="center" readingOrder="0" shrinkToFit="0" vertical="center" wrapText="1"/>
    </xf>
    <xf borderId="0" fillId="4" fontId="5" numFmtId="0" xfId="0" applyAlignment="1" applyFont="1">
      <alignment horizontal="center" readingOrder="0" shrinkToFit="0" vertical="center" wrapText="1"/>
    </xf>
    <xf borderId="0" fillId="4" fontId="5" numFmtId="169" xfId="0" applyAlignment="1" applyFont="1" applyNumberFormat="1">
      <alignment horizontal="center" readingOrder="0" shrinkToFit="0" vertical="center" wrapText="1"/>
    </xf>
    <xf borderId="0" fillId="4" fontId="5" numFmtId="0" xfId="0" applyAlignment="1" applyFont="1">
      <alignment horizontal="center" readingOrder="0" shrinkToFit="0" vertical="center" wrapText="1"/>
    </xf>
    <xf borderId="10" fillId="5" fontId="6" numFmtId="3" xfId="0" applyAlignment="1" applyBorder="1" applyFill="1" applyFont="1" applyNumberFormat="1">
      <alignment horizontal="center" shrinkToFit="0" vertical="bottom" wrapText="1"/>
    </xf>
    <xf borderId="11" fillId="5" fontId="6" numFmtId="164" xfId="0" applyAlignment="1" applyBorder="1" applyFont="1" applyNumberFormat="1">
      <alignment horizontal="right" shrinkToFit="0" vertical="bottom" wrapText="1"/>
    </xf>
    <xf borderId="11" fillId="5" fontId="8" numFmtId="49" xfId="0" applyAlignment="1" applyBorder="1" applyFont="1" applyNumberFormat="1">
      <alignment horizontal="right" shrinkToFit="0" vertical="bottom" wrapText="1"/>
    </xf>
    <xf borderId="11" fillId="5" fontId="6" numFmtId="49" xfId="0" applyAlignment="1" applyBorder="1" applyFont="1" applyNumberFormat="1">
      <alignment horizontal="center" shrinkToFit="0" vertical="bottom" wrapText="1"/>
    </xf>
    <xf borderId="11" fillId="5" fontId="6" numFmtId="49" xfId="0" applyAlignment="1" applyBorder="1" applyFont="1" applyNumberFormat="1">
      <alignment horizontal="center" shrinkToFit="0" vertical="bottom" wrapText="1"/>
    </xf>
    <xf borderId="11" fillId="5" fontId="6" numFmtId="170" xfId="0" applyAlignment="1" applyBorder="1" applyFont="1" applyNumberFormat="1">
      <alignment horizontal="center" shrinkToFit="0" vertical="bottom" wrapText="1"/>
    </xf>
    <xf borderId="11" fillId="5" fontId="6" numFmtId="171" xfId="0" applyAlignment="1" applyBorder="1" applyFont="1" applyNumberFormat="1">
      <alignment horizontal="right" shrinkToFit="0" vertical="bottom" wrapText="1"/>
    </xf>
    <xf borderId="11" fillId="5" fontId="6" numFmtId="168" xfId="0" applyAlignment="1" applyBorder="1" applyFont="1" applyNumberFormat="1">
      <alignment horizontal="center" shrinkToFit="0" vertical="bottom" wrapText="1"/>
    </xf>
    <xf borderId="11" fillId="5" fontId="6" numFmtId="169" xfId="0" applyAlignment="1" applyBorder="1" applyFont="1" applyNumberFormat="1">
      <alignment horizontal="center" shrinkToFit="0" vertical="bottom" wrapText="1"/>
    </xf>
    <xf borderId="12" fillId="5" fontId="9" numFmtId="168" xfId="0" applyAlignment="1" applyBorder="1" applyFont="1" applyNumberFormat="1">
      <alignment shrinkToFit="0" vertical="bottom" wrapText="0"/>
    </xf>
    <xf borderId="11" fillId="6" fontId="6" numFmtId="170" xfId="0" applyAlignment="1" applyBorder="1" applyFill="1" applyFont="1" applyNumberFormat="1">
      <alignment horizontal="center" shrinkToFit="0" vertical="bottom" wrapText="1"/>
    </xf>
    <xf borderId="12" fillId="5" fontId="9" numFmtId="49" xfId="0" applyAlignment="1" applyBorder="1" applyFont="1" applyNumberFormat="1">
      <alignment readingOrder="0" shrinkToFit="0" vertical="bottom" wrapText="0"/>
    </xf>
    <xf borderId="12" fillId="5" fontId="9" numFmtId="168" xfId="0" applyAlignment="1" applyBorder="1" applyFont="1" applyNumberFormat="1">
      <alignment readingOrder="0" shrinkToFit="0" vertical="bottom" wrapText="0"/>
    </xf>
    <xf borderId="10" fillId="5" fontId="6" numFmtId="0" xfId="0" applyAlignment="1" applyBorder="1" applyFont="1">
      <alignment horizontal="center" shrinkToFit="0" vertical="bottom" wrapText="1"/>
    </xf>
    <xf borderId="11" fillId="6" fontId="6" numFmtId="169" xfId="0" applyAlignment="1" applyBorder="1" applyFont="1" applyNumberFormat="1">
      <alignment horizontal="center" shrinkToFit="0" vertical="bottom" wrapText="1"/>
    </xf>
    <xf borderId="11" fillId="5" fontId="10" numFmtId="49" xfId="0" applyAlignment="1" applyBorder="1" applyFont="1" applyNumberFormat="1">
      <alignment horizontal="right" shrinkToFit="0" vertical="bottom" wrapText="1"/>
    </xf>
    <xf borderId="11" fillId="6" fontId="11" numFmtId="169" xfId="0" applyAlignment="1" applyBorder="1" applyFont="1" applyNumberFormat="1">
      <alignment horizontal="center" shrinkToFit="0" vertical="bottom" wrapText="1"/>
    </xf>
    <xf borderId="11" fillId="5" fontId="12" numFmtId="49" xfId="0" applyAlignment="1" applyBorder="1" applyFont="1" applyNumberFormat="1">
      <alignment shrinkToFit="0" vertical="bottom" wrapText="1"/>
    </xf>
    <xf borderId="11" fillId="6" fontId="5" numFmtId="169" xfId="0" applyAlignment="1" applyBorder="1" applyFont="1" applyNumberFormat="1">
      <alignment horizontal="center" readingOrder="0" shrinkToFit="0" vertical="bottom" wrapText="1"/>
    </xf>
    <xf borderId="11" fillId="5" fontId="9" numFmtId="170" xfId="0" applyAlignment="1" applyBorder="1" applyFont="1" applyNumberFormat="1">
      <alignment shrinkToFit="0" vertical="bottom" wrapText="0"/>
    </xf>
    <xf borderId="11" fillId="5" fontId="9" numFmtId="171" xfId="0" applyAlignment="1" applyBorder="1" applyFont="1" applyNumberFormat="1">
      <alignment shrinkToFit="0" vertical="bottom" wrapText="0"/>
    </xf>
    <xf borderId="11" fillId="5" fontId="9" numFmtId="49" xfId="0" applyAlignment="1" applyBorder="1" applyFont="1" applyNumberFormat="1">
      <alignment shrinkToFit="0" vertical="bottom" wrapText="0"/>
    </xf>
    <xf borderId="11" fillId="5" fontId="9" numFmtId="171" xfId="0" applyAlignment="1" applyBorder="1" applyFont="1" applyNumberFormat="1">
      <alignment readingOrder="0" shrinkToFit="0" vertical="bottom" wrapText="0"/>
    </xf>
    <xf borderId="11" fillId="5" fontId="6" numFmtId="49" xfId="0" applyAlignment="1" applyBorder="1" applyFont="1" applyNumberFormat="1">
      <alignment horizontal="center" readingOrder="0" shrinkToFit="0" vertical="bottom" wrapText="1"/>
    </xf>
    <xf borderId="0" fillId="6" fontId="6" numFmtId="170" xfId="0" applyAlignment="1" applyFont="1" applyNumberFormat="1">
      <alignment horizontal="center" shrinkToFit="0" vertical="bottom" wrapText="1"/>
    </xf>
    <xf borderId="11" fillId="5" fontId="13" numFmtId="49" xfId="0" applyAlignment="1" applyBorder="1" applyFont="1" applyNumberFormat="1">
      <alignment horizontal="right" shrinkToFit="0" vertical="bottom" wrapText="1"/>
    </xf>
    <xf borderId="11" fillId="5" fontId="13" numFmtId="49" xfId="0" applyAlignment="1" applyBorder="1" applyFont="1" applyNumberFormat="1">
      <alignment horizontal="right" readingOrder="0" shrinkToFit="0" vertical="bottom" wrapText="1"/>
    </xf>
    <xf borderId="11" fillId="5" fontId="12" numFmtId="49" xfId="0" applyAlignment="1" applyBorder="1" applyFont="1" applyNumberFormat="1">
      <alignment readingOrder="0" shrinkToFit="0" vertical="bottom" wrapText="1"/>
    </xf>
    <xf borderId="10" fillId="5" fontId="6" numFmtId="3" xfId="0" applyAlignment="1" applyBorder="1" applyFont="1" applyNumberFormat="1">
      <alignment horizontal="center" shrinkToFit="0" vertical="center" wrapText="1"/>
    </xf>
    <xf borderId="11" fillId="5" fontId="6" numFmtId="164" xfId="0" applyAlignment="1" applyBorder="1" applyFont="1" applyNumberFormat="1">
      <alignment horizontal="right" shrinkToFit="0" vertical="center" wrapText="1"/>
    </xf>
    <xf borderId="11" fillId="5" fontId="8" numFmtId="49" xfId="0" applyAlignment="1" applyBorder="1" applyFont="1" applyNumberFormat="1">
      <alignment horizontal="right" shrinkToFit="0" vertical="center" wrapText="1"/>
    </xf>
    <xf borderId="11" fillId="5" fontId="6" numFmtId="49" xfId="0" applyAlignment="1" applyBorder="1" applyFont="1" applyNumberFormat="1">
      <alignment horizontal="center" shrinkToFit="0" vertical="center" wrapText="1"/>
    </xf>
    <xf borderId="11" fillId="5" fontId="6" numFmtId="49" xfId="0" applyAlignment="1" applyBorder="1" applyFont="1" applyNumberFormat="1">
      <alignment horizontal="center" shrinkToFit="0" vertical="center" wrapText="1"/>
    </xf>
    <xf borderId="11" fillId="5" fontId="6" numFmtId="170" xfId="0" applyAlignment="1" applyBorder="1" applyFont="1" applyNumberFormat="1">
      <alignment horizontal="center" shrinkToFit="0" vertical="center" wrapText="1"/>
    </xf>
    <xf borderId="11" fillId="5" fontId="6" numFmtId="171" xfId="0" applyAlignment="1" applyBorder="1" applyFont="1" applyNumberFormat="1">
      <alignment horizontal="right" shrinkToFit="0" vertical="center" wrapText="1"/>
    </xf>
    <xf borderId="11" fillId="5" fontId="6" numFmtId="168" xfId="0" applyAlignment="1" applyBorder="1" applyFont="1" applyNumberFormat="1">
      <alignment horizontal="center" shrinkToFit="0" vertical="center" wrapText="1"/>
    </xf>
    <xf borderId="11" fillId="5" fontId="6" numFmtId="169" xfId="0" applyAlignment="1" applyBorder="1" applyFont="1" applyNumberFormat="1">
      <alignment horizontal="center" shrinkToFit="0" vertical="center" wrapText="1"/>
    </xf>
    <xf borderId="12" fillId="5" fontId="9" numFmtId="168" xfId="0" applyAlignment="1" applyBorder="1" applyFont="1" applyNumberFormat="1">
      <alignment shrinkToFit="0" vertical="center" wrapText="0"/>
    </xf>
    <xf borderId="11" fillId="6" fontId="6" numFmtId="169" xfId="0" applyAlignment="1" applyBorder="1" applyFont="1" applyNumberFormat="1">
      <alignment horizontal="center" shrinkToFit="0" vertical="center" wrapText="1"/>
    </xf>
    <xf borderId="13" fillId="5" fontId="6" numFmtId="164" xfId="0" applyAlignment="1" applyBorder="1" applyFont="1" applyNumberFormat="1">
      <alignment horizontal="right" shrinkToFit="0" vertical="bottom" wrapText="1"/>
    </xf>
    <xf borderId="13" fillId="5" fontId="6" numFmtId="170" xfId="0" applyAlignment="1" applyBorder="1" applyFont="1" applyNumberFormat="1">
      <alignment horizontal="center" shrinkToFit="0" vertical="bottom" wrapText="1"/>
    </xf>
    <xf borderId="13" fillId="5" fontId="6" numFmtId="171" xfId="0" applyAlignment="1" applyBorder="1" applyFont="1" applyNumberFormat="1">
      <alignment horizontal="right" shrinkToFit="0" vertical="bottom" wrapText="1"/>
    </xf>
    <xf borderId="14" fillId="5" fontId="6" numFmtId="14" xfId="0" applyAlignment="1" applyBorder="1" applyFont="1" applyNumberFormat="1">
      <alignment horizontal="right" shrinkToFit="0" vertical="bottom" wrapText="1"/>
    </xf>
    <xf borderId="14" fillId="5" fontId="6" numFmtId="169" xfId="0" applyAlignment="1" applyBorder="1" applyFont="1" applyNumberFormat="1">
      <alignment horizontal="center" shrinkToFit="0" vertical="bottom" wrapText="1"/>
    </xf>
    <xf borderId="14" fillId="5" fontId="6" numFmtId="171" xfId="0" applyAlignment="1" applyBorder="1" applyFont="1" applyNumberFormat="1">
      <alignment horizontal="right" shrinkToFit="0" vertical="bottom" wrapText="1"/>
    </xf>
    <xf borderId="14" fillId="5" fontId="6" numFmtId="164" xfId="0" applyAlignment="1" applyBorder="1" applyFont="1" applyNumberFormat="1">
      <alignment horizontal="right" shrinkToFit="0" vertical="bottom" wrapText="1"/>
    </xf>
    <xf borderId="14" fillId="5" fontId="6" numFmtId="170" xfId="0" applyAlignment="1" applyBorder="1" applyFont="1" applyNumberFormat="1">
      <alignment horizontal="center" shrinkToFit="0" vertical="bottom" wrapText="1"/>
    </xf>
    <xf borderId="14" fillId="5" fontId="9" numFmtId="171" xfId="0" applyAlignment="1" applyBorder="1" applyFont="1" applyNumberFormat="1">
      <alignment readingOrder="0" shrinkToFit="0" vertical="bottom" wrapText="0"/>
    </xf>
    <xf borderId="10" fillId="5" fontId="9" numFmtId="3" xfId="0" applyAlignment="1" applyBorder="1" applyFont="1" applyNumberFormat="1">
      <alignment shrinkToFit="0" vertical="center" wrapText="0"/>
    </xf>
    <xf borderId="14" fillId="5" fontId="6" numFmtId="14" xfId="0" applyAlignment="1" applyBorder="1" applyFont="1" applyNumberFormat="1">
      <alignment horizontal="center" shrinkToFit="0" vertical="center" wrapText="1"/>
    </xf>
    <xf borderId="11" fillId="5" fontId="10" numFmtId="49" xfId="0" applyAlignment="1" applyBorder="1" applyFont="1" applyNumberFormat="1">
      <alignment horizontal="center" shrinkToFit="0" vertical="center" wrapText="1"/>
    </xf>
    <xf borderId="14" fillId="5" fontId="6" numFmtId="169" xfId="0" applyAlignment="1" applyBorder="1" applyFont="1" applyNumberFormat="1">
      <alignment horizontal="center" shrinkToFit="0" vertical="center" wrapText="1"/>
    </xf>
    <xf borderId="14" fillId="5" fontId="6" numFmtId="171" xfId="0" applyAlignment="1" applyBorder="1" applyFont="1" applyNumberFormat="1">
      <alignment horizontal="right" shrinkToFit="0" vertical="center" wrapText="1"/>
    </xf>
    <xf borderId="11" fillId="6" fontId="11" numFmtId="169" xfId="0" applyAlignment="1" applyBorder="1" applyFont="1" applyNumberFormat="1">
      <alignment horizontal="center" shrinkToFit="0" vertical="center" wrapText="1"/>
    </xf>
    <xf borderId="10" fillId="5" fontId="9" numFmtId="3" xfId="0" applyAlignment="1" applyBorder="1" applyFont="1" applyNumberFormat="1">
      <alignment shrinkToFit="0" vertical="bottom" wrapText="0"/>
    </xf>
    <xf borderId="11" fillId="5" fontId="6" numFmtId="14" xfId="0" applyAlignment="1" applyBorder="1" applyFont="1" applyNumberFormat="1">
      <alignment horizontal="right" shrinkToFit="0" vertical="bottom" wrapText="1"/>
    </xf>
    <xf borderId="11" fillId="5" fontId="9" numFmtId="49" xfId="0" applyAlignment="1" applyBorder="1" applyFont="1" applyNumberFormat="1">
      <alignment shrinkToFit="0" vertical="bottom" wrapText="0"/>
    </xf>
    <xf borderId="11" fillId="5" fontId="6" numFmtId="169" xfId="0" applyAlignment="1" applyBorder="1" applyFont="1" applyNumberFormat="1">
      <alignment horizontal="center" readingOrder="0" shrinkToFit="0" vertical="bottom" wrapText="1"/>
    </xf>
    <xf borderId="0" fillId="6" fontId="6" numFmtId="169" xfId="0" applyAlignment="1" applyFont="1" applyNumberFormat="1">
      <alignment horizontal="center" shrinkToFit="0" vertical="center" wrapText="1"/>
    </xf>
    <xf borderId="15" fillId="5" fontId="6" numFmtId="0" xfId="0" applyAlignment="1" applyBorder="1" applyFont="1">
      <alignment horizontal="center" shrinkToFit="0" vertical="bottom" wrapText="1"/>
    </xf>
    <xf borderId="16" fillId="5" fontId="6" numFmtId="14" xfId="0" applyAlignment="1" applyBorder="1" applyFont="1" applyNumberFormat="1">
      <alignment horizontal="right" shrinkToFit="0" vertical="bottom" wrapText="1"/>
    </xf>
    <xf borderId="16" fillId="5" fontId="8" numFmtId="0" xfId="0" applyAlignment="1" applyBorder="1" applyFont="1">
      <alignment horizontal="right" shrinkToFit="0" vertical="bottom" wrapText="1"/>
    </xf>
    <xf borderId="16" fillId="5" fontId="6" numFmtId="49" xfId="0" applyAlignment="1" applyBorder="1" applyFont="1" applyNumberFormat="1">
      <alignment horizontal="center" shrinkToFit="0" vertical="bottom" wrapText="1"/>
    </xf>
    <xf borderId="16" fillId="5" fontId="6" numFmtId="49" xfId="0" applyAlignment="1" applyBorder="1" applyFont="1" applyNumberFormat="1">
      <alignment horizontal="center" shrinkToFit="0" vertical="bottom" wrapText="1"/>
    </xf>
    <xf borderId="16" fillId="5" fontId="6" numFmtId="169" xfId="0" applyAlignment="1" applyBorder="1" applyFont="1" applyNumberFormat="1">
      <alignment horizontal="center" shrinkToFit="0" vertical="bottom" wrapText="1"/>
    </xf>
    <xf borderId="16" fillId="5" fontId="6" numFmtId="171" xfId="0" applyAlignment="1" applyBorder="1" applyFont="1" applyNumberFormat="1">
      <alignment horizontal="right" shrinkToFit="0" vertical="bottom" wrapText="1"/>
    </xf>
    <xf borderId="16" fillId="5" fontId="6" numFmtId="168" xfId="0" applyAlignment="1" applyBorder="1" applyFont="1" applyNumberFormat="1">
      <alignment horizontal="center" shrinkToFit="0" vertical="bottom" wrapText="1"/>
    </xf>
    <xf borderId="16" fillId="5" fontId="6" numFmtId="169" xfId="0" applyAlignment="1" applyBorder="1" applyFont="1" applyNumberFormat="1">
      <alignment horizontal="center" readingOrder="0" shrinkToFit="0" vertical="bottom" wrapText="1"/>
    </xf>
    <xf borderId="16" fillId="5" fontId="6" numFmtId="171" xfId="0" applyAlignment="1" applyBorder="1" applyFont="1" applyNumberFormat="1">
      <alignment horizontal="center" shrinkToFit="0" vertical="bottom" wrapText="1"/>
    </xf>
    <xf borderId="17" fillId="5" fontId="9" numFmtId="168" xfId="0" applyAlignment="1" applyBorder="1" applyFont="1" applyNumberFormat="1">
      <alignment shrinkToFit="0" vertical="bottom" wrapText="0"/>
    </xf>
    <xf borderId="0" fillId="6" fontId="6" numFmtId="0" xfId="0" applyAlignment="1" applyFont="1">
      <alignment horizontal="center" shrinkToFit="0" vertical="center" wrapText="1"/>
    </xf>
    <xf borderId="0" fillId="6" fontId="6" numFmtId="164" xfId="0" applyAlignment="1" applyFont="1" applyNumberFormat="1">
      <alignment horizontal="center" shrinkToFit="0" vertical="center" wrapText="1"/>
    </xf>
    <xf borderId="0" fillId="6" fontId="12" numFmtId="49" xfId="0" applyAlignment="1" applyFont="1" applyNumberFormat="1">
      <alignment horizontal="center" shrinkToFit="0" vertical="center" wrapText="1"/>
    </xf>
    <xf borderId="0" fillId="6" fontId="6" numFmtId="49" xfId="0" applyAlignment="1" applyFont="1" applyNumberFormat="1">
      <alignment horizontal="center" shrinkToFit="0" vertical="center" wrapText="1"/>
    </xf>
    <xf borderId="0" fillId="6" fontId="6" numFmtId="49" xfId="0" applyAlignment="1" applyFont="1" applyNumberFormat="1">
      <alignment horizontal="center" shrinkToFit="0" vertical="center" wrapText="1"/>
    </xf>
    <xf borderId="0" fillId="6" fontId="6" numFmtId="170" xfId="0" applyAlignment="1" applyFont="1" applyNumberFormat="1">
      <alignment horizontal="center" shrinkToFit="0" vertical="center" wrapText="1"/>
    </xf>
    <xf borderId="0" fillId="6" fontId="9" numFmtId="171" xfId="0" applyAlignment="1" applyFont="1" applyNumberFormat="1">
      <alignment horizontal="center" readingOrder="0" shrinkToFit="0" vertical="center" wrapText="1"/>
    </xf>
    <xf borderId="0" fillId="6" fontId="6" numFmtId="168" xfId="0" applyAlignment="1" applyFont="1" applyNumberFormat="1">
      <alignment horizontal="center" shrinkToFit="0" vertical="center" wrapText="1"/>
    </xf>
    <xf borderId="0" fillId="6" fontId="6" numFmtId="169" xfId="0" applyAlignment="1" applyFont="1" applyNumberFormat="1">
      <alignment horizontal="center" readingOrder="0" shrinkToFit="0" vertical="center" wrapText="1"/>
    </xf>
    <xf borderId="0" fillId="6" fontId="11" numFmtId="169" xfId="0" applyAlignment="1" applyFont="1" applyNumberFormat="1">
      <alignment horizontal="center" shrinkToFit="0" vertical="center" wrapText="1"/>
    </xf>
    <xf borderId="0" fillId="5" fontId="6" numFmtId="168" xfId="0" applyAlignment="1" applyFont="1" applyNumberFormat="1">
      <alignment shrinkToFit="0" vertical="bottom" wrapText="1"/>
    </xf>
    <xf borderId="0" fillId="0" fontId="14" numFmtId="0" xfId="0" applyAlignment="1" applyFont="1">
      <alignment horizontal="center" readingOrder="0" shrinkToFit="0" vertical="center" wrapText="0"/>
    </xf>
    <xf borderId="0" fillId="0" fontId="14" numFmtId="164" xfId="0" applyAlignment="1" applyFont="1" applyNumberFormat="1">
      <alignment horizontal="center" readingOrder="0" shrinkToFit="0" vertical="center" wrapText="0"/>
    </xf>
    <xf borderId="0" fillId="0" fontId="14" numFmtId="0" xfId="0" applyAlignment="1" applyFont="1">
      <alignment horizontal="center" readingOrder="0" shrinkToFit="0" vertical="center" wrapText="0"/>
    </xf>
    <xf borderId="0" fillId="0" fontId="14" numFmtId="169" xfId="0" applyAlignment="1" applyFont="1" applyNumberFormat="1">
      <alignment horizontal="center" readingOrder="0" shrinkToFit="0" vertical="center" wrapText="0"/>
    </xf>
    <xf borderId="0" fillId="0" fontId="14" numFmtId="0" xfId="0" applyAlignment="1" applyFont="1">
      <alignment horizontal="center" readingOrder="0" shrinkToFit="0" vertical="center" wrapText="0"/>
    </xf>
    <xf borderId="0" fillId="0" fontId="14" numFmtId="14" xfId="0" applyAlignment="1" applyFont="1" applyNumberFormat="1">
      <alignment horizontal="center" readingOrder="0" shrinkToFit="0" vertical="center" wrapText="0"/>
    </xf>
    <xf borderId="0" fillId="0" fontId="14" numFmtId="0" xfId="0" applyAlignment="1" applyFont="1">
      <alignment readingOrder="0" shrinkToFit="0" vertical="center" wrapText="0"/>
    </xf>
    <xf borderId="0" fillId="0" fontId="14" numFmtId="0" xfId="0" applyAlignment="1" applyFont="1">
      <alignment horizontal="center" readingOrder="0" shrinkToFit="0" vertical="center" wrapText="0"/>
    </xf>
    <xf borderId="0" fillId="0" fontId="14" numFmtId="169" xfId="0" applyAlignment="1" applyFont="1" applyNumberFormat="1">
      <alignment horizontal="center" readingOrder="0" shrinkToFit="0" vertical="center" wrapText="0"/>
    </xf>
    <xf borderId="0" fillId="0" fontId="14" numFmtId="0" xfId="0" applyAlignment="1" applyFont="1">
      <alignment horizontal="center" shrinkToFit="0" vertical="center" wrapText="0"/>
    </xf>
    <xf borderId="18" fillId="7" fontId="15" numFmtId="0" xfId="0" applyAlignment="1" applyBorder="1" applyFill="1" applyFont="1">
      <alignment horizontal="center" readingOrder="1" shrinkToFit="0" vertical="center" wrapText="1"/>
    </xf>
    <xf borderId="19" fillId="0" fontId="16" numFmtId="0" xfId="0" applyBorder="1" applyFont="1"/>
    <xf borderId="20" fillId="0" fontId="16" numFmtId="0" xfId="0" applyBorder="1" applyFont="1"/>
    <xf borderId="18" fillId="8" fontId="15" numFmtId="0" xfId="0" applyAlignment="1" applyBorder="1" applyFill="1" applyFont="1">
      <alignment horizontal="center" readingOrder="1" shrinkToFit="0" vertical="center" wrapText="1"/>
    </xf>
    <xf borderId="19" fillId="9" fontId="16" numFmtId="0" xfId="0" applyBorder="1" applyFill="1" applyFont="1"/>
    <xf borderId="20" fillId="9" fontId="16" numFmtId="0" xfId="0" applyBorder="1" applyFont="1"/>
    <xf borderId="0" fillId="8" fontId="15" numFmtId="0" xfId="0" applyAlignment="1" applyFont="1">
      <alignment horizontal="center" readingOrder="1" shrinkToFit="0" vertical="center" wrapText="1"/>
    </xf>
    <xf borderId="21" fillId="0" fontId="16" numFmtId="0" xfId="0" applyBorder="1" applyFont="1"/>
    <xf borderId="22" fillId="0" fontId="16" numFmtId="0" xfId="0" applyBorder="1" applyFont="1"/>
    <xf borderId="23" fillId="0" fontId="16" numFmtId="0" xfId="0" applyBorder="1" applyFont="1"/>
    <xf borderId="24" fillId="10" fontId="16" numFmtId="0" xfId="0" applyBorder="1" applyFill="1" applyFont="1"/>
    <xf borderId="25" fillId="10" fontId="16" numFmtId="0" xfId="0" applyBorder="1" applyFont="1"/>
    <xf borderId="0" fillId="11" fontId="17" numFmtId="0" xfId="0" applyAlignment="1" applyFill="1" applyFont="1">
      <alignment horizontal="center" readingOrder="1" shrinkToFit="0" vertical="center" wrapText="1"/>
    </xf>
    <xf borderId="21" fillId="7" fontId="18" numFmtId="3" xfId="0" applyAlignment="1" applyBorder="1" applyFont="1" applyNumberFormat="1">
      <alignment horizontal="center" readingOrder="0" vertical="center"/>
    </xf>
    <xf borderId="0" fillId="7" fontId="18" numFmtId="4" xfId="0" applyAlignment="1" applyFont="1" applyNumberFormat="1">
      <alignment horizontal="center" readingOrder="0" vertical="center"/>
    </xf>
    <xf borderId="0" fillId="7" fontId="19" numFmtId="3" xfId="0" applyAlignment="1" applyFont="1" applyNumberFormat="1">
      <alignment horizontal="center" shrinkToFit="0" vertical="center" wrapText="1"/>
    </xf>
    <xf borderId="22" fillId="9" fontId="16" numFmtId="0" xfId="0" applyBorder="1" applyFont="1"/>
    <xf borderId="26" fillId="8" fontId="18" numFmtId="3" xfId="0" applyAlignment="1" applyBorder="1" applyFont="1" applyNumberFormat="1">
      <alignment horizontal="center" readingOrder="0" vertical="center"/>
    </xf>
    <xf borderId="26" fillId="8" fontId="18" numFmtId="0" xfId="0" applyAlignment="1" applyBorder="1" applyFont="1">
      <alignment horizontal="center" readingOrder="2" shrinkToFit="0" vertical="center" wrapText="1"/>
    </xf>
    <xf borderId="18" fillId="8" fontId="19" numFmtId="0" xfId="0" applyAlignment="1" applyBorder="1" applyFont="1">
      <alignment horizontal="center" shrinkToFit="0" vertical="center" wrapText="1"/>
    </xf>
    <xf borderId="0" fillId="7" fontId="18" numFmtId="164" xfId="0" applyAlignment="1" applyFont="1" applyNumberFormat="1">
      <alignment horizontal="center" readingOrder="0" vertical="center"/>
    </xf>
    <xf borderId="22" fillId="10" fontId="16" numFmtId="0" xfId="0" applyBorder="1" applyFont="1"/>
    <xf borderId="26" fillId="8" fontId="18" numFmtId="14" xfId="0" applyAlignment="1" applyBorder="1" applyFont="1" applyNumberFormat="1">
      <alignment horizontal="center" readingOrder="0" shrinkToFit="0" vertical="center" wrapText="1"/>
    </xf>
    <xf borderId="21" fillId="10" fontId="16" numFmtId="0" xfId="0" applyBorder="1" applyFont="1"/>
    <xf borderId="0" fillId="7" fontId="18" numFmtId="49" xfId="0" applyAlignment="1" applyFont="1" applyNumberFormat="1">
      <alignment horizontal="center" readingOrder="0" vertical="center"/>
    </xf>
    <xf borderId="23" fillId="9" fontId="16" numFmtId="0" xfId="0" applyBorder="1" applyFont="1"/>
    <xf borderId="25" fillId="9" fontId="16" numFmtId="0" xfId="0" applyBorder="1" applyFont="1"/>
    <xf borderId="21" fillId="7" fontId="18" numFmtId="3" xfId="0" applyAlignment="1" applyBorder="1" applyFont="1" applyNumberFormat="1">
      <alignment horizontal="center" vertical="center"/>
    </xf>
    <xf borderId="0" fillId="7" fontId="19" numFmtId="3" xfId="0" applyAlignment="1" applyFont="1" applyNumberFormat="1">
      <alignment horizontal="center" readingOrder="1"/>
    </xf>
    <xf borderId="0" fillId="7" fontId="19" numFmtId="3" xfId="0" applyAlignment="1" applyFont="1" applyNumberFormat="1">
      <alignment horizontal="center"/>
    </xf>
    <xf borderId="22" fillId="7" fontId="19" numFmtId="3" xfId="0" applyAlignment="1" applyBorder="1" applyFont="1" applyNumberFormat="1">
      <alignment horizontal="center"/>
    </xf>
    <xf borderId="26" fillId="8" fontId="19" numFmtId="0" xfId="0" applyAlignment="1" applyBorder="1" applyFont="1">
      <alignment horizontal="left" readingOrder="1"/>
    </xf>
    <xf borderId="26" fillId="8" fontId="19" numFmtId="3" xfId="0" applyAlignment="1" applyBorder="1" applyFont="1" applyNumberFormat="1">
      <alignment horizontal="center" readingOrder="0"/>
    </xf>
    <xf borderId="0" fillId="8" fontId="19" numFmtId="3" xfId="0" applyAlignment="1" applyFont="1" applyNumberFormat="1">
      <alignment horizontal="center" readingOrder="0"/>
    </xf>
    <xf borderId="21" fillId="10" fontId="19" numFmtId="3" xfId="0" applyAlignment="1" applyBorder="1" applyFont="1" applyNumberFormat="1">
      <alignment horizontal="center" readingOrder="1" shrinkToFit="0" wrapText="1"/>
    </xf>
    <xf borderId="0" fillId="10" fontId="19" numFmtId="3" xfId="0" applyAlignment="1" applyFont="1" applyNumberFormat="1">
      <alignment horizontal="center" readingOrder="1" shrinkToFit="0" wrapText="1"/>
    </xf>
    <xf borderId="22" fillId="10" fontId="19" numFmtId="3" xfId="0" applyAlignment="1" applyBorder="1" applyFont="1" applyNumberFormat="1">
      <alignment horizontal="center" readingOrder="1" shrinkToFit="0" wrapText="1"/>
    </xf>
    <xf borderId="21" fillId="10" fontId="19" numFmtId="0" xfId="0" applyAlignment="1" applyBorder="1" applyFont="1">
      <alignment horizontal="center" readingOrder="1" shrinkToFit="0" vertical="center" wrapText="1"/>
    </xf>
    <xf borderId="0" fillId="10" fontId="19" numFmtId="3" xfId="0" applyAlignment="1" applyFont="1" applyNumberFormat="1">
      <alignment horizontal="center" readingOrder="1" shrinkToFit="0" vertical="center" wrapText="1"/>
    </xf>
    <xf borderId="0" fillId="10" fontId="19" numFmtId="169" xfId="0" applyAlignment="1" applyFont="1" applyNumberFormat="1">
      <alignment horizontal="center" readingOrder="1" shrinkToFit="0" vertical="center" wrapText="1"/>
    </xf>
    <xf borderId="26" fillId="10" fontId="19" numFmtId="3" xfId="0" applyAlignment="1" applyBorder="1" applyFont="1" applyNumberFormat="1">
      <alignment horizontal="center" readingOrder="1" vertical="center"/>
    </xf>
    <xf borderId="0" fillId="10" fontId="19" numFmtId="3" xfId="0" applyAlignment="1" applyFont="1" applyNumberFormat="1">
      <alignment horizontal="center" readingOrder="0" vertical="center"/>
    </xf>
    <xf borderId="21" fillId="10" fontId="19" numFmtId="0" xfId="0" applyAlignment="1" applyBorder="1" applyFont="1">
      <alignment horizontal="center" readingOrder="1" vertical="center"/>
    </xf>
    <xf borderId="22" fillId="10" fontId="19" numFmtId="3" xfId="0" applyAlignment="1" applyBorder="1" applyFont="1" applyNumberFormat="1">
      <alignment horizontal="center" readingOrder="0" shrinkToFit="0" wrapText="1"/>
    </xf>
    <xf borderId="21" fillId="10" fontId="19" numFmtId="3" xfId="0" applyAlignment="1" applyBorder="1" applyFont="1" applyNumberFormat="1">
      <alignment horizontal="left" readingOrder="1"/>
    </xf>
    <xf borderId="0" fillId="10" fontId="19" numFmtId="3" xfId="0" applyAlignment="1" applyFont="1" applyNumberFormat="1">
      <alignment horizontal="center" readingOrder="1" vertical="center"/>
    </xf>
    <xf borderId="0" fillId="10" fontId="19" numFmtId="169" xfId="0" applyAlignment="1" applyFont="1" applyNumberFormat="1">
      <alignment horizontal="center" readingOrder="1" vertical="center"/>
    </xf>
    <xf borderId="21" fillId="10" fontId="19" numFmtId="0" xfId="0" applyAlignment="1" applyBorder="1" applyFont="1">
      <alignment horizontal="center" readingOrder="1" vertical="center"/>
    </xf>
    <xf borderId="26" fillId="10" fontId="19" numFmtId="3" xfId="0" applyAlignment="1" applyBorder="1" applyFont="1" applyNumberFormat="1">
      <alignment horizontal="center" readingOrder="1"/>
    </xf>
    <xf borderId="26" fillId="10" fontId="19" numFmtId="3" xfId="0" applyAlignment="1" applyBorder="1" applyFont="1" applyNumberFormat="1">
      <alignment horizontal="center" readingOrder="1" shrinkToFit="0" wrapText="1"/>
    </xf>
    <xf borderId="20" fillId="10" fontId="19" numFmtId="3" xfId="0" applyAlignment="1" applyBorder="1" applyFont="1" applyNumberFormat="1">
      <alignment horizontal="center" readingOrder="1" shrinkToFit="0" wrapText="1"/>
    </xf>
    <xf borderId="26" fillId="10" fontId="19" numFmtId="3" xfId="0" applyAlignment="1" applyBorder="1" applyFont="1" applyNumberFormat="1">
      <alignment horizontal="center" vertical="bottom"/>
    </xf>
    <xf borderId="20" fillId="10" fontId="19" numFmtId="169" xfId="0" applyAlignment="1" applyBorder="1" applyFont="1" applyNumberFormat="1">
      <alignment horizontal="center" readingOrder="1" shrinkToFit="0" wrapText="1"/>
    </xf>
    <xf borderId="0" fillId="10" fontId="20" numFmtId="169" xfId="0" applyAlignment="1" applyFont="1" applyNumberFormat="1">
      <alignment horizontal="center" readingOrder="1" shrinkToFit="0" wrapText="1"/>
    </xf>
    <xf borderId="26" fillId="10" fontId="19" numFmtId="3" xfId="0" applyAlignment="1" applyBorder="1" applyFont="1" applyNumberFormat="1">
      <alignment horizontal="center" readingOrder="0"/>
    </xf>
    <xf borderId="26" fillId="10" fontId="19" numFmtId="3" xfId="0" applyAlignment="1" applyBorder="1" applyFont="1" applyNumberFormat="1">
      <alignment horizontal="left" readingOrder="1"/>
    </xf>
    <xf borderId="22" fillId="10" fontId="19" numFmtId="3" xfId="0" applyAlignment="1" applyBorder="1" applyFont="1" applyNumberFormat="1">
      <alignment horizontal="left" readingOrder="1"/>
    </xf>
    <xf borderId="26" fillId="10" fontId="19" numFmtId="3" xfId="0" applyAlignment="1" applyBorder="1" applyFont="1" applyNumberFormat="1">
      <alignment horizontal="center" readingOrder="0" vertical="center"/>
    </xf>
    <xf borderId="26" fillId="10" fontId="19" numFmtId="0" xfId="0" applyAlignment="1" applyBorder="1" applyFont="1">
      <alignment horizontal="center" readingOrder="1" vertical="center"/>
    </xf>
    <xf borderId="22" fillId="10" fontId="19" numFmtId="169" xfId="0" applyAlignment="1" applyBorder="1" applyFont="1" applyNumberFormat="1">
      <alignment horizontal="center" readingOrder="1" shrinkToFit="0" wrapText="1"/>
    </xf>
    <xf borderId="26" fillId="10" fontId="19" numFmtId="3" xfId="0" applyAlignment="1" applyBorder="1" applyFont="1" applyNumberFormat="1">
      <alignment horizontal="center" readingOrder="0" vertical="bottom"/>
    </xf>
    <xf borderId="26" fillId="10" fontId="19" numFmtId="0" xfId="0" applyAlignment="1" applyBorder="1" applyFont="1">
      <alignment horizontal="center" readingOrder="1" vertical="center"/>
    </xf>
    <xf borderId="26" fillId="10" fontId="21" numFmtId="169" xfId="0" applyAlignment="1" applyBorder="1" applyFont="1" applyNumberFormat="1">
      <alignment horizontal="center" readingOrder="1" vertical="center"/>
    </xf>
    <xf borderId="26" fillId="10" fontId="19" numFmtId="3" xfId="0" applyAlignment="1" applyBorder="1" applyFont="1" applyNumberFormat="1">
      <alignment horizontal="center" readingOrder="0"/>
    </xf>
    <xf borderId="25" fillId="10" fontId="19" numFmtId="3" xfId="0" applyAlignment="1" applyBorder="1" applyFont="1" applyNumberFormat="1">
      <alignment horizontal="center" readingOrder="1" shrinkToFit="0" wrapText="1"/>
    </xf>
    <xf borderId="26" fillId="10" fontId="19" numFmtId="0" xfId="0" applyAlignment="1" applyBorder="1" applyFont="1">
      <alignment horizontal="left" readingOrder="1"/>
    </xf>
    <xf borderId="25" fillId="10" fontId="19" numFmtId="169" xfId="0" applyAlignment="1" applyBorder="1" applyFont="1" applyNumberFormat="1">
      <alignment horizontal="center" readingOrder="1" shrinkToFit="0" wrapText="1"/>
    </xf>
    <xf borderId="0" fillId="4" fontId="5" numFmtId="0" xfId="0" applyAlignment="1" applyFont="1">
      <alignment horizontal="center" readingOrder="0" vertical="center"/>
    </xf>
    <xf borderId="0" fillId="4" fontId="5" numFmtId="164" xfId="0" applyAlignment="1" applyFont="1" applyNumberFormat="1">
      <alignment horizontal="center" readingOrder="0" vertical="center"/>
    </xf>
    <xf borderId="0" fillId="4" fontId="22" numFmtId="0" xfId="0" applyAlignment="1" applyFont="1">
      <alignment horizontal="center" readingOrder="0" vertical="center"/>
    </xf>
    <xf borderId="0" fillId="4" fontId="5" numFmtId="0" xfId="0" applyAlignment="1" applyFont="1">
      <alignment horizontal="center" readingOrder="0" vertical="center"/>
    </xf>
    <xf borderId="0" fillId="4" fontId="23" numFmtId="4" xfId="0" applyAlignment="1" applyFont="1" applyNumberFormat="1">
      <alignment horizontal="center" readingOrder="0" vertical="center"/>
    </xf>
    <xf borderId="0" fillId="4" fontId="5" numFmtId="169" xfId="0" applyAlignment="1" applyFont="1" applyNumberFormat="1">
      <alignment horizontal="center" readingOrder="0" vertical="center"/>
    </xf>
    <xf borderId="0" fillId="4" fontId="5" numFmtId="0" xfId="0" applyAlignment="1" applyFont="1">
      <alignment horizontal="center" readingOrder="0" shrinkToFit="0" vertical="center" wrapText="0"/>
    </xf>
    <xf borderId="0" fillId="4" fontId="5" numFmtId="164" xfId="0" applyAlignment="1" applyFont="1" applyNumberFormat="1">
      <alignment horizontal="center" readingOrder="0" shrinkToFit="0" vertical="center" wrapText="0"/>
    </xf>
    <xf borderId="0" fillId="4" fontId="5" numFmtId="0" xfId="0" applyAlignment="1" applyFont="1">
      <alignment horizontal="center" readingOrder="0" shrinkToFit="0" vertical="center" wrapText="0"/>
    </xf>
    <xf borderId="0" fillId="4" fontId="5" numFmtId="4" xfId="0" applyAlignment="1" applyFont="1" applyNumberFormat="1">
      <alignment horizontal="center" readingOrder="0" shrinkToFit="0" vertical="center" wrapText="0"/>
    </xf>
    <xf borderId="0" fillId="4" fontId="5" numFmtId="169" xfId="0" applyAlignment="1" applyFont="1" applyNumberFormat="1">
      <alignment horizontal="center" readingOrder="0" shrinkToFit="0" vertical="center" wrapText="0"/>
    </xf>
    <xf borderId="0" fillId="4" fontId="5" numFmtId="49" xfId="0" applyAlignment="1" applyFont="1" applyNumberFormat="1">
      <alignment horizontal="center" readingOrder="0" shrinkToFit="0" vertical="center" wrapText="0"/>
    </xf>
    <xf borderId="0" fillId="4" fontId="5" numFmtId="0" xfId="0" applyAlignment="1" applyFont="1">
      <alignment horizontal="center" readingOrder="0" shrinkToFit="0" vertical="center" wrapText="0"/>
    </xf>
    <xf borderId="0" fillId="4" fontId="5" numFmtId="14" xfId="0" applyAlignment="1" applyFont="1" applyNumberFormat="1">
      <alignment horizontal="center" readingOrder="0" shrinkToFit="0" vertical="center" wrapText="0"/>
    </xf>
    <xf borderId="0" fillId="4" fontId="5" numFmtId="0" xfId="0" applyAlignment="1" applyFont="1">
      <alignment horizontal="center" readingOrder="0" shrinkToFit="0" vertical="center" wrapText="0"/>
    </xf>
    <xf borderId="0" fillId="4" fontId="5" numFmtId="3" xfId="0" applyAlignment="1" applyFont="1" applyNumberFormat="1">
      <alignment horizontal="center" readingOrder="0" shrinkToFit="0" vertical="center" wrapText="0"/>
    </xf>
    <xf borderId="0" fillId="4" fontId="5" numFmtId="171" xfId="0" applyAlignment="1" applyFont="1" applyNumberFormat="1">
      <alignment horizontal="center" readingOrder="0" shrinkToFit="0" vertical="center" wrapText="0"/>
    </xf>
    <xf borderId="0" fillId="10" fontId="24" numFmtId="3" xfId="0" applyAlignment="1" applyFont="1" applyNumberFormat="1">
      <alignment horizontal="center" readingOrder="0" shrinkToFit="0" vertical="center" wrapText="0"/>
    </xf>
    <xf borderId="0" fillId="10" fontId="5" numFmtId="164" xfId="0" applyAlignment="1" applyFont="1" applyNumberFormat="1">
      <alignment horizontal="center" readingOrder="0" shrinkToFit="0" vertical="center" wrapText="1"/>
    </xf>
    <xf borderId="0" fillId="10" fontId="5" numFmtId="0" xfId="0" applyAlignment="1" applyFont="1">
      <alignment readingOrder="0" shrinkToFit="0" vertical="center" wrapText="1"/>
    </xf>
    <xf borderId="0" fillId="10" fontId="5" numFmtId="170" xfId="0" applyAlignment="1" applyFont="1" applyNumberFormat="1">
      <alignment horizontal="center" readingOrder="0" shrinkToFit="0" vertical="center" wrapText="1"/>
    </xf>
    <xf borderId="0" fillId="10" fontId="5" numFmtId="0" xfId="0" applyAlignment="1" applyFont="1">
      <alignment horizontal="center" readingOrder="0" shrinkToFit="0" vertical="center" wrapText="1"/>
    </xf>
    <xf borderId="0" fillId="10" fontId="24" numFmtId="3" xfId="0" applyAlignment="1" applyFont="1" applyNumberFormat="1">
      <alignment horizontal="center" shrinkToFit="0" vertical="center" wrapText="0"/>
    </xf>
    <xf borderId="11" fillId="10" fontId="5" numFmtId="168" xfId="0" applyAlignment="1" applyBorder="1" applyFont="1" applyNumberFormat="1">
      <alignment horizontal="right" shrinkToFit="0" vertical="center" wrapText="1"/>
    </xf>
    <xf borderId="11" fillId="10" fontId="5" numFmtId="170" xfId="0" applyAlignment="1" applyBorder="1" applyFont="1" applyNumberFormat="1">
      <alignment horizontal="center" shrinkToFit="0" vertical="center" wrapText="0"/>
    </xf>
    <xf borderId="11" fillId="10" fontId="5" numFmtId="171" xfId="0" applyAlignment="1" applyBorder="1" applyFont="1" applyNumberFormat="1">
      <alignment horizontal="right" shrinkToFit="0" vertical="center" wrapText="1"/>
    </xf>
    <xf borderId="0" fillId="10" fontId="5" numFmtId="171" xfId="0" applyAlignment="1" applyFont="1" applyNumberFormat="1">
      <alignment shrinkToFit="0" vertical="center" wrapText="1"/>
    </xf>
    <xf borderId="0" fillId="10" fontId="24" numFmtId="164" xfId="0" applyAlignment="1" applyFont="1" applyNumberFormat="1">
      <alignment horizontal="center" shrinkToFit="0" vertical="center" wrapText="0"/>
    </xf>
    <xf borderId="0" fillId="10" fontId="5" numFmtId="3" xfId="0" applyAlignment="1" applyFont="1" applyNumberFormat="1">
      <alignment horizontal="center" shrinkToFit="0" vertical="center" wrapText="1"/>
    </xf>
    <xf borderId="0" fillId="10" fontId="22" numFmtId="0" xfId="0" applyAlignment="1" applyFont="1">
      <alignment readingOrder="0" shrinkToFit="0" vertical="center" wrapText="1"/>
    </xf>
    <xf borderId="0" fillId="10" fontId="24" numFmtId="3" xfId="0" applyAlignment="1" applyFont="1" applyNumberFormat="1">
      <alignment horizontal="center" readingOrder="0" shrinkToFit="0" vertical="center" wrapText="0"/>
    </xf>
    <xf borderId="0" fillId="10" fontId="5" numFmtId="3" xfId="0" applyAlignment="1" applyFont="1" applyNumberFormat="1">
      <alignment horizontal="center" readingOrder="0" shrinkToFit="0" vertical="center" wrapText="1"/>
    </xf>
    <xf borderId="11" fillId="10" fontId="9" numFmtId="170" xfId="0" applyAlignment="1" applyBorder="1" applyFont="1" applyNumberFormat="1">
      <alignment shrinkToFit="0" vertical="center" wrapText="0"/>
    </xf>
    <xf borderId="0" fillId="10" fontId="5" numFmtId="3" xfId="0" applyAlignment="1" applyFont="1" applyNumberFormat="1">
      <alignment horizontal="center" readingOrder="0" shrinkToFit="0" vertical="center" wrapText="1"/>
    </xf>
    <xf borderId="0" fillId="10" fontId="5" numFmtId="164" xfId="0" applyAlignment="1" applyFont="1" applyNumberFormat="1">
      <alignment shrinkToFit="0" vertical="center" wrapText="1"/>
    </xf>
    <xf borderId="0" fillId="10" fontId="24" numFmtId="164" xfId="0" applyAlignment="1" applyFont="1" applyNumberFormat="1">
      <alignment horizontal="center" readingOrder="0" shrinkToFit="0" vertical="center" wrapText="0"/>
    </xf>
    <xf borderId="0" fillId="10" fontId="5" numFmtId="170" xfId="0" applyAlignment="1" applyFont="1" applyNumberFormat="1">
      <alignment horizontal="center" shrinkToFit="0" vertical="center" wrapText="1"/>
    </xf>
    <xf borderId="0" fillId="10" fontId="5" numFmtId="166" xfId="0" applyAlignment="1" applyFont="1" applyNumberFormat="1">
      <alignment horizontal="center" readingOrder="0" shrinkToFit="0" vertical="center" wrapText="1"/>
    </xf>
    <xf borderId="0" fillId="10" fontId="24" numFmtId="0" xfId="0" applyAlignment="1" applyFont="1">
      <alignment readingOrder="0" shrinkToFit="0" vertical="center" wrapText="0"/>
    </xf>
    <xf borderId="0" fillId="10" fontId="24" numFmtId="170" xfId="0" applyAlignment="1" applyFont="1" applyNumberFormat="1">
      <alignment horizontal="center" readingOrder="0" shrinkToFit="0" vertical="center" wrapText="0"/>
    </xf>
    <xf borderId="0" fillId="10" fontId="24" numFmtId="170" xfId="0" applyAlignment="1" applyFont="1" applyNumberFormat="1">
      <alignment horizontal="center" shrinkToFit="0" vertical="center" wrapText="0"/>
    </xf>
    <xf borderId="0" fillId="10" fontId="5" numFmtId="0" xfId="0" applyAlignment="1" applyFont="1">
      <alignment horizontal="center" readingOrder="0" shrinkToFit="0" vertical="center" wrapText="1"/>
    </xf>
    <xf borderId="0" fillId="10" fontId="5" numFmtId="164" xfId="0" applyAlignment="1" applyFont="1" applyNumberFormat="1">
      <alignment horizontal="center" readingOrder="0" shrinkToFit="0" vertical="center" wrapText="0"/>
    </xf>
    <xf borderId="0" fillId="10" fontId="5" numFmtId="3" xfId="0" applyAlignment="1" applyFont="1" applyNumberFormat="1">
      <alignment horizontal="center" shrinkToFit="0" vertical="center" wrapText="0"/>
    </xf>
    <xf borderId="0" fillId="10" fontId="5" numFmtId="164" xfId="0" applyAlignment="1" applyFont="1" applyNumberFormat="1">
      <alignment horizontal="center" shrinkToFit="0" vertical="center" wrapText="0"/>
    </xf>
    <xf borderId="0" fillId="10" fontId="5" numFmtId="170" xfId="0" applyAlignment="1" applyFont="1" applyNumberFormat="1">
      <alignment horizontal="center" readingOrder="0" shrinkToFit="0" vertical="center" wrapText="1"/>
    </xf>
    <xf borderId="0" fillId="10" fontId="5" numFmtId="166" xfId="0" applyAlignment="1" applyFont="1" applyNumberFormat="1">
      <alignment horizontal="center" readingOrder="0" shrinkToFit="0" vertical="center" wrapText="1"/>
    </xf>
    <xf borderId="11" fillId="10" fontId="5" numFmtId="169" xfId="0" applyAlignment="1" applyBorder="1" applyFont="1" applyNumberFormat="1">
      <alignment horizontal="center" shrinkToFit="0" vertical="center" wrapText="1"/>
    </xf>
    <xf borderId="0" fillId="12" fontId="5" numFmtId="0" xfId="0" applyAlignment="1" applyFill="1" applyFont="1">
      <alignment horizontal="center" readingOrder="0" shrinkToFit="0" vertical="center" wrapText="1"/>
    </xf>
    <xf borderId="0" fillId="10" fontId="24" numFmtId="49" xfId="0" applyAlignment="1" applyFont="1" applyNumberFormat="1">
      <alignment horizontal="center" shrinkToFit="0" vertical="center" wrapText="0"/>
    </xf>
    <xf borderId="0" fillId="10" fontId="5" numFmtId="14" xfId="0" applyAlignment="1" applyFont="1" applyNumberFormat="1">
      <alignment horizontal="center" readingOrder="0" shrinkToFit="0" vertical="center" wrapText="1"/>
    </xf>
    <xf borderId="11" fillId="10" fontId="5" numFmtId="171" xfId="0" applyAlignment="1" applyBorder="1" applyFont="1" applyNumberFormat="1">
      <alignment horizontal="center" shrinkToFit="0" vertical="center" wrapText="0"/>
    </xf>
    <xf borderId="0" fillId="10" fontId="5" numFmtId="164" xfId="0" applyAlignment="1" applyFont="1" applyNumberFormat="1">
      <alignment horizontal="center" shrinkToFit="0" vertical="center" wrapText="1"/>
    </xf>
    <xf borderId="0" fillId="10" fontId="5" numFmtId="170" xfId="0" applyAlignment="1" applyFont="1" applyNumberFormat="1">
      <alignment horizontal="center" readingOrder="0" shrinkToFit="0" vertical="center" wrapText="0"/>
    </xf>
    <xf borderId="0" fillId="10" fontId="5" numFmtId="164" xfId="0" applyAlignment="1" applyFont="1" applyNumberFormat="1">
      <alignment horizontal="center" readingOrder="0" shrinkToFit="0" vertical="center" wrapText="0"/>
    </xf>
    <xf borderId="0" fillId="10" fontId="5" numFmtId="0" xfId="0" applyAlignment="1" applyFont="1">
      <alignment readingOrder="0" shrinkToFit="0" vertical="center" wrapText="0"/>
    </xf>
    <xf borderId="0" fillId="10" fontId="5" numFmtId="164" xfId="0" applyAlignment="1" applyFont="1" applyNumberFormat="1">
      <alignment horizontal="center" readingOrder="0" shrinkToFit="0" textRotation="0" vertical="center" wrapText="1"/>
    </xf>
    <xf borderId="0" fillId="10" fontId="5" numFmtId="0" xfId="0" applyAlignment="1" applyFont="1">
      <alignment horizontal="center" readingOrder="0" shrinkToFit="0" vertical="center" wrapText="1"/>
    </xf>
    <xf borderId="0" fillId="10" fontId="5" numFmtId="3" xfId="0" applyAlignment="1" applyFont="1" applyNumberFormat="1">
      <alignment horizontal="center" readingOrder="0" shrinkToFit="0" vertical="center" wrapText="0"/>
    </xf>
    <xf borderId="0" fillId="10" fontId="5" numFmtId="49" xfId="0" applyAlignment="1" applyFont="1" applyNumberFormat="1">
      <alignment horizontal="center" shrinkToFit="0" vertical="center" wrapText="1"/>
    </xf>
    <xf borderId="11" fillId="10" fontId="5" numFmtId="171" xfId="0" applyAlignment="1" applyBorder="1" applyFont="1" applyNumberFormat="1">
      <alignment horizontal="right" readingOrder="0" shrinkToFit="0" vertical="center" wrapText="1"/>
    </xf>
    <xf borderId="11" fillId="10" fontId="5" numFmtId="168" xfId="0" applyAlignment="1" applyBorder="1" applyFont="1" applyNumberFormat="1">
      <alignment horizontal="right" shrinkToFit="0" vertical="center" wrapText="0"/>
    </xf>
    <xf borderId="11" fillId="10" fontId="5" numFmtId="171" xfId="0" applyAlignment="1" applyBorder="1" applyFont="1" applyNumberFormat="1">
      <alignment horizontal="right" shrinkToFit="0" vertical="center" wrapText="0"/>
    </xf>
    <xf borderId="11" fillId="10" fontId="25" numFmtId="168" xfId="0" applyAlignment="1" applyBorder="1" applyFont="1" applyNumberFormat="1">
      <alignment horizontal="right" shrinkToFit="0" vertical="center" wrapText="0"/>
    </xf>
    <xf borderId="11" fillId="10" fontId="25" numFmtId="171" xfId="0" applyAlignment="1" applyBorder="1" applyFont="1" applyNumberFormat="1">
      <alignment horizontal="center" readingOrder="0" shrinkToFit="0" vertical="center" wrapText="0"/>
    </xf>
    <xf borderId="11" fillId="10" fontId="25" numFmtId="168" xfId="0" applyAlignment="1" applyBorder="1" applyFont="1" applyNumberFormat="1">
      <alignment horizontal="right" readingOrder="0" shrinkToFit="0" vertical="center" wrapText="0"/>
    </xf>
    <xf borderId="11" fillId="10" fontId="25" numFmtId="171" xfId="0" applyAlignment="1" applyBorder="1" applyFont="1" applyNumberFormat="1">
      <alignment horizontal="right" shrinkToFit="0" vertical="center" wrapText="0"/>
    </xf>
    <xf borderId="11" fillId="10" fontId="25" numFmtId="169" xfId="0" applyAlignment="1" applyBorder="1" applyFont="1" applyNumberFormat="1">
      <alignment horizontal="center" shrinkToFit="0" vertical="center" wrapText="0"/>
    </xf>
    <xf borderId="11" fillId="10" fontId="25" numFmtId="171" xfId="0" applyAlignment="1" applyBorder="1" applyFont="1" applyNumberFormat="1">
      <alignment horizontal="right" readingOrder="0" shrinkToFit="0" vertical="center" wrapText="0"/>
    </xf>
    <xf borderId="11" fillId="10" fontId="5" numFmtId="169" xfId="0" applyAlignment="1" applyBorder="1" applyFont="1" applyNumberFormat="1">
      <alignment horizontal="center" shrinkToFit="0" vertical="center" wrapText="0"/>
    </xf>
    <xf borderId="0" fillId="10" fontId="5" numFmtId="49" xfId="0" applyAlignment="1" applyFont="1" applyNumberFormat="1">
      <alignment horizontal="center" shrinkToFit="0" vertical="center" wrapText="0"/>
    </xf>
    <xf borderId="0" fillId="10" fontId="22" numFmtId="0" xfId="0" applyAlignment="1" applyFont="1">
      <alignment readingOrder="0" shrinkToFit="0" vertical="center" wrapText="1"/>
    </xf>
    <xf borderId="11" fillId="10" fontId="5" numFmtId="171" xfId="0" applyAlignment="1" applyBorder="1" applyFont="1" applyNumberFormat="1">
      <alignment horizontal="right" readingOrder="0" shrinkToFit="0" vertical="center" wrapText="0"/>
    </xf>
    <xf borderId="11" fillId="10" fontId="5" numFmtId="168" xfId="0" applyAlignment="1" applyBorder="1" applyFont="1" applyNumberFormat="1">
      <alignment horizontal="right" readingOrder="0" shrinkToFit="0" vertical="center" wrapText="0"/>
    </xf>
    <xf borderId="0" fillId="10" fontId="5" numFmtId="0" xfId="0" applyAlignment="1" applyFont="1">
      <alignment shrinkToFit="0" vertical="center" wrapText="1"/>
    </xf>
    <xf borderId="11" fillId="10" fontId="26" numFmtId="171" xfId="0" applyAlignment="1" applyBorder="1" applyFont="1" applyNumberFormat="1">
      <alignment horizontal="right" shrinkToFit="0" vertical="center" wrapText="1"/>
    </xf>
    <xf borderId="11" fillId="10" fontId="26" numFmtId="168" xfId="0" applyAlignment="1" applyBorder="1" applyFont="1" applyNumberFormat="1">
      <alignment horizontal="right" shrinkToFit="0" vertical="center" wrapText="1"/>
    </xf>
    <xf borderId="0" fillId="10" fontId="5" numFmtId="0" xfId="0" applyAlignment="1" applyFont="1">
      <alignment readingOrder="0" shrinkToFit="0" vertical="center" wrapText="1"/>
    </xf>
    <xf borderId="11" fillId="6" fontId="6" numFmtId="171" xfId="0" applyAlignment="1" applyBorder="1" applyFont="1" applyNumberFormat="1">
      <alignment horizontal="center" shrinkToFit="0" vertical="center" wrapText="1"/>
    </xf>
    <xf borderId="11" fillId="10" fontId="6" numFmtId="171" xfId="0" applyAlignment="1" applyBorder="1" applyFont="1" applyNumberFormat="1">
      <alignment horizontal="center" shrinkToFit="0" vertical="center" wrapText="0"/>
    </xf>
    <xf borderId="11" fillId="6" fontId="6" numFmtId="168" xfId="0" applyAlignment="1" applyBorder="1" applyFont="1" applyNumberFormat="1">
      <alignment horizontal="center" shrinkToFit="0" vertical="center" wrapText="1"/>
    </xf>
    <xf borderId="11" fillId="10" fontId="9" numFmtId="171" xfId="0" applyAlignment="1" applyBorder="1" applyFont="1" applyNumberFormat="1">
      <alignment readingOrder="0" shrinkToFit="0" vertical="center" wrapText="0"/>
    </xf>
    <xf borderId="0" fillId="10" fontId="5" numFmtId="0" xfId="0" applyAlignment="1" applyFont="1">
      <alignment horizontal="center" readingOrder="0" shrinkToFit="0" vertical="center" wrapText="1"/>
    </xf>
    <xf borderId="0" fillId="10" fontId="22" numFmtId="0" xfId="0" applyAlignment="1" applyFont="1">
      <alignment horizontal="center" readingOrder="0" shrinkToFit="0" vertical="center" wrapText="1"/>
    </xf>
    <xf borderId="0" fillId="10" fontId="27" numFmtId="14" xfId="0" applyAlignment="1" applyFont="1" applyNumberFormat="1">
      <alignment horizontal="center" readingOrder="0" shrinkToFit="0" vertical="center" wrapText="1"/>
    </xf>
    <xf borderId="0" fillId="9" fontId="27" numFmtId="14" xfId="0" applyAlignment="1" applyFont="1" applyNumberFormat="1">
      <alignment horizontal="center" readingOrder="0" shrinkToFit="0" vertical="center" wrapText="1"/>
    </xf>
    <xf borderId="11" fillId="10" fontId="28" numFmtId="171" xfId="0" applyAlignment="1" applyBorder="1" applyFont="1" applyNumberFormat="1">
      <alignment horizontal="right" shrinkToFit="0" vertical="center" wrapText="0"/>
    </xf>
    <xf borderId="11" fillId="10" fontId="28" numFmtId="168" xfId="0" applyAlignment="1" applyBorder="1" applyFont="1" applyNumberFormat="1">
      <alignment horizontal="right" shrinkToFit="0" vertical="center" wrapText="0"/>
    </xf>
    <xf borderId="0" fillId="10" fontId="5" numFmtId="0" xfId="0" applyAlignment="1" applyFont="1">
      <alignment shrinkToFit="0" vertical="center" wrapText="0"/>
    </xf>
    <xf borderId="0" fillId="10" fontId="5" numFmtId="0" xfId="0" applyAlignment="1" applyFont="1">
      <alignment readingOrder="0" shrinkToFit="0" vertical="center" wrapText="0"/>
    </xf>
    <xf borderId="11" fillId="6" fontId="29" numFmtId="171" xfId="0" applyAlignment="1" applyBorder="1" applyFont="1" applyNumberFormat="1">
      <alignment horizontal="center" shrinkToFit="0" vertical="center" wrapText="1"/>
    </xf>
    <xf borderId="11" fillId="6" fontId="29" numFmtId="168" xfId="0" applyAlignment="1" applyBorder="1" applyFont="1" applyNumberFormat="1">
      <alignment horizontal="center" shrinkToFit="0" vertical="center" wrapText="1"/>
    </xf>
    <xf borderId="0" fillId="6" fontId="29" numFmtId="171" xfId="0" applyAlignment="1" applyFont="1" applyNumberFormat="1">
      <alignment horizontal="center" shrinkToFit="0" vertical="center" wrapText="1"/>
    </xf>
    <xf borderId="0" fillId="10" fontId="6" numFmtId="171" xfId="0" applyAlignment="1" applyFont="1" applyNumberFormat="1">
      <alignment horizontal="center" shrinkToFit="0" vertical="center" wrapText="0"/>
    </xf>
    <xf borderId="0" fillId="6" fontId="29" numFmtId="168" xfId="0" applyAlignment="1" applyFont="1" applyNumberFormat="1">
      <alignment horizontal="center" shrinkToFit="0" vertical="center" wrapText="1"/>
    </xf>
    <xf borderId="27" fillId="5" fontId="30" numFmtId="49" xfId="0" applyAlignment="1" applyBorder="1" applyFont="1" applyNumberFormat="1">
      <alignment horizontal="center" readingOrder="0" shrinkToFit="0" vertical="center" wrapText="1"/>
    </xf>
    <xf borderId="27" fillId="5" fontId="30" numFmtId="49" xfId="0" applyAlignment="1" applyBorder="1" applyFont="1" applyNumberFormat="1">
      <alignment horizontal="center" readingOrder="0" shrinkToFit="0" wrapText="1"/>
    </xf>
    <xf borderId="27" fillId="5" fontId="30" numFmtId="49" xfId="0" applyAlignment="1" applyBorder="1" applyFont="1" applyNumberFormat="1">
      <alignment horizontal="center" readingOrder="0" shrinkToFit="0" wrapText="1"/>
    </xf>
    <xf borderId="28" fillId="5" fontId="31" numFmtId="0" xfId="0" applyAlignment="1" applyBorder="1" applyFont="1">
      <alignment horizontal="center" vertical="center"/>
    </xf>
    <xf borderId="29" fillId="5" fontId="31" numFmtId="0" xfId="0" applyBorder="1" applyFont="1"/>
    <xf borderId="29" fillId="5" fontId="31" numFmtId="2" xfId="0" applyBorder="1" applyFont="1" applyNumberFormat="1"/>
    <xf borderId="29" fillId="5" fontId="30" numFmtId="169" xfId="0" applyAlignment="1" applyBorder="1" applyFont="1" applyNumberFormat="1">
      <alignment horizontal="center" shrinkToFit="0" wrapText="1"/>
    </xf>
    <xf borderId="29" fillId="5" fontId="31" numFmtId="169" xfId="0" applyBorder="1" applyFont="1" applyNumberFormat="1"/>
    <xf borderId="29" fillId="5" fontId="30" numFmtId="171" xfId="0" applyBorder="1" applyFont="1" applyNumberFormat="1"/>
    <xf borderId="29" fillId="5" fontId="30" numFmtId="164" xfId="0" applyAlignment="1" applyBorder="1" applyFont="1" applyNumberFormat="1">
      <alignment horizontal="right" shrinkToFit="0" wrapText="1"/>
    </xf>
    <xf borderId="30" fillId="5" fontId="30" numFmtId="49" xfId="0" applyAlignment="1" applyBorder="1" applyFont="1" applyNumberFormat="1">
      <alignment horizontal="center" shrinkToFit="0" wrapText="1"/>
    </xf>
    <xf borderId="31" fillId="5" fontId="30" numFmtId="172" xfId="0" applyAlignment="1" applyBorder="1" applyFont="1" applyNumberFormat="1">
      <alignment horizontal="center" shrinkToFit="0" vertical="center" wrapText="1"/>
    </xf>
    <xf borderId="32" fillId="5" fontId="31" numFmtId="0" xfId="0" applyBorder="1" applyFont="1"/>
    <xf borderId="33" fillId="5" fontId="31" numFmtId="0" xfId="0" applyBorder="1" applyFont="1"/>
    <xf borderId="33" fillId="5" fontId="31" numFmtId="2" xfId="0" applyBorder="1" applyFont="1" applyNumberFormat="1"/>
    <xf borderId="33" fillId="5" fontId="30" numFmtId="169" xfId="0" applyAlignment="1" applyBorder="1" applyFont="1" applyNumberFormat="1">
      <alignment horizontal="center" shrinkToFit="0" wrapText="1"/>
    </xf>
    <xf borderId="33" fillId="5" fontId="31" numFmtId="169" xfId="0" applyBorder="1" applyFont="1" applyNumberFormat="1"/>
    <xf borderId="33" fillId="5" fontId="30" numFmtId="171" xfId="0" applyAlignment="1" applyBorder="1" applyFont="1" applyNumberFormat="1">
      <alignment shrinkToFit="0" wrapText="1"/>
    </xf>
    <xf borderId="33" fillId="5" fontId="30" numFmtId="164" xfId="0" applyAlignment="1" applyBorder="1" applyFont="1" applyNumberFormat="1">
      <alignment horizontal="right" shrinkToFit="0" wrapText="1"/>
    </xf>
    <xf borderId="34" fillId="5" fontId="31" numFmtId="49" xfId="0" applyBorder="1" applyFont="1" applyNumberFormat="1"/>
    <xf borderId="35" fillId="5" fontId="31" numFmtId="0" xfId="0" applyBorder="1" applyFont="1"/>
    <xf borderId="11" fillId="5" fontId="31" numFmtId="0" xfId="0" applyBorder="1" applyFont="1"/>
    <xf borderId="11" fillId="5" fontId="31" numFmtId="2" xfId="0" applyBorder="1" applyFont="1" applyNumberFormat="1"/>
    <xf borderId="11" fillId="5" fontId="30" numFmtId="169" xfId="0" applyAlignment="1" applyBorder="1" applyFont="1" applyNumberFormat="1">
      <alignment horizontal="center" shrinkToFit="0" wrapText="1"/>
    </xf>
    <xf borderId="11" fillId="5" fontId="31" numFmtId="169" xfId="0" applyBorder="1" applyFont="1" applyNumberFormat="1"/>
    <xf borderId="11" fillId="5" fontId="30" numFmtId="171" xfId="0" applyAlignment="1" applyBorder="1" applyFont="1" applyNumberFormat="1">
      <alignment shrinkToFit="0" wrapText="1"/>
    </xf>
    <xf borderId="11" fillId="5" fontId="30" numFmtId="164" xfId="0" applyAlignment="1" applyBorder="1" applyFont="1" applyNumberFormat="1">
      <alignment horizontal="right" shrinkToFit="0" wrapText="1"/>
    </xf>
    <xf borderId="36" fillId="5" fontId="31" numFmtId="49" xfId="0" applyBorder="1" applyFont="1" applyNumberFormat="1"/>
    <xf borderId="37" fillId="5" fontId="31" numFmtId="0" xfId="0" applyBorder="1" applyFont="1"/>
    <xf borderId="38" fillId="5" fontId="31" numFmtId="0" xfId="0" applyBorder="1" applyFont="1"/>
    <xf borderId="38" fillId="5" fontId="31" numFmtId="2" xfId="0" applyBorder="1" applyFont="1" applyNumberFormat="1"/>
    <xf borderId="38" fillId="5" fontId="30" numFmtId="169" xfId="0" applyAlignment="1" applyBorder="1" applyFont="1" applyNumberFormat="1">
      <alignment horizontal="center" shrinkToFit="0" wrapText="1"/>
    </xf>
    <xf borderId="38" fillId="5" fontId="31" numFmtId="169" xfId="0" applyBorder="1" applyFont="1" applyNumberFormat="1"/>
    <xf borderId="38" fillId="5" fontId="30" numFmtId="171" xfId="0" applyAlignment="1" applyBorder="1" applyFont="1" applyNumberFormat="1">
      <alignment shrinkToFit="0" wrapText="1"/>
    </xf>
    <xf borderId="38" fillId="5" fontId="30" numFmtId="164" xfId="0" applyAlignment="1" applyBorder="1" applyFont="1" applyNumberFormat="1">
      <alignment horizontal="right" shrinkToFit="0" wrapText="1"/>
    </xf>
    <xf borderId="39" fillId="5" fontId="31" numFmtId="49" xfId="0" applyBorder="1" applyFont="1" applyNumberFormat="1"/>
    <xf borderId="28" fillId="5" fontId="30" numFmtId="172" xfId="0" applyAlignment="1" applyBorder="1" applyFont="1" applyNumberFormat="1">
      <alignment horizontal="center" shrinkToFit="0" vertical="center" wrapText="1"/>
    </xf>
    <xf borderId="40" fillId="5" fontId="31" numFmtId="0" xfId="0" applyBorder="1" applyFont="1"/>
    <xf borderId="40" fillId="5" fontId="31" numFmtId="2" xfId="0" applyBorder="1" applyFont="1" applyNumberFormat="1"/>
    <xf borderId="40" fillId="5" fontId="30" numFmtId="169" xfId="0" applyAlignment="1" applyBorder="1" applyFont="1" applyNumberFormat="1">
      <alignment horizontal="center" shrinkToFit="0" wrapText="1"/>
    </xf>
    <xf borderId="40" fillId="5" fontId="31" numFmtId="169" xfId="0" applyBorder="1" applyFont="1" applyNumberFormat="1"/>
    <xf borderId="40" fillId="5" fontId="30" numFmtId="171" xfId="0" applyAlignment="1" applyBorder="1" applyFont="1" applyNumberFormat="1">
      <alignment shrinkToFit="0" wrapText="1"/>
    </xf>
    <xf borderId="40" fillId="5" fontId="30" numFmtId="164" xfId="0" applyAlignment="1" applyBorder="1" applyFont="1" applyNumberFormat="1">
      <alignment horizontal="right" shrinkToFit="0" wrapText="1"/>
    </xf>
    <xf borderId="41" fillId="5" fontId="31" numFmtId="49" xfId="0" applyBorder="1" applyFont="1" applyNumberFormat="1"/>
    <xf borderId="42" fillId="5" fontId="31" numFmtId="0" xfId="0" applyBorder="1" applyFont="1"/>
    <xf borderId="43" fillId="5" fontId="31" numFmtId="0" xfId="0" applyBorder="1" applyFont="1"/>
    <xf borderId="43" fillId="5" fontId="31" numFmtId="2" xfId="0" applyBorder="1" applyFont="1" applyNumberFormat="1"/>
    <xf borderId="43" fillId="5" fontId="30" numFmtId="169" xfId="0" applyAlignment="1" applyBorder="1" applyFont="1" applyNumberFormat="1">
      <alignment horizontal="center" shrinkToFit="0" wrapText="1"/>
    </xf>
    <xf borderId="43" fillId="5" fontId="31" numFmtId="169" xfId="0" applyBorder="1" applyFont="1" applyNumberFormat="1"/>
    <xf borderId="43" fillId="5" fontId="30" numFmtId="171" xfId="0" applyAlignment="1" applyBorder="1" applyFont="1" applyNumberFormat="1">
      <alignment shrinkToFit="0" wrapText="1"/>
    </xf>
    <xf borderId="43" fillId="5" fontId="30" numFmtId="164" xfId="0" applyAlignment="1" applyBorder="1" applyFont="1" applyNumberFormat="1">
      <alignment horizontal="right" shrinkToFit="0" wrapText="1"/>
    </xf>
    <xf borderId="44" fillId="5" fontId="31" numFmtId="49" xfId="0" applyBorder="1" applyFont="1" applyNumberFormat="1"/>
    <xf borderId="45" fillId="5" fontId="31" numFmtId="0" xfId="0" applyBorder="1" applyFont="1"/>
    <xf borderId="0" fillId="5" fontId="31" numFmtId="0" xfId="0" applyFont="1"/>
    <xf borderId="0" fillId="5" fontId="31" numFmtId="2" xfId="0" applyFont="1" applyNumberFormat="1"/>
    <xf borderId="0" fillId="5" fontId="30" numFmtId="169" xfId="0" applyAlignment="1" applyFont="1" applyNumberFormat="1">
      <alignment horizontal="center" shrinkToFit="0" wrapText="1"/>
    </xf>
    <xf borderId="0" fillId="5" fontId="31" numFmtId="169" xfId="0" applyFont="1" applyNumberFormat="1"/>
    <xf borderId="0" fillId="5" fontId="30" numFmtId="171" xfId="0" applyAlignment="1" applyFont="1" applyNumberFormat="1">
      <alignment shrinkToFit="0" wrapText="1"/>
    </xf>
    <xf borderId="0" fillId="5" fontId="30" numFmtId="164" xfId="0" applyAlignment="1" applyFont="1" applyNumberFormat="1">
      <alignment horizontal="right" shrinkToFit="0" wrapText="1"/>
    </xf>
    <xf borderId="46" fillId="5" fontId="31" numFmtId="49" xfId="0" applyBorder="1" applyFont="1" applyNumberFormat="1"/>
    <xf borderId="47" fillId="5" fontId="31" numFmtId="0" xfId="0" applyBorder="1" applyFont="1"/>
    <xf borderId="48" fillId="5" fontId="31" numFmtId="0" xfId="0" applyBorder="1" applyFont="1"/>
    <xf borderId="48" fillId="5" fontId="31" numFmtId="2" xfId="0" applyBorder="1" applyFont="1" applyNumberFormat="1"/>
    <xf borderId="48" fillId="5" fontId="30" numFmtId="169" xfId="0" applyAlignment="1" applyBorder="1" applyFont="1" applyNumberFormat="1">
      <alignment horizontal="center" shrinkToFit="0" wrapText="1"/>
    </xf>
    <xf borderId="48" fillId="5" fontId="31" numFmtId="169" xfId="0" applyBorder="1" applyFont="1" applyNumberFormat="1"/>
    <xf borderId="48" fillId="5" fontId="30" numFmtId="171" xfId="0" applyAlignment="1" applyBorder="1" applyFont="1" applyNumberFormat="1">
      <alignment shrinkToFit="0" wrapText="1"/>
    </xf>
    <xf borderId="48" fillId="5" fontId="30" numFmtId="164" xfId="0" applyAlignment="1" applyBorder="1" applyFont="1" applyNumberFormat="1">
      <alignment horizontal="right" shrinkToFit="0" wrapText="1"/>
    </xf>
    <xf borderId="49" fillId="5" fontId="31" numFmtId="49" xfId="0" applyBorder="1" applyFont="1" applyNumberFormat="1"/>
    <xf borderId="31" fillId="5" fontId="30" numFmtId="49" xfId="0" applyAlignment="1" applyBorder="1" applyFont="1" applyNumberFormat="1">
      <alignment horizontal="center" shrinkToFit="0" vertical="center" wrapText="1"/>
    </xf>
    <xf borderId="50" fillId="5" fontId="31" numFmtId="0" xfId="0" applyBorder="1" applyFont="1"/>
    <xf borderId="51" fillId="5" fontId="30" numFmtId="164" xfId="0" applyAlignment="1" applyBorder="1" applyFont="1" applyNumberFormat="1">
      <alignment horizontal="right" shrinkToFit="0" wrapText="1"/>
    </xf>
    <xf borderId="52" fillId="5" fontId="31" numFmtId="49" xfId="0" applyBorder="1" applyFont="1" applyNumberFormat="1"/>
    <xf borderId="31" fillId="5" fontId="30" numFmtId="0" xfId="0" applyAlignment="1" applyBorder="1" applyFont="1">
      <alignment horizontal="center" shrinkToFit="0" vertical="center" wrapText="1"/>
    </xf>
    <xf borderId="51" fillId="5" fontId="31" numFmtId="49" xfId="0" applyBorder="1" applyFont="1" applyNumberFormat="1"/>
    <xf borderId="32" fillId="5" fontId="30" numFmtId="0" xfId="0" applyAlignment="1" applyBorder="1" applyFont="1">
      <alignment horizontal="center" shrinkToFit="0" wrapText="1"/>
    </xf>
    <xf borderId="33" fillId="5" fontId="30" numFmtId="0" xfId="0" applyAlignment="1" applyBorder="1" applyFont="1">
      <alignment horizontal="center" shrinkToFit="0" wrapText="1"/>
    </xf>
    <xf borderId="33" fillId="5" fontId="30" numFmtId="2" xfId="0" applyAlignment="1" applyBorder="1" applyFont="1" applyNumberFormat="1">
      <alignment horizontal="center" shrinkToFit="0" wrapText="1"/>
    </xf>
    <xf borderId="35" fillId="5" fontId="30" numFmtId="0" xfId="0" applyAlignment="1" applyBorder="1" applyFont="1">
      <alignment horizontal="center" shrinkToFit="0" wrapText="1"/>
    </xf>
    <xf borderId="11" fillId="5" fontId="30" numFmtId="0" xfId="0" applyAlignment="1" applyBorder="1" applyFont="1">
      <alignment horizontal="center" shrinkToFit="0" wrapText="1"/>
    </xf>
    <xf borderId="11" fillId="5" fontId="30" numFmtId="2" xfId="0" applyAlignment="1" applyBorder="1" applyFont="1" applyNumberFormat="1">
      <alignment horizontal="center" shrinkToFit="0" wrapText="1"/>
    </xf>
    <xf borderId="36" fillId="5" fontId="31" numFmtId="49" xfId="0" applyAlignment="1" applyBorder="1" applyFont="1" applyNumberFormat="1">
      <alignment readingOrder="0"/>
    </xf>
    <xf borderId="31" fillId="5" fontId="30" numFmtId="49" xfId="0" applyAlignment="1" applyBorder="1" applyFont="1" applyNumberFormat="1">
      <alignment horizontal="center" readingOrder="0" shrinkToFit="0" vertical="center" wrapText="1"/>
    </xf>
    <xf borderId="37" fillId="5" fontId="30" numFmtId="0" xfId="0" applyAlignment="1" applyBorder="1" applyFont="1">
      <alignment horizontal="center" shrinkToFit="0" wrapText="1"/>
    </xf>
    <xf borderId="38" fillId="5" fontId="30" numFmtId="0" xfId="0" applyAlignment="1" applyBorder="1" applyFont="1">
      <alignment horizontal="center" shrinkToFit="0" wrapText="1"/>
    </xf>
    <xf borderId="38" fillId="5" fontId="30" numFmtId="2" xfId="0" applyAlignment="1" applyBorder="1" applyFont="1" applyNumberFormat="1">
      <alignment horizontal="center" shrinkToFit="0" wrapText="1"/>
    </xf>
    <xf borderId="28" fillId="5" fontId="30" numFmtId="0" xfId="0" applyAlignment="1" applyBorder="1" applyFont="1">
      <alignment horizontal="center" shrinkToFit="0" vertical="center" wrapText="1"/>
    </xf>
    <xf borderId="11" fillId="5" fontId="30" numFmtId="171" xfId="0" applyBorder="1" applyFont="1" applyNumberFormat="1"/>
    <xf borderId="36" fillId="5" fontId="30" numFmtId="49" xfId="0" applyAlignment="1" applyBorder="1" applyFont="1" applyNumberFormat="1">
      <alignment horizontal="center" shrinkToFit="0" wrapText="1"/>
    </xf>
    <xf borderId="40" fillId="5" fontId="30" numFmtId="0" xfId="0" applyAlignment="1" applyBorder="1" applyFont="1">
      <alignment horizontal="center" shrinkToFit="0" wrapText="1"/>
    </xf>
    <xf borderId="40" fillId="5" fontId="30" numFmtId="2" xfId="0" applyAlignment="1" applyBorder="1" applyFont="1" applyNumberFormat="1">
      <alignment horizontal="center" shrinkToFit="0" wrapText="1"/>
    </xf>
    <xf borderId="40" fillId="5" fontId="30" numFmtId="169" xfId="0" applyAlignment="1" applyBorder="1" applyFont="1" applyNumberFormat="1">
      <alignment horizontal="center" shrinkToFit="0" wrapText="0"/>
    </xf>
    <xf borderId="40" fillId="5" fontId="30" numFmtId="171" xfId="0" applyBorder="1" applyFont="1" applyNumberFormat="1"/>
    <xf borderId="41" fillId="5" fontId="30" numFmtId="49" xfId="0" applyAlignment="1" applyBorder="1" applyFont="1" applyNumberFormat="1">
      <alignment horizontal="center" shrinkToFit="0" wrapText="0"/>
    </xf>
    <xf borderId="42" fillId="5" fontId="30" numFmtId="0" xfId="0" applyAlignment="1" applyBorder="1" applyFont="1">
      <alignment horizontal="center" shrinkToFit="0" wrapText="1"/>
    </xf>
    <xf borderId="43" fillId="5" fontId="30" numFmtId="0" xfId="0" applyAlignment="1" applyBorder="1" applyFont="1">
      <alignment horizontal="center" shrinkToFit="0" wrapText="1"/>
    </xf>
    <xf borderId="43" fillId="5" fontId="30" numFmtId="2" xfId="0" applyAlignment="1" applyBorder="1" applyFont="1" applyNumberFormat="1">
      <alignment horizontal="center" shrinkToFit="0" wrapText="1"/>
    </xf>
    <xf borderId="43" fillId="5" fontId="30" numFmtId="171" xfId="0" applyAlignment="1" applyBorder="1" applyFont="1" applyNumberFormat="1">
      <alignment readingOrder="0" shrinkToFit="0" wrapText="1"/>
    </xf>
    <xf borderId="45" fillId="5" fontId="30" numFmtId="0" xfId="0" applyAlignment="1" applyBorder="1" applyFont="1">
      <alignment horizontal="center" shrinkToFit="0" wrapText="1"/>
    </xf>
    <xf borderId="0" fillId="5" fontId="30" numFmtId="0" xfId="0" applyAlignment="1" applyFont="1">
      <alignment horizontal="center" shrinkToFit="0" wrapText="1"/>
    </xf>
    <xf borderId="0" fillId="5" fontId="30" numFmtId="2" xfId="0" applyAlignment="1" applyFont="1" applyNumberFormat="1">
      <alignment horizontal="center" shrinkToFit="0" wrapText="1"/>
    </xf>
    <xf borderId="0" fillId="5" fontId="30" numFmtId="171" xfId="0" applyAlignment="1" applyFont="1" applyNumberFormat="1">
      <alignment readingOrder="0"/>
    </xf>
    <xf borderId="0" fillId="5" fontId="30" numFmtId="171" xfId="0" applyFont="1" applyNumberFormat="1"/>
    <xf borderId="0" fillId="5" fontId="30" numFmtId="2" xfId="0" applyAlignment="1" applyFont="1" applyNumberFormat="1">
      <alignment horizontal="center" readingOrder="0" shrinkToFit="0" wrapText="1"/>
    </xf>
    <xf borderId="11" fillId="5" fontId="30" numFmtId="2" xfId="0" applyAlignment="1" applyBorder="1" applyFont="1" applyNumberFormat="1">
      <alignment horizontal="center" readingOrder="0" shrinkToFit="0" wrapText="1"/>
    </xf>
    <xf borderId="0" fillId="5" fontId="30" numFmtId="169" xfId="0" applyAlignment="1" applyFont="1" applyNumberFormat="1">
      <alignment horizontal="center" readingOrder="0" shrinkToFit="0" wrapText="1"/>
    </xf>
    <xf borderId="0" fillId="5" fontId="30" numFmtId="49" xfId="0" applyAlignment="1" applyFont="1" applyNumberFormat="1">
      <alignment horizontal="center" readingOrder="0" shrinkToFit="0" vertical="center" wrapText="1"/>
    </xf>
    <xf borderId="47" fillId="5" fontId="30" numFmtId="0" xfId="0" applyAlignment="1" applyBorder="1" applyFont="1">
      <alignment horizontal="center" shrinkToFit="0" wrapText="1"/>
    </xf>
    <xf borderId="48" fillId="5" fontId="30" numFmtId="0" xfId="0" applyAlignment="1" applyBorder="1" applyFont="1">
      <alignment horizontal="center" shrinkToFit="0" wrapText="1"/>
    </xf>
    <xf borderId="48" fillId="5" fontId="30" numFmtId="2" xfId="0" applyAlignment="1" applyBorder="1" applyFont="1" applyNumberFormat="1">
      <alignment horizontal="center" shrinkToFit="0" wrapText="1"/>
    </xf>
    <xf borderId="48" fillId="5" fontId="30" numFmtId="171" xfId="0" applyAlignment="1" applyBorder="1" applyFont="1" applyNumberFormat="1">
      <alignment readingOrder="0"/>
    </xf>
    <xf borderId="0" fillId="0" fontId="9" numFmtId="164" xfId="0" applyAlignment="1" applyFont="1" applyNumberFormat="1">
      <alignment horizontal="center" readingOrder="0" shrinkToFit="0" vertical="center" wrapText="1"/>
    </xf>
    <xf borderId="0" fillId="0" fontId="9" numFmtId="0" xfId="0" applyAlignment="1" applyFont="1">
      <alignment horizontal="center" readingOrder="0" shrinkToFit="0" vertical="center" wrapText="1"/>
    </xf>
    <xf borderId="0" fillId="0" fontId="9" numFmtId="165" xfId="0" applyAlignment="1" applyFont="1" applyNumberFormat="1">
      <alignment horizontal="center" readingOrder="0" shrinkToFit="0" vertical="center" wrapText="1"/>
    </xf>
    <xf borderId="0" fillId="0" fontId="9" numFmtId="166" xfId="0" applyAlignment="1" applyFont="1" applyNumberFormat="1">
      <alignment horizontal="center" readingOrder="0" shrinkToFit="0" vertical="center" wrapText="1"/>
    </xf>
    <xf borderId="0" fillId="0" fontId="9" numFmtId="4" xfId="0" applyAlignment="1" applyFont="1" applyNumberFormat="1">
      <alignment horizontal="center" readingOrder="0" shrinkToFit="0" vertical="center" wrapText="1"/>
    </xf>
    <xf borderId="53" fillId="6" fontId="6" numFmtId="171" xfId="0" applyAlignment="1" applyBorder="1" applyFont="1" applyNumberFormat="1">
      <alignment horizontal="center" readingOrder="0" shrinkToFit="0" vertical="center" wrapText="1"/>
    </xf>
    <xf borderId="0" fillId="0" fontId="9" numFmtId="171" xfId="0" applyAlignment="1" applyFont="1" applyNumberFormat="1">
      <alignment horizontal="center" readingOrder="0" shrinkToFit="0" vertical="center" wrapText="1"/>
    </xf>
    <xf borderId="0" fillId="0" fontId="9" numFmtId="0" xfId="0" applyAlignment="1" applyFont="1">
      <alignment horizontal="center" readingOrder="0" shrinkToFit="0" vertical="center" wrapText="1"/>
    </xf>
    <xf borderId="54" fillId="6" fontId="6" numFmtId="164" xfId="0" applyAlignment="1" applyBorder="1" applyFont="1" applyNumberFormat="1">
      <alignment horizontal="center" shrinkToFit="0" vertical="bottom" wrapText="1"/>
    </xf>
    <xf borderId="11" fillId="6" fontId="6" numFmtId="49" xfId="0" applyAlignment="1" applyBorder="1" applyFont="1" applyNumberFormat="1">
      <alignment horizontal="center" shrinkToFit="0" vertical="bottom" wrapText="1"/>
    </xf>
    <xf borderId="11" fillId="6" fontId="6" numFmtId="0" xfId="0" applyAlignment="1" applyBorder="1" applyFont="1">
      <alignment horizontal="center" shrinkToFit="0" vertical="bottom" wrapText="1"/>
    </xf>
    <xf borderId="11" fillId="6" fontId="6" numFmtId="165" xfId="0" applyAlignment="1" applyBorder="1" applyFont="1" applyNumberFormat="1">
      <alignment horizontal="center" shrinkToFit="0" vertical="bottom" wrapText="1"/>
    </xf>
    <xf borderId="11" fillId="6" fontId="6" numFmtId="169" xfId="0" applyAlignment="1" applyBorder="1" applyFont="1" applyNumberFormat="1">
      <alignment horizontal="center" shrinkToFit="0" vertical="bottom" wrapText="1"/>
    </xf>
    <xf borderId="11" fillId="6" fontId="6" numFmtId="4" xfId="0" applyAlignment="1" applyBorder="1" applyFont="1" applyNumberFormat="1">
      <alignment horizontal="center" shrinkToFit="0" vertical="bottom" wrapText="1"/>
    </xf>
    <xf borderId="11" fillId="6" fontId="6" numFmtId="171" xfId="0" applyAlignment="1" applyBorder="1" applyFont="1" applyNumberFormat="1">
      <alignment horizontal="center" shrinkToFit="0" vertical="bottom" wrapText="1"/>
    </xf>
    <xf borderId="11" fillId="6" fontId="9" numFmtId="171" xfId="0" applyAlignment="1" applyBorder="1" applyFont="1" applyNumberFormat="1">
      <alignment horizontal="center" shrinkToFit="0" vertical="bottom" wrapText="1"/>
    </xf>
    <xf borderId="55" fillId="6" fontId="9" numFmtId="0" xfId="0" applyAlignment="1" applyBorder="1" applyFont="1">
      <alignment horizontal="center" shrinkToFit="0" vertical="bottom" wrapText="1"/>
    </xf>
    <xf borderId="55" fillId="6" fontId="6" numFmtId="0" xfId="0" applyAlignment="1" applyBorder="1" applyFont="1">
      <alignment horizontal="center" shrinkToFit="0" vertical="bottom" wrapText="1"/>
    </xf>
    <xf borderId="11" fillId="6" fontId="6" numFmtId="0" xfId="0" applyAlignment="1" applyBorder="1" applyFont="1">
      <alignment horizontal="center" shrinkToFit="0" vertical="bottom" wrapText="1"/>
    </xf>
    <xf borderId="55" fillId="6" fontId="9" numFmtId="0" xfId="0" applyAlignment="1" applyBorder="1" applyFont="1">
      <alignment horizontal="center" shrinkToFit="0" vertical="bottom" wrapText="1"/>
    </xf>
    <xf borderId="11" fillId="6" fontId="9" numFmtId="165" xfId="0" applyAlignment="1" applyBorder="1" applyFont="1" applyNumberFormat="1">
      <alignment horizontal="center" shrinkToFit="0" vertical="bottom" wrapText="1"/>
    </xf>
    <xf borderId="11" fillId="6" fontId="6" numFmtId="170" xfId="0" applyAlignment="1" applyBorder="1" applyFont="1" applyNumberFormat="1">
      <alignment horizontal="center" shrinkToFit="0" vertical="bottom" wrapText="1"/>
    </xf>
    <xf borderId="11" fillId="6" fontId="6" numFmtId="20" xfId="0" applyAlignment="1" applyBorder="1" applyFont="1" applyNumberFormat="1">
      <alignment horizontal="center" shrinkToFit="0" vertical="bottom" wrapText="1"/>
    </xf>
    <xf borderId="55" fillId="6" fontId="9" numFmtId="3" xfId="0" applyAlignment="1" applyBorder="1" applyFont="1" applyNumberFormat="1">
      <alignment horizontal="center" shrinkToFit="0" vertical="bottom" wrapText="1"/>
    </xf>
    <xf borderId="55" fillId="6" fontId="6" numFmtId="3" xfId="0" applyAlignment="1" applyBorder="1" applyFont="1" applyNumberFormat="1">
      <alignment horizontal="center" shrinkToFit="0" vertical="bottom" wrapText="1"/>
    </xf>
    <xf borderId="11" fillId="6" fontId="6" numFmtId="173" xfId="0" applyAlignment="1" applyBorder="1" applyFont="1" applyNumberFormat="1">
      <alignment horizontal="center" shrinkToFit="0" vertical="bottom" wrapText="1"/>
    </xf>
    <xf borderId="11" fillId="6" fontId="6" numFmtId="49" xfId="0" applyAlignment="1" applyBorder="1" applyFont="1" applyNumberFormat="1">
      <alignment horizontal="center" shrinkToFit="0" vertical="bottom" wrapText="1"/>
    </xf>
    <xf borderId="55" fillId="6" fontId="6" numFmtId="0" xfId="0" applyAlignment="1" applyBorder="1" applyFont="1">
      <alignment horizontal="center" shrinkToFit="0" vertical="bottom" wrapText="1"/>
    </xf>
    <xf borderId="54" fillId="6" fontId="6" numFmtId="164" xfId="0" applyAlignment="1" applyBorder="1" applyFont="1" applyNumberFormat="1">
      <alignment horizontal="center" readingOrder="0" shrinkToFit="0" vertical="bottom" wrapText="1"/>
    </xf>
    <xf borderId="11" fillId="6" fontId="9" numFmtId="165" xfId="0" applyAlignment="1" applyBorder="1" applyFont="1" applyNumberFormat="1">
      <alignment horizontal="center" readingOrder="0" shrinkToFit="0" vertical="bottom" wrapText="1"/>
    </xf>
    <xf borderId="11" fillId="6" fontId="6" numFmtId="165" xfId="0" applyAlignment="1" applyBorder="1" applyFont="1" applyNumberFormat="1">
      <alignment horizontal="center" readingOrder="0" shrinkToFit="0" vertical="bottom" wrapText="1"/>
    </xf>
    <xf borderId="11" fillId="6" fontId="6" numFmtId="169" xfId="0" applyAlignment="1" applyBorder="1" applyFont="1" applyNumberFormat="1">
      <alignment horizontal="center" readingOrder="0" shrinkToFit="0" vertical="bottom" wrapText="1"/>
    </xf>
    <xf borderId="56" fillId="6" fontId="6" numFmtId="165" xfId="0" applyAlignment="1" applyBorder="1" applyFont="1" applyNumberFormat="1">
      <alignment horizontal="center" readingOrder="0" shrinkToFit="0" vertical="bottom" wrapText="1"/>
    </xf>
    <xf borderId="57" fillId="6" fontId="6" numFmtId="165" xfId="0" applyAlignment="1" applyBorder="1" applyFont="1" applyNumberFormat="1">
      <alignment horizontal="center" shrinkToFit="0" vertical="bottom" wrapText="1"/>
    </xf>
    <xf borderId="58" fillId="6" fontId="6" numFmtId="165" xfId="0" applyAlignment="1" applyBorder="1" applyFont="1" applyNumberFormat="1">
      <alignment horizontal="center" shrinkToFit="0" vertical="bottom" wrapText="1"/>
    </xf>
    <xf borderId="56" fillId="6" fontId="6" numFmtId="165" xfId="0" applyAlignment="1" applyBorder="1" applyFont="1" applyNumberFormat="1">
      <alignment horizontal="center" shrinkToFit="0" vertical="bottom" wrapText="1"/>
    </xf>
    <xf borderId="11" fillId="6" fontId="6" numFmtId="0" xfId="0" applyAlignment="1" applyBorder="1" applyFont="1">
      <alignment horizontal="center" readingOrder="0" shrinkToFit="0" vertical="bottom" wrapText="1"/>
    </xf>
    <xf borderId="11" fillId="6" fontId="9" numFmtId="169" xfId="0" applyAlignment="1" applyBorder="1" applyFont="1" applyNumberFormat="1">
      <alignment horizontal="center" readingOrder="0" shrinkToFit="0" vertical="bottom" wrapText="1"/>
    </xf>
    <xf borderId="11" fillId="6" fontId="9" numFmtId="171" xfId="0" applyAlignment="1" applyBorder="1" applyFont="1" applyNumberFormat="1">
      <alignment horizontal="center" readingOrder="0" shrinkToFit="0" vertical="bottom" wrapText="1"/>
    </xf>
    <xf borderId="11" fillId="6" fontId="6" numFmtId="4" xfId="0" applyAlignment="1" applyBorder="1" applyFont="1" applyNumberFormat="1">
      <alignment horizontal="center" readingOrder="0" shrinkToFit="0" vertical="bottom" wrapText="1"/>
    </xf>
    <xf borderId="18" fillId="13" fontId="32" numFmtId="164" xfId="0" applyAlignment="1" applyBorder="1" applyFill="1" applyFont="1" applyNumberFormat="1">
      <alignment horizontal="center" readingOrder="0" vertical="center"/>
    </xf>
    <xf borderId="19" fillId="0" fontId="16" numFmtId="0" xfId="0" applyBorder="1" applyFont="1"/>
    <xf borderId="20" fillId="0" fontId="16" numFmtId="0" xfId="0" applyBorder="1" applyFont="1"/>
    <xf borderId="21" fillId="6" fontId="33" numFmtId="0" xfId="0" applyAlignment="1" applyBorder="1" applyFont="1">
      <alignment horizontal="center" readingOrder="0" vertical="center"/>
    </xf>
    <xf borderId="0" fillId="6" fontId="34" numFmtId="0" xfId="0" applyAlignment="1" applyFont="1">
      <alignment horizontal="center" vertical="center"/>
    </xf>
    <xf borderId="0" fillId="6" fontId="33" numFmtId="0" xfId="0" applyAlignment="1" applyFont="1">
      <alignment horizontal="center" vertical="center"/>
    </xf>
    <xf borderId="22" fillId="6" fontId="33" numFmtId="0" xfId="0" applyAlignment="1" applyBorder="1" applyFont="1">
      <alignment horizontal="center" vertical="center"/>
    </xf>
    <xf borderId="0" fillId="6" fontId="29" numFmtId="0" xfId="0" applyAlignment="1" applyFont="1">
      <alignment horizontal="center" readingOrder="0" shrinkToFit="0" vertical="center" wrapText="1"/>
    </xf>
    <xf borderId="0" fillId="6" fontId="33" numFmtId="171" xfId="0" applyAlignment="1" applyFont="1" applyNumberFormat="1">
      <alignment horizontal="center" vertical="center"/>
    </xf>
    <xf borderId="21" fillId="6" fontId="34" numFmtId="164" xfId="0" applyAlignment="1" applyBorder="1" applyFont="1" applyNumberFormat="1">
      <alignment horizontal="center" vertical="center"/>
    </xf>
    <xf borderId="21" fillId="6" fontId="33" numFmtId="164" xfId="0" applyAlignment="1" applyBorder="1" applyFont="1" applyNumberFormat="1">
      <alignment horizontal="center" vertical="center"/>
    </xf>
    <xf borderId="0" fillId="6" fontId="33" numFmtId="169" xfId="0" applyAlignment="1" applyFont="1" applyNumberFormat="1">
      <alignment horizontal="center" vertical="center"/>
    </xf>
    <xf borderId="0" fillId="6" fontId="35" numFmtId="171" xfId="0" applyAlignment="1" applyFont="1" applyNumberFormat="1">
      <alignment horizontal="center" readingOrder="0" shrinkToFit="0" vertical="center" wrapText="1"/>
    </xf>
    <xf borderId="0" fillId="6" fontId="36" numFmtId="171" xfId="0" applyAlignment="1" applyFont="1" applyNumberFormat="1">
      <alignment horizontal="center" shrinkToFit="0" vertical="center" wrapText="1"/>
    </xf>
    <xf borderId="0" fillId="6" fontId="37" numFmtId="169" xfId="0" applyAlignment="1" applyFont="1" applyNumberFormat="1">
      <alignment horizontal="center" readingOrder="0" vertical="center"/>
    </xf>
    <xf borderId="0" fillId="6" fontId="38" numFmtId="0" xfId="0" applyAlignment="1" applyFont="1">
      <alignment horizontal="center" readingOrder="0" vertical="center"/>
    </xf>
    <xf borderId="0" fillId="6" fontId="39" numFmtId="169" xfId="0" applyAlignment="1" applyFont="1" applyNumberFormat="1">
      <alignment horizontal="center" readingOrder="0" vertical="center"/>
    </xf>
    <xf borderId="0" fillId="14" fontId="38" numFmtId="0" xfId="0" applyAlignment="1" applyFill="1" applyFont="1">
      <alignment horizontal="center" readingOrder="0" vertical="center"/>
    </xf>
    <xf borderId="22" fillId="0" fontId="16" numFmtId="0" xfId="0" applyBorder="1" applyFont="1"/>
    <xf borderId="23" fillId="6" fontId="33" numFmtId="164" xfId="0" applyAlignment="1" applyBorder="1" applyFont="1" applyNumberFormat="1">
      <alignment horizontal="center" vertical="center"/>
    </xf>
    <xf borderId="24" fillId="6" fontId="38" numFmtId="0" xfId="0" applyAlignment="1" applyBorder="1" applyFont="1">
      <alignment horizontal="center" readingOrder="0" vertical="center"/>
    </xf>
    <xf borderId="24" fillId="0" fontId="16" numFmtId="0" xfId="0" applyBorder="1" applyFont="1"/>
    <xf borderId="25" fillId="0" fontId="16" numFmtId="0" xfId="0" applyBorder="1" applyFont="1"/>
    <xf borderId="0" fillId="7" fontId="40" numFmtId="0" xfId="0" applyAlignment="1" applyFont="1">
      <alignment horizontal="center" shrinkToFit="0" vertical="center" wrapText="1"/>
    </xf>
    <xf borderId="0" fillId="7" fontId="40" numFmtId="171" xfId="0" applyAlignment="1" applyFont="1" applyNumberFormat="1">
      <alignment horizontal="center" readingOrder="0" shrinkToFit="0" vertical="center" wrapText="1"/>
    </xf>
    <xf borderId="0" fillId="7" fontId="40" numFmtId="164" xfId="0" applyAlignment="1" applyFont="1" applyNumberFormat="1">
      <alignment horizontal="center" readingOrder="1" shrinkToFit="0" vertical="center" wrapText="1"/>
    </xf>
    <xf borderId="0" fillId="7" fontId="40" numFmtId="169" xfId="0" applyAlignment="1" applyFont="1" applyNumberFormat="1">
      <alignment horizontal="center" shrinkToFit="0" vertical="center" wrapText="1"/>
    </xf>
    <xf borderId="0" fillId="7" fontId="40" numFmtId="174" xfId="0" applyAlignment="1" applyFont="1" applyNumberFormat="1">
      <alignment horizontal="center" shrinkToFit="0" vertical="center" wrapText="1"/>
    </xf>
    <xf borderId="0" fillId="4" fontId="41" numFmtId="168" xfId="0" applyAlignment="1" applyFont="1" applyNumberFormat="1">
      <alignment horizontal="center" readingOrder="0" shrinkToFit="0" vertical="center" wrapText="1"/>
    </xf>
    <xf borderId="0" fillId="7" fontId="40" numFmtId="169" xfId="0" applyAlignment="1" applyFont="1" applyNumberFormat="1">
      <alignment horizontal="center" readingOrder="0" shrinkToFit="0" vertical="center" wrapText="1"/>
    </xf>
    <xf borderId="0" fillId="7" fontId="40" numFmtId="174" xfId="0" applyAlignment="1" applyFont="1" applyNumberFormat="1">
      <alignment horizontal="center" readingOrder="0" shrinkToFit="0" vertical="center" wrapText="1"/>
    </xf>
    <xf borderId="0" fillId="7" fontId="40" numFmtId="0" xfId="0" applyAlignment="1" applyFont="1">
      <alignment horizontal="center" readingOrder="0" shrinkToFit="0" vertical="center" wrapText="1"/>
    </xf>
    <xf borderId="0" fillId="10" fontId="40" numFmtId="172" xfId="0" applyAlignment="1" applyFont="1" applyNumberFormat="1">
      <alignment horizontal="center" shrinkToFit="0" vertical="center" wrapText="1"/>
    </xf>
    <xf borderId="0" fillId="10" fontId="40" numFmtId="171" xfId="0" applyAlignment="1" applyFont="1" applyNumberFormat="1">
      <alignment horizontal="center" shrinkToFit="0" vertical="center" wrapText="1"/>
    </xf>
    <xf borderId="0" fillId="10" fontId="40" numFmtId="164" xfId="0" applyAlignment="1" applyFont="1" applyNumberFormat="1">
      <alignment horizontal="center" readingOrder="0" shrinkToFit="0" vertical="center" wrapText="1"/>
    </xf>
    <xf borderId="0" fillId="10" fontId="40" numFmtId="169" xfId="0" applyAlignment="1" applyFont="1" applyNumberFormat="1">
      <alignment horizontal="center" readingOrder="0" shrinkToFit="0" vertical="center" wrapText="1"/>
    </xf>
    <xf borderId="0" fillId="10" fontId="40" numFmtId="169" xfId="0" applyAlignment="1" applyFont="1" applyNumberFormat="1">
      <alignment horizontal="center" shrinkToFit="0" vertical="center" wrapText="1"/>
    </xf>
    <xf borderId="0" fillId="10" fontId="40" numFmtId="0" xfId="0" applyAlignment="1" applyFont="1">
      <alignment horizontal="center" shrinkToFit="0" vertical="center" wrapText="1"/>
    </xf>
    <xf borderId="0" fillId="10" fontId="40" numFmtId="0" xfId="0" applyAlignment="1" applyFont="1">
      <alignment horizontal="center" readingOrder="0" shrinkToFit="0" vertical="center" wrapText="1"/>
    </xf>
    <xf borderId="0" fillId="10" fontId="40" numFmtId="171" xfId="0" applyAlignment="1" applyFont="1" applyNumberFormat="1">
      <alignment horizontal="center" readingOrder="0" shrinkToFit="0" vertical="center" wrapText="1"/>
    </xf>
    <xf borderId="0" fillId="10" fontId="40" numFmtId="169" xfId="0" applyAlignment="1" applyFont="1" applyNumberFormat="1">
      <alignment horizontal="center" shrinkToFit="0" vertical="center" wrapText="1"/>
    </xf>
    <xf borderId="0" fillId="10" fontId="40" numFmtId="14" xfId="0" applyAlignment="1" applyFont="1" applyNumberFormat="1">
      <alignment horizontal="center" readingOrder="0" shrinkToFit="0" vertical="center" wrapText="1"/>
    </xf>
    <xf borderId="0" fillId="10" fontId="40" numFmtId="172" xfId="0" applyAlignment="1" applyFont="1" applyNumberFormat="1">
      <alignment horizontal="center" readingOrder="1" shrinkToFit="0" vertical="center" wrapText="1"/>
    </xf>
    <xf borderId="0" fillId="10" fontId="40" numFmtId="169" xfId="0" applyAlignment="1" applyFont="1" applyNumberFormat="1">
      <alignment horizontal="center" readingOrder="0" shrinkToFit="0" vertical="center" wrapText="1"/>
    </xf>
    <xf borderId="0" fillId="10" fontId="40" numFmtId="172" xfId="0" applyAlignment="1" applyFont="1" applyNumberFormat="1">
      <alignment horizontal="center" readingOrder="0" shrinkToFit="0" vertical="center" wrapText="1"/>
    </xf>
    <xf borderId="0" fillId="14" fontId="42" numFmtId="0" xfId="0" applyAlignment="1" applyFont="1">
      <alignment horizontal="center" readingOrder="1" shrinkToFit="0" vertical="center" wrapText="1"/>
    </xf>
    <xf borderId="0" fillId="14" fontId="42" numFmtId="171" xfId="0" applyAlignment="1" applyFont="1" applyNumberFormat="1">
      <alignment horizontal="center" readingOrder="0" shrinkToFit="0" vertical="center" wrapText="1"/>
    </xf>
    <xf borderId="0" fillId="14" fontId="42" numFmtId="171" xfId="0" applyAlignment="1" applyFont="1" applyNumberFormat="1">
      <alignment horizontal="center" readingOrder="1" shrinkToFit="0" vertical="center" wrapText="1"/>
    </xf>
    <xf borderId="0" fillId="14" fontId="42" numFmtId="169" xfId="0" applyAlignment="1" applyFont="1" applyNumberFormat="1">
      <alignment horizontal="center" shrinkToFit="0" vertical="center" wrapText="1"/>
    </xf>
    <xf borderId="0" fillId="14" fontId="42" numFmtId="174" xfId="0" applyAlignment="1" applyFont="1" applyNumberFormat="1">
      <alignment horizontal="center" shrinkToFit="0" vertical="center" wrapText="1"/>
    </xf>
    <xf borderId="0" fillId="14" fontId="42" numFmtId="0" xfId="0" applyAlignment="1" applyFont="1">
      <alignment horizontal="center" shrinkToFit="0" vertical="center" wrapText="1"/>
    </xf>
    <xf borderId="0" fillId="14" fontId="43" numFmtId="168" xfId="0" applyAlignment="1" applyFont="1" applyNumberFormat="1">
      <alignment horizontal="center" readingOrder="0" shrinkToFit="0" vertical="center" wrapText="1"/>
    </xf>
    <xf borderId="0" fillId="14" fontId="42" numFmtId="164" xfId="0" applyAlignment="1" applyFont="1" applyNumberFormat="1">
      <alignment horizontal="center" readingOrder="1" shrinkToFit="0" vertical="center" wrapText="1"/>
    </xf>
    <xf borderId="0" fillId="14" fontId="42" numFmtId="169" xfId="0" applyAlignment="1" applyFont="1" applyNumberFormat="1">
      <alignment horizontal="center" readingOrder="0" shrinkToFit="0" vertical="center" wrapText="1"/>
    </xf>
    <xf borderId="0" fillId="14" fontId="42" numFmtId="174" xfId="0" applyAlignment="1" applyFont="1" applyNumberFormat="1">
      <alignment horizontal="center" readingOrder="0" shrinkToFit="0" vertical="center" wrapText="1"/>
    </xf>
    <xf borderId="0" fillId="14" fontId="42" numFmtId="0" xfId="0" applyAlignment="1" applyFont="1">
      <alignment horizontal="center" readingOrder="0" shrinkToFit="0" vertical="center" wrapText="1"/>
    </xf>
    <xf borderId="0" fillId="15" fontId="40" numFmtId="172" xfId="0" applyAlignment="1" applyFill="1" applyFont="1" applyNumberFormat="1">
      <alignment horizontal="center" readingOrder="1" shrinkToFit="0" vertical="center" wrapText="1"/>
    </xf>
    <xf borderId="0" fillId="15" fontId="40" numFmtId="171" xfId="0" applyAlignment="1" applyFont="1" applyNumberFormat="1">
      <alignment horizontal="center" readingOrder="0" shrinkToFit="0" vertical="center" wrapText="1"/>
    </xf>
    <xf borderId="0" fillId="15" fontId="40" numFmtId="164" xfId="0" applyAlignment="1" applyFont="1" applyNumberFormat="1">
      <alignment horizontal="center" readingOrder="0" shrinkToFit="0" vertical="center" wrapText="1"/>
    </xf>
    <xf borderId="0" fillId="15" fontId="40" numFmtId="169" xfId="0" applyAlignment="1" applyFont="1" applyNumberFormat="1">
      <alignment horizontal="center" readingOrder="0" shrinkToFit="0" vertical="center" wrapText="1"/>
    </xf>
    <xf borderId="0" fillId="15" fontId="40" numFmtId="169" xfId="0" applyAlignment="1" applyFont="1" applyNumberFormat="1">
      <alignment horizontal="center" shrinkToFit="0" vertical="center" wrapText="1"/>
    </xf>
    <xf borderId="0" fillId="15" fontId="44" numFmtId="0" xfId="0" applyAlignment="1" applyFont="1">
      <alignment horizontal="center" shrinkToFit="0" vertical="center" wrapText="1"/>
    </xf>
    <xf borderId="0" fillId="15" fontId="40" numFmtId="0" xfId="0" applyAlignment="1" applyFont="1">
      <alignment horizontal="center" readingOrder="0" shrinkToFit="0" vertical="center" wrapText="1"/>
    </xf>
    <xf borderId="0" fillId="15" fontId="40" numFmtId="14" xfId="0" applyAlignment="1" applyFont="1" applyNumberFormat="1">
      <alignment horizontal="center" readingOrder="0" shrinkToFit="0" vertical="center" wrapText="1"/>
    </xf>
    <xf borderId="0" fillId="15" fontId="40" numFmtId="169" xfId="0" applyAlignment="1" applyFont="1" applyNumberFormat="1">
      <alignment horizontal="center" readingOrder="0" shrinkToFit="0" vertical="center" wrapText="1"/>
    </xf>
    <xf borderId="59" fillId="7" fontId="45" numFmtId="164" xfId="0" applyAlignment="1" applyBorder="1" applyFont="1" applyNumberFormat="1">
      <alignment horizontal="center" vertical="center"/>
    </xf>
    <xf borderId="60" fillId="7" fontId="45" numFmtId="0" xfId="0" applyAlignment="1" applyBorder="1" applyFont="1">
      <alignment horizontal="center" vertical="center"/>
    </xf>
    <xf borderId="60" fillId="7" fontId="45" numFmtId="172" xfId="0" applyAlignment="1" applyBorder="1" applyFont="1" applyNumberFormat="1">
      <alignment horizontal="center" readingOrder="0" shrinkToFit="0" vertical="center" wrapText="1"/>
    </xf>
    <xf borderId="60" fillId="7" fontId="45" numFmtId="0" xfId="0" applyAlignment="1" applyBorder="1" applyFont="1">
      <alignment horizontal="center" shrinkToFit="0" vertical="center" wrapText="1"/>
    </xf>
    <xf borderId="60" fillId="7" fontId="46" numFmtId="164" xfId="0" applyAlignment="1" applyBorder="1" applyFont="1" applyNumberFormat="1">
      <alignment horizontal="center" vertical="center"/>
    </xf>
    <xf borderId="0" fillId="0" fontId="46" numFmtId="164" xfId="0" applyAlignment="1" applyFont="1" applyNumberFormat="1">
      <alignment horizontal="center" vertical="center"/>
    </xf>
    <xf borderId="0" fillId="0" fontId="46" numFmtId="0" xfId="0" applyAlignment="1" applyFont="1">
      <alignment horizontal="center" vertical="center"/>
    </xf>
    <xf borderId="0" fillId="16" fontId="45" numFmtId="164" xfId="0" applyAlignment="1" applyFill="1" applyFont="1" applyNumberFormat="1">
      <alignment horizontal="center" shrinkToFit="0" vertical="center" wrapText="1"/>
    </xf>
    <xf borderId="0" fillId="16" fontId="45" numFmtId="49" xfId="0" applyAlignment="1" applyFont="1" applyNumberFormat="1">
      <alignment horizontal="center" shrinkToFit="0" vertical="center" wrapText="1"/>
    </xf>
    <xf borderId="0" fillId="16" fontId="45" numFmtId="2" xfId="0" applyAlignment="1" applyFont="1" applyNumberFormat="1">
      <alignment horizontal="center" vertical="center"/>
    </xf>
    <xf borderId="0" fillId="16" fontId="46" numFmtId="2" xfId="0" applyAlignment="1" applyFont="1" applyNumberFormat="1">
      <alignment horizontal="center" vertical="center"/>
    </xf>
    <xf borderId="0" fillId="0" fontId="46" numFmtId="2" xfId="0" applyAlignment="1" applyFont="1" applyNumberFormat="1">
      <alignment horizontal="center" vertical="center"/>
    </xf>
    <xf borderId="0" fillId="0" fontId="47" numFmtId="3" xfId="0" applyAlignment="1" applyFont="1" applyNumberFormat="1">
      <alignment horizontal="center" shrinkToFit="0" vertical="center" wrapText="1"/>
    </xf>
    <xf borderId="0" fillId="17" fontId="47" numFmtId="169" xfId="0" applyAlignment="1" applyFill="1" applyFont="1" applyNumberFormat="1">
      <alignment horizontal="center" shrinkToFit="0" vertical="center" wrapText="1"/>
    </xf>
    <xf borderId="0" fillId="10" fontId="46" numFmtId="169" xfId="0" applyAlignment="1" applyFont="1" applyNumberFormat="1">
      <alignment horizontal="center" shrinkToFit="0" vertical="center" wrapText="1"/>
    </xf>
    <xf borderId="0" fillId="18" fontId="47" numFmtId="169" xfId="0" applyAlignment="1" applyFill="1" applyFont="1" applyNumberFormat="1">
      <alignment horizontal="center" shrinkToFit="0" vertical="center" wrapText="1"/>
    </xf>
    <xf borderId="0" fillId="19" fontId="47" numFmtId="169" xfId="0" applyAlignment="1" applyFill="1" applyFont="1" applyNumberFormat="1">
      <alignment horizontal="center" shrinkToFit="0" vertical="center" wrapText="1"/>
    </xf>
    <xf borderId="0" fillId="20" fontId="47" numFmtId="169" xfId="0" applyAlignment="1" applyFill="1" applyFont="1" applyNumberFormat="1">
      <alignment horizontal="center" shrinkToFit="0" vertical="center" wrapText="1"/>
    </xf>
    <xf borderId="0" fillId="0" fontId="47" numFmtId="164" xfId="0" applyAlignment="1" applyFont="1" applyNumberFormat="1">
      <alignment horizontal="center" shrinkToFit="0" vertical="center" wrapText="1"/>
    </xf>
    <xf borderId="0" fillId="21" fontId="47" numFmtId="169" xfId="0" applyAlignment="1" applyFill="1" applyFont="1" applyNumberFormat="1">
      <alignment horizontal="center" shrinkToFit="0" vertical="center" wrapText="1"/>
    </xf>
    <xf borderId="0" fillId="10" fontId="47" numFmtId="169" xfId="0" applyAlignment="1" applyFont="1" applyNumberFormat="1">
      <alignment horizontal="center" shrinkToFit="0" vertical="center" wrapText="1"/>
    </xf>
    <xf borderId="0" fillId="22" fontId="47" numFmtId="169" xfId="0" applyAlignment="1" applyFill="1" applyFont="1" applyNumberFormat="1">
      <alignment horizontal="center" shrinkToFit="0" vertical="center" wrapText="1"/>
    </xf>
    <xf borderId="0" fillId="10" fontId="48" numFmtId="169" xfId="0" applyAlignment="1" applyFont="1" applyNumberFormat="1">
      <alignment horizontal="center" shrinkToFit="0" vertical="center" wrapText="1"/>
    </xf>
    <xf borderId="0" fillId="0" fontId="45" numFmtId="0" xfId="0" applyAlignment="1" applyFont="1">
      <alignment horizontal="center" readingOrder="0" vertical="center"/>
    </xf>
    <xf borderId="0" fillId="0" fontId="45" numFmtId="2" xfId="0" applyAlignment="1" applyFont="1" applyNumberFormat="1">
      <alignment horizontal="center" readingOrder="0" vertical="center"/>
    </xf>
    <xf borderId="0" fillId="0" fontId="37" numFmtId="0" xfId="0" applyAlignment="1" applyFont="1">
      <alignment horizontal="center" shrinkToFit="0" vertical="center" wrapText="1"/>
    </xf>
    <xf borderId="26" fillId="0" fontId="49" numFmtId="169" xfId="0" applyAlignment="1" applyBorder="1" applyFont="1" applyNumberFormat="1">
      <alignment horizontal="center" shrinkToFit="0" vertical="center" wrapText="1"/>
    </xf>
    <xf borderId="26" fillId="10" fontId="48" numFmtId="169" xfId="0" applyAlignment="1" applyBorder="1" applyFont="1" applyNumberFormat="1">
      <alignment horizontal="center" shrinkToFit="0" vertical="center" wrapText="1"/>
    </xf>
    <xf borderId="0" fillId="0" fontId="45" numFmtId="2" xfId="0" applyAlignment="1" applyFont="1" applyNumberFormat="1">
      <alignment horizontal="center" readingOrder="0" vertical="center"/>
    </xf>
    <xf borderId="0" fillId="10" fontId="48" numFmtId="171" xfId="0" applyAlignment="1" applyFont="1" applyNumberFormat="1">
      <alignment horizontal="center" shrinkToFit="0" vertical="center" wrapText="1"/>
    </xf>
    <xf borderId="0" fillId="0" fontId="46" numFmtId="0" xfId="0" applyFont="1"/>
    <xf borderId="0" fillId="10" fontId="48" numFmtId="10" xfId="0" applyAlignment="1" applyFont="1" applyNumberFormat="1">
      <alignment horizontal="center" vertical="center"/>
    </xf>
    <xf borderId="0" fillId="10" fontId="46" numFmtId="10" xfId="0" applyAlignment="1" applyFont="1" applyNumberFormat="1">
      <alignment horizontal="center" vertical="center"/>
    </xf>
    <xf borderId="0" fillId="0" fontId="46" numFmtId="171" xfId="0" applyAlignment="1" applyFont="1" applyNumberFormat="1">
      <alignment horizontal="center" shrinkToFit="0" vertical="center" wrapText="1"/>
    </xf>
    <xf borderId="0" fillId="0" fontId="46" numFmtId="2" xfId="0" applyAlignment="1" applyFont="1" applyNumberFormat="1">
      <alignment horizontal="center" readingOrder="0" vertical="center"/>
    </xf>
    <xf borderId="0" fillId="0" fontId="33" numFmtId="0" xfId="0" applyAlignment="1" applyFont="1">
      <alignment horizontal="center" shrinkToFit="0" vertical="center" wrapText="1"/>
    </xf>
    <xf borderId="0" fillId="5" fontId="50" numFmtId="0" xfId="0" applyAlignment="1" applyFont="1">
      <alignment horizontal="center" readingOrder="0" shrinkToFit="0" vertical="center" wrapText="1"/>
    </xf>
    <xf borderId="0" fillId="5" fontId="51" numFmtId="171" xfId="0" applyAlignment="1" applyFont="1" applyNumberFormat="1">
      <alignment horizontal="center" shrinkToFit="0" vertical="center" wrapText="1"/>
    </xf>
    <xf borderId="0" fillId="5" fontId="50" numFmtId="0" xfId="0" applyAlignment="1" applyFont="1">
      <alignment horizontal="center" shrinkToFit="0" vertical="center" wrapText="1"/>
    </xf>
    <xf borderId="0" fillId="5" fontId="52" numFmtId="0" xfId="0" applyFont="1"/>
    <xf borderId="0" fillId="5" fontId="50" numFmtId="49" xfId="0" applyAlignment="1" applyFont="1" applyNumberFormat="1">
      <alignment horizontal="center" readingOrder="0" shrinkToFit="0" vertical="center" wrapText="1"/>
    </xf>
    <xf borderId="0" fillId="5" fontId="53" numFmtId="164" xfId="0" applyAlignment="1" applyFont="1" applyNumberFormat="1">
      <alignment horizontal="center" shrinkToFit="0" vertical="center" wrapText="1"/>
    </xf>
    <xf borderId="0" fillId="5" fontId="54" numFmtId="169" xfId="0" applyAlignment="1" applyFont="1" applyNumberFormat="1">
      <alignment horizontal="center" shrinkToFit="0" vertical="center" wrapText="1"/>
    </xf>
    <xf borderId="0" fillId="5" fontId="53" numFmtId="0" xfId="0" applyAlignment="1" applyFont="1">
      <alignment horizontal="center" readingOrder="0" shrinkToFit="0" vertical="center" wrapText="1"/>
    </xf>
    <xf borderId="0" fillId="5" fontId="46" numFmtId="0" xfId="0" applyAlignment="1" applyFont="1">
      <alignment horizontal="center" shrinkToFit="0" vertical="center" wrapText="1"/>
    </xf>
    <xf borderId="0" fillId="10" fontId="55" numFmtId="171" xfId="0" applyAlignment="1" applyFont="1" applyNumberFormat="1">
      <alignment horizontal="center" shrinkToFit="0" vertical="center" wrapText="1"/>
    </xf>
    <xf borderId="0" fillId="5" fontId="52" numFmtId="0" xfId="0" applyAlignment="1" applyFont="1">
      <alignment readingOrder="0"/>
    </xf>
    <xf borderId="0" fillId="5" fontId="53" numFmtId="169" xfId="0" applyAlignment="1" applyFont="1" applyNumberFormat="1">
      <alignment horizontal="center" shrinkToFit="0" vertical="center" wrapText="1"/>
    </xf>
    <xf borderId="0" fillId="5" fontId="53" numFmtId="0" xfId="0" applyAlignment="1" applyFont="1">
      <alignment horizontal="center" shrinkToFit="0" vertical="center" wrapText="1"/>
    </xf>
    <xf borderId="0" fillId="0" fontId="56" numFmtId="0" xfId="0" applyFont="1"/>
    <xf borderId="0" fillId="10" fontId="6" numFmtId="171" xfId="0" applyAlignment="1" applyFont="1" applyNumberFormat="1">
      <alignment horizontal="center" shrinkToFit="0" vertical="center" wrapText="1"/>
    </xf>
    <xf borderId="0" fillId="23" fontId="57" numFmtId="171" xfId="0" applyAlignment="1" applyFill="1" applyFont="1" applyNumberFormat="1">
      <alignment horizontal="center" readingOrder="0" shrinkToFit="0" vertical="center" wrapText="1"/>
    </xf>
    <xf borderId="0" fillId="10" fontId="6" numFmtId="164" xfId="0" applyAlignment="1" applyFont="1" applyNumberFormat="1">
      <alignment horizontal="center" shrinkToFit="0" vertical="center" wrapText="1"/>
    </xf>
    <xf borderId="0" fillId="10" fontId="6" numFmtId="168" xfId="0" applyAlignment="1" applyFont="1" applyNumberFormat="1">
      <alignment horizontal="center" shrinkToFit="0" vertical="center" wrapText="1"/>
    </xf>
    <xf borderId="0" fillId="10" fontId="58" numFmtId="0" xfId="0" applyAlignment="1" applyFont="1">
      <alignment horizontal="center" shrinkToFit="0" vertical="center" wrapText="1"/>
    </xf>
    <xf borderId="0" fillId="10" fontId="29" numFmtId="171" xfId="0" applyAlignment="1" applyFont="1" applyNumberFormat="1">
      <alignment horizontal="center" shrinkToFit="0" vertical="center" wrapText="1"/>
    </xf>
    <xf borderId="0" fillId="10" fontId="59" numFmtId="0" xfId="0" applyAlignment="1" applyFont="1">
      <alignment horizontal="center" readingOrder="0" shrinkToFit="0" vertical="center" wrapText="1"/>
    </xf>
    <xf borderId="0" fillId="10" fontId="29" numFmtId="171" xfId="0" applyAlignment="1" applyFont="1" applyNumberFormat="1">
      <alignment horizontal="center" readingOrder="0" shrinkToFit="0" vertical="center" wrapText="1"/>
    </xf>
    <xf borderId="0" fillId="10" fontId="6" numFmtId="171" xfId="0" applyAlignment="1" applyFont="1" applyNumberFormat="1">
      <alignment horizontal="center" readingOrder="0" shrinkToFit="0" vertical="center" wrapText="1"/>
    </xf>
    <xf borderId="0" fillId="10" fontId="6" numFmtId="49" xfId="0" applyAlignment="1" applyFont="1" applyNumberFormat="1">
      <alignment horizontal="center" readingOrder="0" shrinkToFit="0" vertical="center" wrapText="1"/>
    </xf>
    <xf borderId="0" fillId="10" fontId="60" numFmtId="164" xfId="0" applyAlignment="1" applyFont="1" applyNumberFormat="1">
      <alignment horizontal="center" shrinkToFit="0" vertical="center" wrapText="1"/>
    </xf>
    <xf borderId="0" fillId="10" fontId="55" numFmtId="171" xfId="0" applyAlignment="1" applyFont="1" applyNumberFormat="1">
      <alignment horizontal="center" readingOrder="0" shrinkToFit="0" vertical="center" wrapText="1"/>
    </xf>
    <xf borderId="0" fillId="10" fontId="35" numFmtId="171" xfId="0" applyAlignment="1" applyFont="1" applyNumberFormat="1">
      <alignment horizontal="center" readingOrder="0" shrinkToFit="0" vertical="center" wrapText="1"/>
    </xf>
    <xf borderId="0" fillId="10" fontId="6" numFmtId="169" xfId="0" applyAlignment="1" applyFont="1" applyNumberFormat="1">
      <alignment horizontal="center" shrinkToFit="0" vertical="center" wrapText="1"/>
    </xf>
    <xf borderId="0" fillId="10" fontId="61" numFmtId="0" xfId="0" applyAlignment="1" applyFont="1">
      <alignment horizontal="center" readingOrder="0" shrinkToFit="0" vertical="center" wrapText="1"/>
    </xf>
    <xf borderId="0" fillId="10" fontId="29" numFmtId="0" xfId="0" applyAlignment="1" applyFont="1">
      <alignment horizontal="center" readingOrder="0" shrinkToFit="0" vertical="center" wrapText="1"/>
    </xf>
    <xf borderId="0" fillId="10" fontId="0" numFmtId="0" xfId="0" applyAlignment="1" applyFont="1">
      <alignment horizontal="center" shrinkToFit="0" vertical="center" wrapText="1"/>
    </xf>
    <xf borderId="0" fillId="10" fontId="6" numFmtId="0" xfId="0" applyAlignment="1" applyFont="1">
      <alignment horizontal="center" shrinkToFit="0" vertical="center" wrapText="1"/>
    </xf>
    <xf borderId="0" fillId="10" fontId="62" numFmtId="164" xfId="0" applyAlignment="1" applyFont="1" applyNumberFormat="1">
      <alignment horizontal="center" shrinkToFit="0" vertical="center" wrapText="1"/>
    </xf>
    <xf borderId="0" fillId="10" fontId="62" numFmtId="0" xfId="0" applyAlignment="1" applyFont="1">
      <alignment horizontal="center" shrinkToFit="0" vertical="center" wrapText="1"/>
    </xf>
  </cellXfs>
  <cellStyles count="1">
    <cellStyle xfId="0" name="Normal" builtinId="0"/>
  </cellStyles>
  <dxfs count="23">
    <dxf>
      <font/>
      <fill>
        <patternFill patternType="none"/>
      </fill>
      <border/>
    </dxf>
    <dxf>
      <font/>
      <fill>
        <patternFill patternType="solid">
          <fgColor rgb="FFD3A3A3"/>
          <bgColor rgb="FFD3A3A3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D3A3A3"/>
        </left>
        <right style="thin">
          <color rgb="FFD3A3A3"/>
        </right>
        <top style="thin">
          <color rgb="FFD3A3A3"/>
        </top>
        <bottom style="thin">
          <color rgb="FFD3A3A3"/>
        </bottom>
      </border>
    </dxf>
    <dxf>
      <font/>
      <fill>
        <patternFill patternType="solid">
          <fgColor rgb="FFFFFF00"/>
          <bgColor rgb="FFFFFF00"/>
        </patternFill>
      </fill>
      <border/>
    </dxf>
    <dxf>
      <font>
        <color rgb="FFFF0000"/>
      </font>
      <fill>
        <patternFill patternType="solid">
          <fgColor rgb="FFF3F3F3"/>
          <bgColor rgb="FFF3F3F3"/>
        </patternFill>
      </fill>
      <border/>
    </dxf>
    <dxf>
      <font/>
      <fill>
        <patternFill patternType="solid">
          <fgColor rgb="FFFFD500"/>
          <bgColor rgb="FFFFD500"/>
        </patternFill>
      </fill>
      <border/>
    </dxf>
    <dxf>
      <font/>
      <fill>
        <patternFill patternType="solid">
          <fgColor rgb="FFFBD100"/>
          <bgColor rgb="FFFBD100"/>
        </patternFill>
      </fill>
      <border/>
    </dxf>
    <dxf>
      <font>
        <color rgb="FF0000FF"/>
      </font>
      <fill>
        <patternFill patternType="solid">
          <fgColor rgb="FFF3F3F3"/>
          <bgColor rgb="FFF3F3F3"/>
        </patternFill>
      </fill>
      <border/>
    </dxf>
    <dxf>
      <font>
        <color rgb="FF6AA84F"/>
      </font>
      <fill>
        <patternFill patternType="solid">
          <fgColor rgb="FFFFFFFF"/>
          <bgColor rgb="FFFFFFFF"/>
        </patternFill>
      </fill>
      <border/>
    </dxf>
    <dxf>
      <font>
        <color rgb="FFFF0000"/>
      </font>
      <fill>
        <patternFill patternType="solid">
          <fgColor rgb="FFFFFFFF"/>
          <bgColor rgb="FFFFFFFF"/>
        </patternFill>
      </fill>
      <border/>
    </dxf>
    <dxf>
      <font>
        <color rgb="FF0000FF"/>
      </font>
      <fill>
        <patternFill patternType="solid">
          <fgColor rgb="FFFFF2CC"/>
          <bgColor rgb="FFFFF2CC"/>
        </patternFill>
      </fill>
      <border/>
    </dxf>
    <dxf>
      <font>
        <color rgb="FFFF0000"/>
      </font>
      <fill>
        <patternFill patternType="solid">
          <fgColor rgb="FFFFF2CC"/>
          <bgColor rgb="FFFFF2CC"/>
        </patternFill>
      </fill>
      <border/>
    </dxf>
    <dxf>
      <font>
        <color rgb="FFFFFF00"/>
      </font>
      <fill>
        <patternFill patternType="solid">
          <fgColor rgb="FFD9D9D9"/>
          <bgColor rgb="FFD9D9D9"/>
        </patternFill>
      </fill>
      <border/>
    </dxf>
    <dxf>
      <font>
        <color rgb="FFFF0000"/>
      </font>
      <fill>
        <patternFill patternType="solid">
          <fgColor rgb="FFD9D9D9"/>
          <bgColor rgb="FFD9D9D9"/>
        </patternFill>
      </fill>
      <border/>
    </dxf>
    <dxf>
      <font>
        <color rgb="FF0000FF"/>
      </font>
      <fill>
        <patternFill patternType="solid">
          <fgColor rgb="FFFFFFFF"/>
          <bgColor rgb="FFFFFFFF"/>
        </patternFill>
      </fill>
      <border/>
    </dxf>
    <dxf>
      <font>
        <color rgb="FFBF9000"/>
      </font>
      <fill>
        <patternFill patternType="solid">
          <fgColor rgb="FFFFFFFF"/>
          <bgColor rgb="FFFFFFFF"/>
        </patternFill>
      </fill>
      <border/>
    </dxf>
    <dxf>
      <font>
        <color rgb="FFFF9900"/>
      </font>
      <fill>
        <patternFill patternType="solid">
          <fgColor rgb="FFFFFFFF"/>
          <bgColor rgb="FFFFFFFF"/>
        </patternFill>
      </fill>
      <border/>
    </dxf>
    <dxf>
      <font>
        <color rgb="FF000000"/>
      </font>
      <fill>
        <patternFill patternType="solid">
          <fgColor rgb="FFFFFFFF"/>
          <bgColor rgb="FFFFFFFF"/>
        </patternFill>
      </fill>
      <border/>
    </dxf>
    <dxf>
      <font>
        <b/>
        <color rgb="FFFF0000"/>
      </font>
      <fill>
        <patternFill patternType="solid">
          <fgColor rgb="FFF6F8F9"/>
          <bgColor rgb="FFF6F8F9"/>
        </patternFill>
      </fill>
      <border/>
    </dxf>
    <dxf>
      <font>
        <color rgb="FF0000FF"/>
      </font>
      <fill>
        <patternFill patternType="solid">
          <fgColor rgb="FFF6F8F9"/>
          <bgColor rgb="FFF6F8F9"/>
        </patternFill>
      </fill>
      <border/>
    </dxf>
    <dxf>
      <font>
        <color rgb="FF000000"/>
      </font>
      <fill>
        <patternFill patternType="solid">
          <fgColor rgb="FFF6F8F9"/>
          <bgColor rgb="FFF6F8F9"/>
        </patternFill>
      </fill>
      <border/>
    </dxf>
  </dxfs>
  <tableStyles count="8">
    <tableStyle count="4" pivot="0" name="نسخة من حضور الموضفين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Income-style">
      <tableStyleElement dxfId="5" type="headerRow"/>
      <tableStyleElement dxfId="2" type="firstRowStripe"/>
      <tableStyleElement dxfId="3" type="secondRowStripe"/>
      <tableStyleElement dxfId="4" size="0" type="wholeTable"/>
    </tableStyle>
    <tableStyle count="4" pivot="0" name="Archive-style">
      <tableStyleElement dxfId="7" type="headerRow"/>
      <tableStyleElement dxfId="2" type="firstRowStripe"/>
      <tableStyleElement dxfId="3" type="secondRowStripe"/>
      <tableStyleElement dxfId="4" size="0" type="wholeTable"/>
    </tableStyle>
    <tableStyle count="4" pivot="0" name="Expense-style">
      <tableStyleElement dxfId="8" type="headerRow"/>
      <tableStyleElement dxfId="2" type="firstRowStripe"/>
      <tableStyleElement dxfId="3" type="secondRowStripe"/>
      <tableStyleElement dxfId="4" size="0" type="wholeTable"/>
    </tableStyle>
    <tableStyle count="2" pivot="0" name="سلف الموضفين-style">
      <tableStyleElement dxfId="2" type="firstRowStripe"/>
      <tableStyleElement dxfId="3" type="secondRowStripe"/>
    </tableStyle>
    <tableStyle count="2" pivot="0" name="سلف الموضفين-style 2">
      <tableStyleElement dxfId="2" type="firstRowStripe"/>
      <tableStyleElement dxfId="3" type="secondRowStripe"/>
    </tableStyle>
    <tableStyle count="2" pivot="0" name="القروض و التسديد-style">
      <tableStyleElement dxfId="2" type="firstRowStripe"/>
      <tableStyleElement dxfId="3" type="secondRowStripe"/>
    </tableStyle>
    <tableStyle count="2" pivot="0" name="القروض و التسديد-style 2">
      <tableStyleElement dxfId="2" type="firstRowStripe"/>
      <tableStyleElement dxfId="3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7" Type="http://schemas.openxmlformats.org/officeDocument/2006/relationships/worksheet" Target="worksheets/sheet13.xml"/><Relationship Id="rId16" Type="http://schemas.openxmlformats.org/officeDocument/2006/relationships/worksheet" Target="worksheets/sheet12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1038225</xdr:colOff>
      <xdr:row>0</xdr:row>
      <xdr:rowOff>0</xdr:rowOff>
    </xdr:from>
    <xdr:ext cx="3009900" cy="409575"/>
    <xdr:sp>
      <xdr:nvSpPr>
        <xdr:cNvPr id="3" name="Shape 3"/>
        <xdr:cNvSpPr txBox="1"/>
      </xdr:nvSpPr>
      <xdr:spPr>
        <a:xfrm>
          <a:off x="0" y="0"/>
          <a:ext cx="3000000" cy="400200"/>
        </a:xfrm>
        <a:prstGeom prst="rect">
          <a:avLst/>
        </a:prstGeom>
        <a:noFill/>
        <a:ln>
          <a:noFill/>
        </a:ln>
      </xdr:spPr>
      <xdr:txBody>
        <a:bodyPr anchorCtr="0" anchor="t" bIns="91425" lIns="91425" spcFirstLastPara="1" rIns="91425" wrap="square" tIns="91425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lang="en-US" sz="1400"/>
            <a:t>saveSale</a:t>
          </a:r>
          <a:endParaRPr sz="1400"/>
        </a:p>
      </xdr:txBody>
    </xdr:sp>
    <xdr:clientData fLocksWithSheet="0"/>
  </xdr:oneCellAnchor>
  <xdr:oneCellAnchor>
    <xdr:from>
      <xdr:col>3</xdr:col>
      <xdr:colOff>1438275</xdr:colOff>
      <xdr:row>0</xdr:row>
      <xdr:rowOff>0</xdr:rowOff>
    </xdr:from>
    <xdr:ext cx="5695950" cy="771525"/>
    <xdr:sp>
      <xdr:nvSpPr>
        <xdr:cNvPr id="4" name="Shape 4"/>
        <xdr:cNvSpPr txBox="1"/>
      </xdr:nvSpPr>
      <xdr:spPr>
        <a:xfrm>
          <a:off x="0" y="0"/>
          <a:ext cx="3000000" cy="400200"/>
        </a:xfrm>
        <a:prstGeom prst="rect">
          <a:avLst/>
        </a:prstGeom>
        <a:noFill/>
        <a:ln>
          <a:noFill/>
        </a:ln>
      </xdr:spPr>
      <xdr:txBody>
        <a:bodyPr anchorCtr="0" anchor="t" bIns="91425" lIns="91425" spcFirstLastPara="1" rIns="91425" wrap="square" tIns="91425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lang="en-US" sz="1400"/>
            <a:t>savePurchase</a:t>
          </a:r>
          <a:endParaRPr sz="1400"/>
        </a:p>
      </xdr:txBody>
    </xdr:sp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6</xdr:col>
      <xdr:colOff>0</xdr:colOff>
      <xdr:row>0</xdr:row>
      <xdr:rowOff>0</xdr:rowOff>
    </xdr:from>
    <xdr:ext cx="685800" cy="333375"/>
    <xdr:pic>
      <xdr:nvPicPr>
        <xdr:cNvPr id="0" name="image1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P500" displayName="جدول" name="جدول" id="1">
  <autoFilter ref="$A$1:$P$500">
    <filterColumn colId="2">
      <filters>
        <filter val="حسين سعد"/>
      </filters>
    </filterColumn>
  </autoFilter>
  <tableColumns count="16">
    <tableColumn name="التاريخ" id="1"/>
    <tableColumn name="اليوم" id="2"/>
    <tableColumn name="اسم الموظف" id="3"/>
    <tableColumn name="الراتب الاسمي" id="4"/>
    <tableColumn name="وقت الدخول" id="5"/>
    <tableColumn name="وقت الخروج" id="6"/>
    <tableColumn name="سعر الساعة" id="7"/>
    <tableColumn name="ساعات عادية" id="8"/>
    <tableColumn name="ساعات إضافية 1.5x" id="9"/>
    <tableColumn name="ساعات الجمعة 2x" id="10"/>
    <tableColumn name="الراتب اليومي" id="11"/>
    <tableColumn name="المكافآت" id="12"/>
    <tableColumn name="السلف" id="13"/>
    <tableColumn name="الغرامات" id="14"/>
    <tableColumn name="الرقم النهائي" id="15"/>
    <tableColumn name="الملاحظات" id="16"/>
  </tableColumns>
  <tableStyleInfo name="نسخة من حضور الموضفين-style" showColumnStripes="0" showFirstColumn="1" showLastColumn="1" showRowStripes="1"/>
</table>
</file>

<file path=xl/tables/table2.xml><?xml version="1.0" encoding="utf-8"?>
<table xmlns="http://schemas.openxmlformats.org/spreadsheetml/2006/main" ref="A2:M908" displayName="جدول_5" name="جدول_5" id="2">
  <tableColumns count="13">
    <tableColumn name="رقم الوصل" id="1"/>
    <tableColumn name="التاريخ" id="2"/>
    <tableColumn name="النوع" id="3"/>
    <tableColumn name="الاسم" id="4"/>
    <tableColumn name="الوصف / البند" id="5"/>
    <tableColumn name="الكمية" id="6"/>
    <tableColumn name="المجموع" id="7"/>
    <tableColumn name="الخصم" id="8"/>
    <tableColumn name="الاجمالي" id="9"/>
    <tableColumn name="المستلم" id="10"/>
    <tableColumn name="المتبقي " id="11"/>
    <tableColumn name="الملاحظات" id="12"/>
    <tableColumn name="Column 13" id="13"/>
  </tableColumns>
  <tableStyleInfo name="Income-style" showColumnStripes="0" showFirstColumn="1" showLastColumn="1" showRowStripes="1"/>
</table>
</file>

<file path=xl/tables/table3.xml><?xml version="1.0" encoding="utf-8"?>
<table xmlns="http://schemas.openxmlformats.org/spreadsheetml/2006/main" ref="A1:L12" displayName="جدول_4" name="جدول_4" id="3">
  <tableColumns count="12">
    <tableColumn name="رقم الوصل" id="1"/>
    <tableColumn name="التاريخ" id="2"/>
    <tableColumn name="النوع" id="3"/>
    <tableColumn name="الاسم" id="4"/>
    <tableColumn name="الوصف / البند" id="5"/>
    <tableColumn name=" الكمية" id="6"/>
    <tableColumn name="المجموع" id="7"/>
    <tableColumn name="الخصم" id="8"/>
    <tableColumn name="الاجمالي" id="9"/>
    <tableColumn name="المستلم / المدفوع" id="10"/>
    <tableColumn name="المتبقي " id="11"/>
    <tableColumn name="الملاحظات" id="12"/>
  </tableColumns>
  <tableStyleInfo name="Archive-style" showColumnStripes="0" showFirstColumn="1" showLastColumn="1" showRowStripes="1"/>
</table>
</file>

<file path=xl/tables/table4.xml><?xml version="1.0" encoding="utf-8"?>
<table xmlns="http://schemas.openxmlformats.org/spreadsheetml/2006/main" ref="A2:N1430" displayName="جدول_6" name="جدول_6" id="4">
  <tableColumns count="14">
    <tableColumn name="رقم الوصل" id="1"/>
    <tableColumn name="التاريخ" id="2"/>
    <tableColumn name="النوع" id="3"/>
    <tableColumn name="الاسم" id="4"/>
    <tableColumn name="الوصف / البند" id="5"/>
    <tableColumn name="الكية" id="6"/>
    <tableColumn name="المجموع" id="7"/>
    <tableColumn name="الخصم" id="8"/>
    <tableColumn name="الاجمالي" id="9"/>
    <tableColumn name="المدفوع" id="10"/>
    <tableColumn name="المتبقي " id="11"/>
    <tableColumn name="الملاحظات" id="12"/>
    <tableColumn name="Column 13" id="13"/>
    <tableColumn name="Column 14" id="14"/>
  </tableColumns>
  <tableStyleInfo name="Expense-style" showColumnStripes="0" showFirstColumn="1" showLastColumn="1" showRowStripes="1"/>
</table>
</file>

<file path=xl/tables/table5.xml><?xml version="1.0" encoding="utf-8"?>
<table xmlns="http://schemas.openxmlformats.org/spreadsheetml/2006/main" headerRowCount="0" ref="B4:C49" displayName="Table_1" name="Table_1" id="5">
  <tableColumns count="2">
    <tableColumn name="Column1" id="1"/>
    <tableColumn name="Column2" id="2"/>
  </tableColumns>
  <tableStyleInfo name="سلف الموضفين-style" showColumnStripes="0" showFirstColumn="1" showLastColumn="1" showRowStripes="1"/>
</table>
</file>

<file path=xl/tables/table6.xml><?xml version="1.0" encoding="utf-8"?>
<table xmlns="http://schemas.openxmlformats.org/spreadsheetml/2006/main" headerRowCount="0" ref="D4:D49" displayName="Table_2" name="Table_2" id="6">
  <tableColumns count="1">
    <tableColumn name="Column1" id="1"/>
  </tableColumns>
  <tableStyleInfo name="سلف الموضفين-style 2" showColumnStripes="0" showFirstColumn="1" showLastColumn="1" showRowStripes="1"/>
</table>
</file>

<file path=xl/tables/table7.xml><?xml version="1.0" encoding="utf-8"?>
<table xmlns="http://schemas.openxmlformats.org/spreadsheetml/2006/main" headerRowCount="0" ref="B3:C86" displayName="Table_3" name="Table_3" id="7">
  <tableColumns count="2">
    <tableColumn name="Column1" id="1"/>
    <tableColumn name="Column2" id="2"/>
  </tableColumns>
  <tableStyleInfo name="القروض و التسديد-style" showColumnStripes="0" showFirstColumn="1" showLastColumn="1" showRowStripes="1"/>
</table>
</file>

<file path=xl/tables/table8.xml><?xml version="1.0" encoding="utf-8"?>
<table xmlns="http://schemas.openxmlformats.org/spreadsheetml/2006/main" headerRowCount="0" ref="D3:D86" displayName="Table_4" name="Table_4" id="8">
  <tableColumns count="1">
    <tableColumn name="Column1" id="1"/>
  </tableColumns>
  <tableStyleInfo name="القروض و التسديد-style 2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3" Type="http://schemas.openxmlformats.org/officeDocument/2006/relationships/table" Target="../tables/table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Relationship Id="rId3" Type="http://schemas.openxmlformats.org/officeDocument/2006/relationships/table" Target="../tables/table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Relationship Id="rId3" Type="http://schemas.openxmlformats.org/officeDocument/2006/relationships/table" Target="../tables/table4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Relationship Id="rId4" Type="http://schemas.openxmlformats.org/officeDocument/2006/relationships/table" Target="../tables/table5.xml"/><Relationship Id="rId5" Type="http://schemas.openxmlformats.org/officeDocument/2006/relationships/table" Target="../tables/table6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Relationship Id="rId4" Type="http://schemas.openxmlformats.org/officeDocument/2006/relationships/table" Target="../tables/table7.xml"/><Relationship Id="rId5" Type="http://schemas.openxmlformats.org/officeDocument/2006/relationships/table" Target="../tables/table8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23.29"/>
    <col customWidth="1" min="2" max="2" width="12.86"/>
    <col customWidth="1" min="3" max="3" width="18.29"/>
    <col customWidth="1" min="4" max="4" width="15.43"/>
    <col customWidth="1" min="5" max="5" width="20.14"/>
    <col customWidth="1" min="6" max="6" width="20.43"/>
    <col customWidth="1" min="7" max="7" width="14.29"/>
    <col customWidth="1" min="8" max="8" width="15.14"/>
    <col customWidth="1" min="9" max="9" width="12.86"/>
    <col customWidth="1" min="10" max="10" width="14.43"/>
    <col customWidth="1" min="11" max="11" width="13.0"/>
    <col customWidth="1" min="12" max="12" width="14.14"/>
    <col customWidth="1" min="13" max="13" width="14.29"/>
    <col customWidth="1" min="14" max="14" width="12.57"/>
    <col customWidth="1" min="15" max="15" width="17.0"/>
    <col customWidth="1" min="16" max="16" width="64.57"/>
  </cols>
  <sheetData>
    <row r="1" ht="42.75" customHeight="1">
      <c r="A1" s="1" t="s">
        <v>0</v>
      </c>
      <c r="B1" s="2" t="s">
        <v>1</v>
      </c>
      <c r="C1" s="2" t="s">
        <v>2</v>
      </c>
      <c r="D1" s="2" t="s">
        <v>3</v>
      </c>
      <c r="E1" s="3" t="s">
        <v>4</v>
      </c>
      <c r="F1" s="3" t="s">
        <v>5</v>
      </c>
      <c r="G1" s="4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5" t="s">
        <v>14</v>
      </c>
      <c r="P1" s="6" t="s">
        <v>15</v>
      </c>
    </row>
    <row r="2" ht="30.0" hidden="1" customHeight="1">
      <c r="A2" s="7">
        <v>45901.0</v>
      </c>
      <c r="B2" s="8" t="str">
        <f t="shared" ref="B2:B332" si="1">CHOOSE(WEEKDAY(A2,2),"الاثنين","الثلاثاء","الأربعاء","الخميس","الجمعة","السبت","الأحد")</f>
        <v>الاثنين</v>
      </c>
      <c r="C2" s="9" t="s">
        <v>16</v>
      </c>
      <c r="D2" s="10">
        <v>650000.0</v>
      </c>
      <c r="E2" s="11">
        <v>0.44305555555555554</v>
      </c>
      <c r="F2" s="11">
        <v>0.875</v>
      </c>
      <c r="G2" s="12">
        <f t="shared" ref="G2:G331" si="2">D2/235</f>
        <v>2765.957447</v>
      </c>
      <c r="H2" s="13">
        <f t="shared" ref="H2:H13" si="3">MIN(9,MAX(0,(MIN(F2,TIME(18,0,0))-MAX(E2,TIME(9,0,0)))*24))</f>
        <v>7.366666667</v>
      </c>
      <c r="I2" s="13">
        <f t="shared" ref="I2:I5" si="4">MAX(0,(MOD(F2-E2,1)*24)-H2)</f>
        <v>3</v>
      </c>
      <c r="J2" s="13">
        <f t="shared" ref="J2:J331" si="5">IF(B2="الجمعة",MOD(F2-E2,1)*24,0)</f>
        <v>0</v>
      </c>
      <c r="K2" s="14">
        <f t="shared" ref="K2:K5" si="6">(H2*G2)+(I2*G2*1.5)+(J2*G2*2)</f>
        <v>32822.69504</v>
      </c>
      <c r="L2" s="14"/>
      <c r="M2" s="15">
        <v>240000.0</v>
      </c>
      <c r="N2" s="14">
        <f t="shared" ref="N2:N150" si="7">IF(B2="الجمعة",0,IF(E2&gt;TIME(9,0,0),(E2-TIME(9,0,0))*24*60*(G2/60),0))</f>
        <v>4517.730496</v>
      </c>
      <c r="O2" s="16">
        <f t="shared" ref="O2:O331" si="8">K2+L2-M2-N2</f>
        <v>-211695.0355</v>
      </c>
      <c r="P2" s="17"/>
    </row>
    <row r="3" ht="30.0" hidden="1" customHeight="1">
      <c r="A3" s="18">
        <v>45902.0</v>
      </c>
      <c r="B3" s="19" t="str">
        <f t="shared" si="1"/>
        <v>الثلاثاء</v>
      </c>
      <c r="C3" s="20" t="s">
        <v>16</v>
      </c>
      <c r="D3" s="21">
        <v>650000.0</v>
      </c>
      <c r="E3" s="22">
        <v>0.29791666666666666</v>
      </c>
      <c r="F3" s="22">
        <v>0.875</v>
      </c>
      <c r="G3" s="23">
        <f t="shared" si="2"/>
        <v>2765.957447</v>
      </c>
      <c r="H3" s="24">
        <f t="shared" si="3"/>
        <v>9</v>
      </c>
      <c r="I3" s="24">
        <f t="shared" si="4"/>
        <v>4.85</v>
      </c>
      <c r="J3" s="24">
        <f t="shared" si="5"/>
        <v>0</v>
      </c>
      <c r="K3" s="25">
        <f t="shared" si="6"/>
        <v>45015.95745</v>
      </c>
      <c r="L3" s="25"/>
      <c r="M3" s="25"/>
      <c r="N3" s="25">
        <f t="shared" si="7"/>
        <v>0</v>
      </c>
      <c r="O3" s="26">
        <f t="shared" si="8"/>
        <v>45015.95745</v>
      </c>
      <c r="P3" s="27"/>
    </row>
    <row r="4" ht="30.0" hidden="1" customHeight="1">
      <c r="A4" s="18">
        <v>45903.0</v>
      </c>
      <c r="B4" s="19" t="str">
        <f t="shared" si="1"/>
        <v>الأربعاء</v>
      </c>
      <c r="C4" s="20" t="s">
        <v>16</v>
      </c>
      <c r="D4" s="21">
        <v>650000.0</v>
      </c>
      <c r="E4" s="22">
        <v>0.4263888888888889</v>
      </c>
      <c r="F4" s="22">
        <v>0.8534722222222222</v>
      </c>
      <c r="G4" s="23">
        <f t="shared" si="2"/>
        <v>2765.957447</v>
      </c>
      <c r="H4" s="24">
        <f t="shared" si="3"/>
        <v>7.766666667</v>
      </c>
      <c r="I4" s="24">
        <f t="shared" si="4"/>
        <v>2.483333333</v>
      </c>
      <c r="J4" s="24">
        <f t="shared" si="5"/>
        <v>0</v>
      </c>
      <c r="K4" s="25">
        <f t="shared" si="6"/>
        <v>31785.46099</v>
      </c>
      <c r="L4" s="25"/>
      <c r="M4" s="25"/>
      <c r="N4" s="25">
        <f t="shared" si="7"/>
        <v>3411.347518</v>
      </c>
      <c r="O4" s="26">
        <f t="shared" si="8"/>
        <v>28374.11348</v>
      </c>
      <c r="P4" s="27"/>
    </row>
    <row r="5" ht="30.0" hidden="1" customHeight="1">
      <c r="A5" s="18">
        <v>45904.0</v>
      </c>
      <c r="B5" s="19" t="str">
        <f t="shared" si="1"/>
        <v>الخميس</v>
      </c>
      <c r="C5" s="20" t="s">
        <v>16</v>
      </c>
      <c r="D5" s="21">
        <v>650000.0</v>
      </c>
      <c r="E5" s="22">
        <v>0.375</v>
      </c>
      <c r="F5" s="22">
        <v>0.9993055555555556</v>
      </c>
      <c r="G5" s="23">
        <f t="shared" si="2"/>
        <v>2765.957447</v>
      </c>
      <c r="H5" s="24">
        <f t="shared" si="3"/>
        <v>9</v>
      </c>
      <c r="I5" s="24">
        <f t="shared" si="4"/>
        <v>5.983333333</v>
      </c>
      <c r="J5" s="24">
        <f t="shared" si="5"/>
        <v>0</v>
      </c>
      <c r="K5" s="25">
        <f t="shared" si="6"/>
        <v>49718.08511</v>
      </c>
      <c r="L5" s="25"/>
      <c r="M5" s="25"/>
      <c r="N5" s="25">
        <f t="shared" si="7"/>
        <v>0</v>
      </c>
      <c r="O5" s="26">
        <f t="shared" si="8"/>
        <v>49718.08511</v>
      </c>
      <c r="P5" s="27"/>
    </row>
    <row r="6" ht="30.0" hidden="1" customHeight="1">
      <c r="A6" s="18">
        <v>45905.0</v>
      </c>
      <c r="B6" s="19" t="str">
        <f t="shared" si="1"/>
        <v>الجمعة</v>
      </c>
      <c r="C6" s="20" t="s">
        <v>16</v>
      </c>
      <c r="D6" s="21">
        <v>650000.0</v>
      </c>
      <c r="E6" s="22">
        <v>0.4166666666666667</v>
      </c>
      <c r="F6" s="22">
        <v>0.9583333333333334</v>
      </c>
      <c r="G6" s="23">
        <f t="shared" si="2"/>
        <v>2765.957447</v>
      </c>
      <c r="H6" s="24">
        <f t="shared" si="3"/>
        <v>8</v>
      </c>
      <c r="I6" s="28">
        <v>0.0</v>
      </c>
      <c r="J6" s="24">
        <f t="shared" si="5"/>
        <v>13</v>
      </c>
      <c r="K6" s="25">
        <f>(J6*G6*2)</f>
        <v>71914.89362</v>
      </c>
      <c r="L6" s="25"/>
      <c r="M6" s="25"/>
      <c r="N6" s="25">
        <f t="shared" si="7"/>
        <v>0</v>
      </c>
      <c r="O6" s="26">
        <f t="shared" si="8"/>
        <v>71914.89362</v>
      </c>
      <c r="P6" s="27"/>
    </row>
    <row r="7" ht="30.0" hidden="1" customHeight="1">
      <c r="A7" s="18">
        <v>45906.0</v>
      </c>
      <c r="B7" s="19" t="str">
        <f t="shared" si="1"/>
        <v>السبت</v>
      </c>
      <c r="C7" s="20" t="s">
        <v>16</v>
      </c>
      <c r="D7" s="21">
        <v>650000.0</v>
      </c>
      <c r="E7" s="22">
        <v>0.40208333333333335</v>
      </c>
      <c r="F7" s="22">
        <v>0.8979166666666667</v>
      </c>
      <c r="G7" s="23">
        <f t="shared" si="2"/>
        <v>2765.957447</v>
      </c>
      <c r="H7" s="24">
        <f t="shared" si="3"/>
        <v>8.35</v>
      </c>
      <c r="I7" s="24">
        <f t="shared" ref="I7:I12" si="9">MAX(0,(MOD(F7-E7,1)*24)-H7)</f>
        <v>3.55</v>
      </c>
      <c r="J7" s="24">
        <f t="shared" si="5"/>
        <v>0</v>
      </c>
      <c r="K7" s="25">
        <f t="shared" ref="K7:K12" si="10">(H7*G7)+(I7*G7*1.5)+(J7*G7*2)</f>
        <v>37824.46809</v>
      </c>
      <c r="L7" s="25"/>
      <c r="M7" s="25"/>
      <c r="N7" s="25">
        <f t="shared" si="7"/>
        <v>1797.87234</v>
      </c>
      <c r="O7" s="26">
        <f t="shared" si="8"/>
        <v>36026.59574</v>
      </c>
      <c r="P7" s="27"/>
    </row>
    <row r="8" ht="30.0" hidden="1" customHeight="1">
      <c r="A8" s="18">
        <v>45907.0</v>
      </c>
      <c r="B8" s="19" t="str">
        <f t="shared" si="1"/>
        <v>الأحد</v>
      </c>
      <c r="C8" s="20" t="s">
        <v>16</v>
      </c>
      <c r="D8" s="21">
        <v>650000.0</v>
      </c>
      <c r="E8" s="22">
        <v>0.375</v>
      </c>
      <c r="F8" s="22">
        <v>0.9993055555555556</v>
      </c>
      <c r="G8" s="23">
        <f t="shared" si="2"/>
        <v>2765.957447</v>
      </c>
      <c r="H8" s="24">
        <f t="shared" si="3"/>
        <v>9</v>
      </c>
      <c r="I8" s="24">
        <f t="shared" si="9"/>
        <v>5.983333333</v>
      </c>
      <c r="J8" s="24">
        <f t="shared" si="5"/>
        <v>0</v>
      </c>
      <c r="K8" s="25">
        <f t="shared" si="10"/>
        <v>49718.08511</v>
      </c>
      <c r="L8" s="25"/>
      <c r="M8" s="25"/>
      <c r="N8" s="25">
        <f t="shared" si="7"/>
        <v>0</v>
      </c>
      <c r="O8" s="26">
        <f t="shared" si="8"/>
        <v>49718.08511</v>
      </c>
      <c r="P8" s="27"/>
    </row>
    <row r="9" ht="30.0" hidden="1" customHeight="1">
      <c r="A9" s="18">
        <v>45908.0</v>
      </c>
      <c r="B9" s="19" t="str">
        <f t="shared" si="1"/>
        <v>الاثنين</v>
      </c>
      <c r="C9" s="20" t="s">
        <v>16</v>
      </c>
      <c r="D9" s="21">
        <v>650000.0</v>
      </c>
      <c r="E9" s="22">
        <v>0.375</v>
      </c>
      <c r="F9" s="22">
        <v>0.9993055555555556</v>
      </c>
      <c r="G9" s="23">
        <f t="shared" si="2"/>
        <v>2765.957447</v>
      </c>
      <c r="H9" s="24">
        <f t="shared" si="3"/>
        <v>9</v>
      </c>
      <c r="I9" s="24">
        <f t="shared" si="9"/>
        <v>5.983333333</v>
      </c>
      <c r="J9" s="24">
        <f t="shared" si="5"/>
        <v>0</v>
      </c>
      <c r="K9" s="25">
        <f t="shared" si="10"/>
        <v>49718.08511</v>
      </c>
      <c r="L9" s="25"/>
      <c r="M9" s="25"/>
      <c r="N9" s="25">
        <f t="shared" si="7"/>
        <v>0</v>
      </c>
      <c r="O9" s="26">
        <f t="shared" si="8"/>
        <v>49718.08511</v>
      </c>
      <c r="P9" s="27"/>
    </row>
    <row r="10" ht="30.0" hidden="1" customHeight="1">
      <c r="A10" s="18">
        <v>45909.0</v>
      </c>
      <c r="B10" s="19" t="str">
        <f t="shared" si="1"/>
        <v>الثلاثاء</v>
      </c>
      <c r="C10" s="20" t="s">
        <v>16</v>
      </c>
      <c r="D10" s="21">
        <v>650000.0</v>
      </c>
      <c r="E10" s="22">
        <v>0.375</v>
      </c>
      <c r="F10" s="22">
        <v>0.9993055555555556</v>
      </c>
      <c r="G10" s="23">
        <f t="shared" si="2"/>
        <v>2765.957447</v>
      </c>
      <c r="H10" s="24">
        <f t="shared" si="3"/>
        <v>9</v>
      </c>
      <c r="I10" s="24">
        <f t="shared" si="9"/>
        <v>5.983333333</v>
      </c>
      <c r="J10" s="24">
        <f t="shared" si="5"/>
        <v>0</v>
      </c>
      <c r="K10" s="25">
        <f t="shared" si="10"/>
        <v>49718.08511</v>
      </c>
      <c r="L10" s="25"/>
      <c r="M10" s="25"/>
      <c r="N10" s="25">
        <f t="shared" si="7"/>
        <v>0</v>
      </c>
      <c r="O10" s="26">
        <f t="shared" si="8"/>
        <v>49718.08511</v>
      </c>
      <c r="P10" s="27"/>
    </row>
    <row r="11" ht="30.0" hidden="1" customHeight="1">
      <c r="A11" s="18">
        <v>45910.0</v>
      </c>
      <c r="B11" s="19" t="str">
        <f t="shared" si="1"/>
        <v>الأربعاء</v>
      </c>
      <c r="C11" s="20" t="s">
        <v>16</v>
      </c>
      <c r="D11" s="21">
        <v>650000.0</v>
      </c>
      <c r="E11" s="29">
        <v>0.375</v>
      </c>
      <c r="F11" s="22">
        <v>0.9993055555532919</v>
      </c>
      <c r="G11" s="23">
        <f t="shared" si="2"/>
        <v>2765.957447</v>
      </c>
      <c r="H11" s="24">
        <f t="shared" si="3"/>
        <v>9</v>
      </c>
      <c r="I11" s="24">
        <f t="shared" si="9"/>
        <v>5.983333333</v>
      </c>
      <c r="J11" s="24">
        <f t="shared" si="5"/>
        <v>0</v>
      </c>
      <c r="K11" s="25">
        <f t="shared" si="10"/>
        <v>49718.08511</v>
      </c>
      <c r="L11" s="25"/>
      <c r="M11" s="25"/>
      <c r="N11" s="25">
        <f t="shared" si="7"/>
        <v>0</v>
      </c>
      <c r="O11" s="26">
        <f t="shared" si="8"/>
        <v>49718.08511</v>
      </c>
      <c r="P11" s="27"/>
    </row>
    <row r="12" ht="30.0" hidden="1" customHeight="1">
      <c r="A12" s="18">
        <v>45911.0</v>
      </c>
      <c r="B12" s="19" t="str">
        <f t="shared" si="1"/>
        <v>الخميس</v>
      </c>
      <c r="C12" s="20" t="s">
        <v>16</v>
      </c>
      <c r="D12" s="21">
        <v>650000.0</v>
      </c>
      <c r="E12" s="29">
        <v>0.375</v>
      </c>
      <c r="F12" s="22">
        <v>0.9993055555532919</v>
      </c>
      <c r="G12" s="23">
        <f t="shared" si="2"/>
        <v>2765.957447</v>
      </c>
      <c r="H12" s="24">
        <f t="shared" si="3"/>
        <v>9</v>
      </c>
      <c r="I12" s="24">
        <f t="shared" si="9"/>
        <v>5.983333333</v>
      </c>
      <c r="J12" s="24">
        <f t="shared" si="5"/>
        <v>0</v>
      </c>
      <c r="K12" s="25">
        <f t="shared" si="10"/>
        <v>49718.08511</v>
      </c>
      <c r="L12" s="25"/>
      <c r="M12" s="25"/>
      <c r="N12" s="25">
        <f t="shared" si="7"/>
        <v>0</v>
      </c>
      <c r="O12" s="26">
        <f t="shared" si="8"/>
        <v>49718.08511</v>
      </c>
      <c r="P12" s="27"/>
    </row>
    <row r="13" ht="30.0" hidden="1" customHeight="1">
      <c r="A13" s="18">
        <v>45912.0</v>
      </c>
      <c r="B13" s="19" t="str">
        <f t="shared" si="1"/>
        <v>الجمعة</v>
      </c>
      <c r="C13" s="20" t="s">
        <v>16</v>
      </c>
      <c r="D13" s="21">
        <v>650000.0</v>
      </c>
      <c r="E13" s="30">
        <v>0.0</v>
      </c>
      <c r="F13" s="22">
        <v>0.75</v>
      </c>
      <c r="G13" s="23">
        <f t="shared" si="2"/>
        <v>2765.957447</v>
      </c>
      <c r="H13" s="24">
        <f t="shared" si="3"/>
        <v>9</v>
      </c>
      <c r="I13" s="28">
        <v>0.0</v>
      </c>
      <c r="J13" s="24">
        <f t="shared" si="5"/>
        <v>18</v>
      </c>
      <c r="K13" s="25">
        <f>(J13*G13*2)</f>
        <v>99574.46809</v>
      </c>
      <c r="L13" s="25"/>
      <c r="M13" s="25"/>
      <c r="N13" s="25">
        <f t="shared" si="7"/>
        <v>0</v>
      </c>
      <c r="O13" s="26">
        <f t="shared" si="8"/>
        <v>99574.46809</v>
      </c>
      <c r="P13" s="27"/>
    </row>
    <row r="14" ht="30.0" hidden="1" customHeight="1">
      <c r="A14" s="18">
        <v>45913.0</v>
      </c>
      <c r="B14" s="19" t="str">
        <f t="shared" si="1"/>
        <v>السبت</v>
      </c>
      <c r="C14" s="20" t="s">
        <v>16</v>
      </c>
      <c r="D14" s="21"/>
      <c r="E14" s="22"/>
      <c r="F14" s="22"/>
      <c r="G14" s="23">
        <f t="shared" si="2"/>
        <v>0</v>
      </c>
      <c r="H14" s="28">
        <v>0.0</v>
      </c>
      <c r="I14" s="24">
        <f t="shared" ref="I14:I19" si="11">MAX(0,(MOD(F14-E14,1)*24)-H14)</f>
        <v>0</v>
      </c>
      <c r="J14" s="24">
        <f t="shared" si="5"/>
        <v>0</v>
      </c>
      <c r="K14" s="25">
        <f t="shared" ref="K14:K19" si="12">(H14*G14)+(I14*G14*1.5)+(J14*G14*2)</f>
        <v>0</v>
      </c>
      <c r="L14" s="25"/>
      <c r="M14" s="25"/>
      <c r="N14" s="25">
        <f t="shared" si="7"/>
        <v>0</v>
      </c>
      <c r="O14" s="26">
        <f t="shared" si="8"/>
        <v>0</v>
      </c>
      <c r="P14" s="27"/>
    </row>
    <row r="15" ht="30.0" hidden="1" customHeight="1">
      <c r="A15" s="18">
        <v>45914.0</v>
      </c>
      <c r="B15" s="19" t="str">
        <f t="shared" si="1"/>
        <v>الأحد</v>
      </c>
      <c r="C15" s="20" t="s">
        <v>16</v>
      </c>
      <c r="D15" s="21">
        <v>650000.0</v>
      </c>
      <c r="E15" s="31">
        <v>0.3923611111111111</v>
      </c>
      <c r="F15" s="31">
        <v>0.7743055555555556</v>
      </c>
      <c r="G15" s="23">
        <f t="shared" si="2"/>
        <v>2765.957447</v>
      </c>
      <c r="H15" s="24">
        <f t="shared" ref="H15:H21" si="13">MIN(9,MAX(0,(MIN(F15,TIME(18,0,0))-MAX(E15,TIME(9,0,0)))*24))</f>
        <v>8.583333333</v>
      </c>
      <c r="I15" s="24">
        <f t="shared" si="11"/>
        <v>0.5833333333</v>
      </c>
      <c r="J15" s="24">
        <f t="shared" si="5"/>
        <v>0</v>
      </c>
      <c r="K15" s="25">
        <f t="shared" si="12"/>
        <v>26161.34752</v>
      </c>
      <c r="L15" s="25"/>
      <c r="M15" s="25"/>
      <c r="N15" s="25">
        <f t="shared" si="7"/>
        <v>1152.48227</v>
      </c>
      <c r="O15" s="26">
        <f t="shared" si="8"/>
        <v>25008.86525</v>
      </c>
      <c r="P15" s="27"/>
    </row>
    <row r="16" ht="30.0" hidden="1" customHeight="1">
      <c r="A16" s="18">
        <v>45915.0</v>
      </c>
      <c r="B16" s="19" t="str">
        <f t="shared" si="1"/>
        <v>الاثنين</v>
      </c>
      <c r="C16" s="20" t="s">
        <v>16</v>
      </c>
      <c r="D16" s="21">
        <v>650000.0</v>
      </c>
      <c r="E16" s="31">
        <v>0.4618055555555556</v>
      </c>
      <c r="F16" s="31">
        <v>0.83125</v>
      </c>
      <c r="G16" s="23">
        <f t="shared" si="2"/>
        <v>2765.957447</v>
      </c>
      <c r="H16" s="24">
        <f t="shared" si="13"/>
        <v>6.916666667</v>
      </c>
      <c r="I16" s="24">
        <f t="shared" si="11"/>
        <v>1.95</v>
      </c>
      <c r="J16" s="24">
        <f t="shared" si="5"/>
        <v>0</v>
      </c>
      <c r="K16" s="25">
        <f t="shared" si="12"/>
        <v>27221.63121</v>
      </c>
      <c r="L16" s="25"/>
      <c r="M16" s="25"/>
      <c r="N16" s="25">
        <f t="shared" si="7"/>
        <v>5762.411348</v>
      </c>
      <c r="O16" s="26">
        <f t="shared" si="8"/>
        <v>21459.21986</v>
      </c>
      <c r="P16" s="27"/>
    </row>
    <row r="17" ht="30.0" hidden="1" customHeight="1">
      <c r="A17" s="18">
        <v>45916.0</v>
      </c>
      <c r="B17" s="19" t="str">
        <f t="shared" si="1"/>
        <v>الثلاثاء</v>
      </c>
      <c r="C17" s="20" t="s">
        <v>16</v>
      </c>
      <c r="D17" s="21">
        <v>650000.0</v>
      </c>
      <c r="E17" s="31">
        <v>0.375</v>
      </c>
      <c r="F17" s="31">
        <v>0.875</v>
      </c>
      <c r="G17" s="23">
        <f t="shared" si="2"/>
        <v>2765.957447</v>
      </c>
      <c r="H17" s="24">
        <f t="shared" si="13"/>
        <v>9</v>
      </c>
      <c r="I17" s="24">
        <f t="shared" si="11"/>
        <v>3</v>
      </c>
      <c r="J17" s="24">
        <f t="shared" si="5"/>
        <v>0</v>
      </c>
      <c r="K17" s="25">
        <f t="shared" si="12"/>
        <v>37340.42553</v>
      </c>
      <c r="L17" s="25"/>
      <c r="M17" s="25"/>
      <c r="N17" s="25">
        <f t="shared" si="7"/>
        <v>0</v>
      </c>
      <c r="O17" s="26">
        <f t="shared" si="8"/>
        <v>37340.42553</v>
      </c>
      <c r="P17" s="27"/>
    </row>
    <row r="18" ht="30.0" hidden="1" customHeight="1">
      <c r="A18" s="18">
        <v>45917.0</v>
      </c>
      <c r="B18" s="19" t="str">
        <f t="shared" si="1"/>
        <v>الأربعاء</v>
      </c>
      <c r="C18" s="20" t="s">
        <v>16</v>
      </c>
      <c r="D18" s="21">
        <v>650000.0</v>
      </c>
      <c r="E18" s="31">
        <v>0.37222222222222223</v>
      </c>
      <c r="F18" s="31">
        <v>0.7854166666666667</v>
      </c>
      <c r="G18" s="23">
        <f t="shared" si="2"/>
        <v>2765.957447</v>
      </c>
      <c r="H18" s="24">
        <f t="shared" si="13"/>
        <v>9</v>
      </c>
      <c r="I18" s="24">
        <f t="shared" si="11"/>
        <v>0.9166666667</v>
      </c>
      <c r="J18" s="24">
        <f t="shared" si="5"/>
        <v>0</v>
      </c>
      <c r="K18" s="25">
        <f t="shared" si="12"/>
        <v>28696.80851</v>
      </c>
      <c r="L18" s="25"/>
      <c r="M18" s="25"/>
      <c r="N18" s="25">
        <f t="shared" si="7"/>
        <v>0</v>
      </c>
      <c r="O18" s="26">
        <f t="shared" si="8"/>
        <v>28696.80851</v>
      </c>
      <c r="P18" s="27"/>
    </row>
    <row r="19" ht="30.0" hidden="1" customHeight="1">
      <c r="A19" s="18">
        <v>45918.0</v>
      </c>
      <c r="B19" s="19" t="str">
        <f t="shared" si="1"/>
        <v>الخميس</v>
      </c>
      <c r="C19" s="20" t="s">
        <v>16</v>
      </c>
      <c r="D19" s="21">
        <v>650000.0</v>
      </c>
      <c r="E19" s="31">
        <v>0.4354166666666667</v>
      </c>
      <c r="F19" s="31">
        <v>0.9993055555555556</v>
      </c>
      <c r="G19" s="23">
        <f t="shared" si="2"/>
        <v>2765.957447</v>
      </c>
      <c r="H19" s="24">
        <f t="shared" si="13"/>
        <v>7.55</v>
      </c>
      <c r="I19" s="24">
        <f t="shared" si="11"/>
        <v>5.983333333</v>
      </c>
      <c r="J19" s="24">
        <f t="shared" si="5"/>
        <v>0</v>
      </c>
      <c r="K19" s="25">
        <f t="shared" si="12"/>
        <v>45707.44681</v>
      </c>
      <c r="L19" s="25"/>
      <c r="M19" s="25"/>
      <c r="N19" s="25">
        <f t="shared" si="7"/>
        <v>4010.638298</v>
      </c>
      <c r="O19" s="26">
        <f t="shared" si="8"/>
        <v>41696.80851</v>
      </c>
      <c r="P19" s="27"/>
    </row>
    <row r="20" ht="30.0" hidden="1" customHeight="1">
      <c r="A20" s="18">
        <v>45919.0</v>
      </c>
      <c r="B20" s="19" t="str">
        <f t="shared" si="1"/>
        <v>الجمعة</v>
      </c>
      <c r="C20" s="20" t="s">
        <v>16</v>
      </c>
      <c r="D20" s="21">
        <v>650000.0</v>
      </c>
      <c r="E20" s="31">
        <v>0.375</v>
      </c>
      <c r="F20" s="31">
        <v>0.5</v>
      </c>
      <c r="G20" s="23">
        <f t="shared" si="2"/>
        <v>2765.957447</v>
      </c>
      <c r="H20" s="24">
        <f t="shared" si="13"/>
        <v>3</v>
      </c>
      <c r="I20" s="28">
        <v>0.0</v>
      </c>
      <c r="J20" s="24">
        <f t="shared" si="5"/>
        <v>3</v>
      </c>
      <c r="K20" s="25">
        <f>(J20*G20*2)</f>
        <v>16595.74468</v>
      </c>
      <c r="L20" s="25"/>
      <c r="M20" s="25"/>
      <c r="N20" s="25">
        <f t="shared" si="7"/>
        <v>0</v>
      </c>
      <c r="O20" s="26">
        <f t="shared" si="8"/>
        <v>16595.74468</v>
      </c>
      <c r="P20" s="27"/>
    </row>
    <row r="21" ht="30.0" hidden="1" customHeight="1">
      <c r="A21" s="18">
        <v>45920.0</v>
      </c>
      <c r="B21" s="19" t="str">
        <f t="shared" si="1"/>
        <v>السبت</v>
      </c>
      <c r="C21" s="20" t="s">
        <v>16</v>
      </c>
      <c r="D21" s="21">
        <v>650000.0</v>
      </c>
      <c r="E21" s="31">
        <v>0.375</v>
      </c>
      <c r="F21" s="31">
        <v>0.625</v>
      </c>
      <c r="G21" s="23">
        <f t="shared" si="2"/>
        <v>2765.957447</v>
      </c>
      <c r="H21" s="24">
        <f t="shared" si="13"/>
        <v>6</v>
      </c>
      <c r="I21" s="24">
        <f t="shared" ref="I21:I26" si="14">MAX(0,(MOD(F21-E21,1)*24)-H21)</f>
        <v>0</v>
      </c>
      <c r="J21" s="24">
        <f t="shared" si="5"/>
        <v>0</v>
      </c>
      <c r="K21" s="25">
        <f t="shared" ref="K21:K26" si="15">(H21*G21)+(I21*G21*1.5)+(J21*G21*2)</f>
        <v>16595.74468</v>
      </c>
      <c r="L21" s="25"/>
      <c r="M21" s="25"/>
      <c r="N21" s="25">
        <f t="shared" si="7"/>
        <v>0</v>
      </c>
      <c r="O21" s="26">
        <f t="shared" si="8"/>
        <v>16595.74468</v>
      </c>
      <c r="P21" s="27"/>
    </row>
    <row r="22" ht="30.0" hidden="1" customHeight="1">
      <c r="A22" s="18">
        <v>45921.0</v>
      </c>
      <c r="B22" s="19" t="str">
        <f t="shared" si="1"/>
        <v>الأحد</v>
      </c>
      <c r="C22" s="20" t="s">
        <v>16</v>
      </c>
      <c r="D22" s="21"/>
      <c r="E22" s="22"/>
      <c r="F22" s="22"/>
      <c r="G22" s="23">
        <f t="shared" si="2"/>
        <v>0</v>
      </c>
      <c r="H22" s="28">
        <v>0.0</v>
      </c>
      <c r="I22" s="24">
        <f t="shared" si="14"/>
        <v>0</v>
      </c>
      <c r="J22" s="24">
        <f t="shared" si="5"/>
        <v>0</v>
      </c>
      <c r="K22" s="25">
        <f t="shared" si="15"/>
        <v>0</v>
      </c>
      <c r="L22" s="25"/>
      <c r="M22" s="25"/>
      <c r="N22" s="25">
        <f t="shared" si="7"/>
        <v>0</v>
      </c>
      <c r="O22" s="26">
        <f t="shared" si="8"/>
        <v>0</v>
      </c>
      <c r="P22" s="27"/>
    </row>
    <row r="23" ht="30.0" hidden="1" customHeight="1">
      <c r="A23" s="18">
        <v>45922.0</v>
      </c>
      <c r="B23" s="19" t="str">
        <f t="shared" si="1"/>
        <v>الاثنين</v>
      </c>
      <c r="C23" s="20" t="s">
        <v>16</v>
      </c>
      <c r="D23" s="21">
        <v>650000.0</v>
      </c>
      <c r="E23" s="31">
        <v>0.5319444444444444</v>
      </c>
      <c r="F23" s="31">
        <v>0.8333333333333334</v>
      </c>
      <c r="G23" s="23">
        <f t="shared" si="2"/>
        <v>2765.957447</v>
      </c>
      <c r="H23" s="24">
        <f t="shared" ref="H23:H26" si="16">MIN(9,MAX(0,(MIN(F23,TIME(18,0,0))-MAX(E23,TIME(9,0,0)))*24))</f>
        <v>5.233333333</v>
      </c>
      <c r="I23" s="24">
        <f t="shared" si="14"/>
        <v>2</v>
      </c>
      <c r="J23" s="24">
        <f t="shared" si="5"/>
        <v>0</v>
      </c>
      <c r="K23" s="25">
        <f t="shared" si="15"/>
        <v>22773.04965</v>
      </c>
      <c r="L23" s="25"/>
      <c r="M23" s="25"/>
      <c r="N23" s="25">
        <f t="shared" si="7"/>
        <v>10418.43972</v>
      </c>
      <c r="O23" s="26">
        <f t="shared" si="8"/>
        <v>12354.60993</v>
      </c>
      <c r="P23" s="27"/>
    </row>
    <row r="24" ht="30.0" hidden="1" customHeight="1">
      <c r="A24" s="18">
        <v>45923.0</v>
      </c>
      <c r="B24" s="19" t="str">
        <f t="shared" si="1"/>
        <v>الثلاثاء</v>
      </c>
      <c r="C24" s="20" t="s">
        <v>16</v>
      </c>
      <c r="D24" s="21">
        <v>650000.0</v>
      </c>
      <c r="E24" s="31">
        <v>0.375</v>
      </c>
      <c r="F24" s="31">
        <v>0.75</v>
      </c>
      <c r="G24" s="23">
        <f t="shared" si="2"/>
        <v>2765.957447</v>
      </c>
      <c r="H24" s="24">
        <f t="shared" si="16"/>
        <v>9</v>
      </c>
      <c r="I24" s="24">
        <f t="shared" si="14"/>
        <v>0</v>
      </c>
      <c r="J24" s="24">
        <f t="shared" si="5"/>
        <v>0</v>
      </c>
      <c r="K24" s="25">
        <f t="shared" si="15"/>
        <v>24893.61702</v>
      </c>
      <c r="L24" s="25"/>
      <c r="M24" s="25"/>
      <c r="N24" s="25">
        <f t="shared" si="7"/>
        <v>0</v>
      </c>
      <c r="O24" s="26">
        <f t="shared" si="8"/>
        <v>24893.61702</v>
      </c>
      <c r="P24" s="27"/>
    </row>
    <row r="25" ht="30.0" hidden="1" customHeight="1">
      <c r="A25" s="18">
        <v>45924.0</v>
      </c>
      <c r="B25" s="19" t="str">
        <f t="shared" si="1"/>
        <v>الأربعاء</v>
      </c>
      <c r="C25" s="20" t="s">
        <v>16</v>
      </c>
      <c r="D25" s="21">
        <v>650000.0</v>
      </c>
      <c r="E25" s="31">
        <v>0.375</v>
      </c>
      <c r="F25" s="31">
        <v>0.75</v>
      </c>
      <c r="G25" s="23">
        <f t="shared" si="2"/>
        <v>2765.957447</v>
      </c>
      <c r="H25" s="24">
        <f t="shared" si="16"/>
        <v>9</v>
      </c>
      <c r="I25" s="24">
        <f t="shared" si="14"/>
        <v>0</v>
      </c>
      <c r="J25" s="24">
        <f t="shared" si="5"/>
        <v>0</v>
      </c>
      <c r="K25" s="25">
        <f t="shared" si="15"/>
        <v>24893.61702</v>
      </c>
      <c r="L25" s="25"/>
      <c r="M25" s="25"/>
      <c r="N25" s="25">
        <f t="shared" si="7"/>
        <v>0</v>
      </c>
      <c r="O25" s="26">
        <f t="shared" si="8"/>
        <v>24893.61702</v>
      </c>
      <c r="P25" s="27"/>
    </row>
    <row r="26" ht="30.0" hidden="1" customHeight="1">
      <c r="A26" s="18">
        <v>45925.0</v>
      </c>
      <c r="B26" s="19" t="str">
        <f t="shared" si="1"/>
        <v>الخميس</v>
      </c>
      <c r="C26" s="20" t="s">
        <v>16</v>
      </c>
      <c r="D26" s="21">
        <v>650000.0</v>
      </c>
      <c r="E26" s="31">
        <v>0.41041666666666665</v>
      </c>
      <c r="F26" s="31">
        <v>0.75</v>
      </c>
      <c r="G26" s="23">
        <f t="shared" si="2"/>
        <v>2765.957447</v>
      </c>
      <c r="H26" s="24">
        <f t="shared" si="16"/>
        <v>8.15</v>
      </c>
      <c r="I26" s="24">
        <f t="shared" si="14"/>
        <v>0</v>
      </c>
      <c r="J26" s="24">
        <f t="shared" si="5"/>
        <v>0</v>
      </c>
      <c r="K26" s="25">
        <f t="shared" si="15"/>
        <v>22542.55319</v>
      </c>
      <c r="L26" s="25"/>
      <c r="M26" s="25"/>
      <c r="N26" s="25">
        <f t="shared" si="7"/>
        <v>2351.06383</v>
      </c>
      <c r="O26" s="26">
        <f t="shared" si="8"/>
        <v>20191.48936</v>
      </c>
      <c r="P26" s="27"/>
    </row>
    <row r="27" ht="30.0" hidden="1" customHeight="1">
      <c r="A27" s="18">
        <v>45926.0</v>
      </c>
      <c r="B27" s="19" t="str">
        <f t="shared" si="1"/>
        <v>الجمعة</v>
      </c>
      <c r="C27" s="20" t="s">
        <v>16</v>
      </c>
      <c r="D27" s="21"/>
      <c r="E27" s="22"/>
      <c r="F27" s="22"/>
      <c r="G27" s="23">
        <f t="shared" si="2"/>
        <v>0</v>
      </c>
      <c r="H27" s="28">
        <v>0.0</v>
      </c>
      <c r="I27" s="28">
        <v>0.0</v>
      </c>
      <c r="J27" s="24">
        <f t="shared" si="5"/>
        <v>0</v>
      </c>
      <c r="K27" s="25">
        <f>(J27*G27*2)</f>
        <v>0</v>
      </c>
      <c r="L27" s="25"/>
      <c r="M27" s="25"/>
      <c r="N27" s="25">
        <f t="shared" si="7"/>
        <v>0</v>
      </c>
      <c r="O27" s="26">
        <f t="shared" si="8"/>
        <v>0</v>
      </c>
      <c r="P27" s="27"/>
    </row>
    <row r="28" ht="30.0" hidden="1" customHeight="1">
      <c r="A28" s="18">
        <v>45927.0</v>
      </c>
      <c r="B28" s="19" t="str">
        <f t="shared" si="1"/>
        <v>السبت</v>
      </c>
      <c r="C28" s="20" t="s">
        <v>16</v>
      </c>
      <c r="D28" s="21">
        <v>650000.0</v>
      </c>
      <c r="E28" s="31">
        <v>0.48333333333333334</v>
      </c>
      <c r="F28" s="31">
        <v>0.7916666666666666</v>
      </c>
      <c r="G28" s="23">
        <f t="shared" si="2"/>
        <v>2765.957447</v>
      </c>
      <c r="H28" s="24">
        <f t="shared" ref="H28:H43" si="17">MIN(9,MAX(0,(MIN(F28,TIME(18,0,0))-MAX(E28,TIME(9,0,0)))*24))</f>
        <v>6.4</v>
      </c>
      <c r="I28" s="28">
        <v>0.0</v>
      </c>
      <c r="J28" s="24">
        <f t="shared" si="5"/>
        <v>0</v>
      </c>
      <c r="K28" s="25">
        <f t="shared" ref="K28:K35" si="18">(H28*G28)+(I28*G28*1.5)+(J28*G28*2)</f>
        <v>17702.12766</v>
      </c>
      <c r="L28" s="25"/>
      <c r="M28" s="25"/>
      <c r="N28" s="25">
        <f t="shared" si="7"/>
        <v>7191.489362</v>
      </c>
      <c r="O28" s="26">
        <f t="shared" si="8"/>
        <v>10510.6383</v>
      </c>
      <c r="P28" s="27"/>
    </row>
    <row r="29" ht="30.0" hidden="1" customHeight="1">
      <c r="A29" s="18">
        <v>45928.0</v>
      </c>
      <c r="B29" s="19" t="str">
        <f t="shared" si="1"/>
        <v>الأحد</v>
      </c>
      <c r="C29" s="20" t="s">
        <v>16</v>
      </c>
      <c r="D29" s="21">
        <v>650000.0</v>
      </c>
      <c r="E29" s="31">
        <v>0.375</v>
      </c>
      <c r="F29" s="31">
        <v>0.041666666666666664</v>
      </c>
      <c r="G29" s="23">
        <f t="shared" si="2"/>
        <v>2765.957447</v>
      </c>
      <c r="H29" s="24">
        <f t="shared" si="17"/>
        <v>0</v>
      </c>
      <c r="I29" s="24">
        <f t="shared" ref="I29:I35" si="19">MAX(0,(MOD(F29-E29,1)*24)-H29)</f>
        <v>16</v>
      </c>
      <c r="J29" s="24">
        <f t="shared" si="5"/>
        <v>0</v>
      </c>
      <c r="K29" s="25">
        <f t="shared" si="18"/>
        <v>66382.97872</v>
      </c>
      <c r="L29" s="25"/>
      <c r="M29" s="25"/>
      <c r="N29" s="25">
        <f t="shared" si="7"/>
        <v>0</v>
      </c>
      <c r="O29" s="26">
        <f t="shared" si="8"/>
        <v>66382.97872</v>
      </c>
      <c r="P29" s="27"/>
    </row>
    <row r="30" ht="30.0" hidden="1" customHeight="1">
      <c r="A30" s="18">
        <v>45929.0</v>
      </c>
      <c r="B30" s="19" t="str">
        <f t="shared" si="1"/>
        <v>الاثنين</v>
      </c>
      <c r="C30" s="20" t="s">
        <v>16</v>
      </c>
      <c r="D30" s="21">
        <v>650000.0</v>
      </c>
      <c r="E30" s="31">
        <v>0.5416666666666666</v>
      </c>
      <c r="F30" s="31">
        <v>0.8333333333333334</v>
      </c>
      <c r="G30" s="23">
        <f t="shared" si="2"/>
        <v>2765.957447</v>
      </c>
      <c r="H30" s="24">
        <f t="shared" si="17"/>
        <v>5</v>
      </c>
      <c r="I30" s="24">
        <f t="shared" si="19"/>
        <v>2</v>
      </c>
      <c r="J30" s="24">
        <f t="shared" si="5"/>
        <v>0</v>
      </c>
      <c r="K30" s="25">
        <f t="shared" si="18"/>
        <v>22127.65957</v>
      </c>
      <c r="L30" s="25"/>
      <c r="M30" s="25"/>
      <c r="N30" s="25">
        <f t="shared" si="7"/>
        <v>11063.82979</v>
      </c>
      <c r="O30" s="26">
        <f t="shared" si="8"/>
        <v>11063.82979</v>
      </c>
      <c r="P30" s="27"/>
    </row>
    <row r="31" ht="30.0" hidden="1" customHeight="1">
      <c r="A31" s="32">
        <v>45930.0</v>
      </c>
      <c r="B31" s="33" t="str">
        <f t="shared" si="1"/>
        <v>الثلاثاء</v>
      </c>
      <c r="C31" s="34" t="s">
        <v>16</v>
      </c>
      <c r="D31" s="35">
        <v>650000.0</v>
      </c>
      <c r="E31" s="36">
        <v>0.375</v>
      </c>
      <c r="F31" s="36">
        <v>0.7916666666666666</v>
      </c>
      <c r="G31" s="37">
        <f t="shared" si="2"/>
        <v>2765.957447</v>
      </c>
      <c r="H31" s="38">
        <f t="shared" si="17"/>
        <v>9</v>
      </c>
      <c r="I31" s="38">
        <f t="shared" si="19"/>
        <v>1</v>
      </c>
      <c r="J31" s="38">
        <f t="shared" si="5"/>
        <v>0</v>
      </c>
      <c r="K31" s="39">
        <f t="shared" si="18"/>
        <v>29042.55319</v>
      </c>
      <c r="L31" s="39"/>
      <c r="M31" s="39"/>
      <c r="N31" s="39">
        <f t="shared" si="7"/>
        <v>0</v>
      </c>
      <c r="O31" s="40">
        <f t="shared" si="8"/>
        <v>29042.55319</v>
      </c>
      <c r="P31" s="41"/>
    </row>
    <row r="32" ht="30.0" hidden="1" customHeight="1">
      <c r="A32" s="7">
        <v>45901.0</v>
      </c>
      <c r="B32" s="8" t="str">
        <f t="shared" si="1"/>
        <v>الاثنين</v>
      </c>
      <c r="C32" s="9" t="s">
        <v>17</v>
      </c>
      <c r="D32" s="10">
        <v>700000.0</v>
      </c>
      <c r="E32" s="42">
        <v>0.39305555555555555</v>
      </c>
      <c r="F32" s="11">
        <v>0.75</v>
      </c>
      <c r="G32" s="12">
        <f t="shared" si="2"/>
        <v>2978.723404</v>
      </c>
      <c r="H32" s="13">
        <f t="shared" si="17"/>
        <v>8.566666667</v>
      </c>
      <c r="I32" s="13">
        <f t="shared" si="19"/>
        <v>0</v>
      </c>
      <c r="J32" s="13">
        <f t="shared" si="5"/>
        <v>0</v>
      </c>
      <c r="K32" s="14">
        <f t="shared" si="18"/>
        <v>25517.7305</v>
      </c>
      <c r="L32" s="14"/>
      <c r="M32" s="15">
        <v>50000.0</v>
      </c>
      <c r="N32" s="14">
        <f t="shared" si="7"/>
        <v>1290.780142</v>
      </c>
      <c r="O32" s="16">
        <f t="shared" si="8"/>
        <v>-25773.04965</v>
      </c>
      <c r="P32" s="43" t="s">
        <v>18</v>
      </c>
    </row>
    <row r="33" ht="30.0" hidden="1" customHeight="1">
      <c r="A33" s="44">
        <v>45902.0</v>
      </c>
      <c r="B33" s="45" t="str">
        <f t="shared" si="1"/>
        <v>الثلاثاء</v>
      </c>
      <c r="C33" s="46" t="s">
        <v>17</v>
      </c>
      <c r="D33" s="47">
        <v>700000.0</v>
      </c>
      <c r="E33" s="48">
        <v>0.2604166666666667</v>
      </c>
      <c r="F33" s="49">
        <v>0.5715277777777777</v>
      </c>
      <c r="G33" s="50">
        <f t="shared" si="2"/>
        <v>2978.723404</v>
      </c>
      <c r="H33" s="51">
        <f t="shared" si="17"/>
        <v>4.716666667</v>
      </c>
      <c r="I33" s="51">
        <f t="shared" si="19"/>
        <v>2.75</v>
      </c>
      <c r="J33" s="51">
        <f t="shared" si="5"/>
        <v>0</v>
      </c>
      <c r="K33" s="52">
        <f t="shared" si="18"/>
        <v>26336.87943</v>
      </c>
      <c r="L33" s="52"/>
      <c r="M33" s="52"/>
      <c r="N33" s="52">
        <f t="shared" si="7"/>
        <v>0</v>
      </c>
      <c r="O33" s="53">
        <f t="shared" si="8"/>
        <v>26336.87943</v>
      </c>
      <c r="P33" s="54"/>
    </row>
    <row r="34" ht="30.0" hidden="1" customHeight="1">
      <c r="A34" s="44">
        <v>45903.0</v>
      </c>
      <c r="B34" s="45" t="str">
        <f t="shared" si="1"/>
        <v>الأربعاء</v>
      </c>
      <c r="C34" s="46" t="s">
        <v>17</v>
      </c>
      <c r="D34" s="47">
        <v>700000.0</v>
      </c>
      <c r="E34" s="55">
        <v>0.367361111115315</v>
      </c>
      <c r="F34" s="56">
        <v>0.8986111111111111</v>
      </c>
      <c r="G34" s="50">
        <f t="shared" si="2"/>
        <v>2978.723404</v>
      </c>
      <c r="H34" s="51">
        <f t="shared" si="17"/>
        <v>9</v>
      </c>
      <c r="I34" s="51">
        <f t="shared" si="19"/>
        <v>3.75</v>
      </c>
      <c r="J34" s="51">
        <f t="shared" si="5"/>
        <v>0</v>
      </c>
      <c r="K34" s="52">
        <f t="shared" si="18"/>
        <v>43563.82979</v>
      </c>
      <c r="L34" s="52"/>
      <c r="M34" s="52"/>
      <c r="N34" s="52">
        <f t="shared" si="7"/>
        <v>0</v>
      </c>
      <c r="O34" s="53">
        <f t="shared" si="8"/>
        <v>43563.82979</v>
      </c>
      <c r="P34" s="54"/>
    </row>
    <row r="35" ht="30.0" hidden="1" customHeight="1">
      <c r="A35" s="44">
        <v>45904.0</v>
      </c>
      <c r="B35" s="45" t="str">
        <f t="shared" si="1"/>
        <v>الخميس</v>
      </c>
      <c r="C35" s="46" t="s">
        <v>17</v>
      </c>
      <c r="D35" s="47">
        <v>700000.0</v>
      </c>
      <c r="E35" s="55">
        <v>0.375</v>
      </c>
      <c r="F35" s="56">
        <v>0.8958333333284827</v>
      </c>
      <c r="G35" s="50">
        <f t="shared" si="2"/>
        <v>2978.723404</v>
      </c>
      <c r="H35" s="51">
        <f t="shared" si="17"/>
        <v>9</v>
      </c>
      <c r="I35" s="51">
        <f t="shared" si="19"/>
        <v>3.5</v>
      </c>
      <c r="J35" s="51">
        <f t="shared" si="5"/>
        <v>0</v>
      </c>
      <c r="K35" s="52">
        <f t="shared" si="18"/>
        <v>42446.80851</v>
      </c>
      <c r="L35" s="52"/>
      <c r="M35" s="52"/>
      <c r="N35" s="52">
        <f t="shared" si="7"/>
        <v>0</v>
      </c>
      <c r="O35" s="53">
        <f t="shared" si="8"/>
        <v>42446.80851</v>
      </c>
      <c r="P35" s="54"/>
    </row>
    <row r="36" ht="30.0" hidden="1" customHeight="1">
      <c r="A36" s="44">
        <v>45905.0</v>
      </c>
      <c r="B36" s="45" t="str">
        <f t="shared" si="1"/>
        <v>الجمعة</v>
      </c>
      <c r="C36" s="46" t="s">
        <v>17</v>
      </c>
      <c r="D36" s="47">
        <v>700000.0</v>
      </c>
      <c r="E36" s="56">
        <v>0.4666666666666667</v>
      </c>
      <c r="F36" s="56">
        <v>0.9791666666715173</v>
      </c>
      <c r="G36" s="50">
        <f t="shared" si="2"/>
        <v>2978.723404</v>
      </c>
      <c r="H36" s="51">
        <f t="shared" si="17"/>
        <v>6.8</v>
      </c>
      <c r="I36" s="57">
        <v>0.0</v>
      </c>
      <c r="J36" s="51">
        <f t="shared" si="5"/>
        <v>12.3</v>
      </c>
      <c r="K36" s="52">
        <f>(J36*G36*2)</f>
        <v>73276.59575</v>
      </c>
      <c r="L36" s="52"/>
      <c r="M36" s="52"/>
      <c r="N36" s="52">
        <f t="shared" si="7"/>
        <v>0</v>
      </c>
      <c r="O36" s="53">
        <f t="shared" si="8"/>
        <v>73276.59575</v>
      </c>
      <c r="P36" s="54"/>
    </row>
    <row r="37" ht="30.0" hidden="1" customHeight="1">
      <c r="A37" s="44">
        <v>45906.0</v>
      </c>
      <c r="B37" s="45" t="str">
        <f t="shared" si="1"/>
        <v>السبت</v>
      </c>
      <c r="C37" s="46" t="s">
        <v>17</v>
      </c>
      <c r="D37" s="47">
        <v>700000.0</v>
      </c>
      <c r="E37" s="56">
        <v>0.4048611111111111</v>
      </c>
      <c r="F37" s="56">
        <v>0.8958333333333334</v>
      </c>
      <c r="G37" s="50">
        <f t="shared" si="2"/>
        <v>2978.723404</v>
      </c>
      <c r="H37" s="51">
        <f t="shared" si="17"/>
        <v>8.283333333</v>
      </c>
      <c r="I37" s="51">
        <f t="shared" ref="I37:I42" si="20">MAX(0,(MOD(F37-E37,1)*24)-H37)</f>
        <v>3.5</v>
      </c>
      <c r="J37" s="51">
        <f t="shared" si="5"/>
        <v>0</v>
      </c>
      <c r="K37" s="52">
        <f t="shared" ref="K37:K42" si="21">(H37*G37)+(I37*G37*1.5)+(J37*G37*2)</f>
        <v>40312.05674</v>
      </c>
      <c r="L37" s="52"/>
      <c r="M37" s="52"/>
      <c r="N37" s="52">
        <f t="shared" si="7"/>
        <v>2134.751773</v>
      </c>
      <c r="O37" s="53">
        <f t="shared" si="8"/>
        <v>38177.30496</v>
      </c>
      <c r="P37" s="54"/>
    </row>
    <row r="38" ht="30.0" hidden="1" customHeight="1">
      <c r="A38" s="44">
        <v>45907.0</v>
      </c>
      <c r="B38" s="45" t="str">
        <f t="shared" si="1"/>
        <v>الأحد</v>
      </c>
      <c r="C38" s="46" t="s">
        <v>17</v>
      </c>
      <c r="D38" s="47">
        <v>700000.0</v>
      </c>
      <c r="E38" s="56">
        <v>0.40347222222222223</v>
      </c>
      <c r="F38" s="56">
        <v>0.9166666666666666</v>
      </c>
      <c r="G38" s="50">
        <f t="shared" si="2"/>
        <v>2978.723404</v>
      </c>
      <c r="H38" s="51">
        <f t="shared" si="17"/>
        <v>8.316666667</v>
      </c>
      <c r="I38" s="51">
        <f t="shared" si="20"/>
        <v>4</v>
      </c>
      <c r="J38" s="51">
        <f t="shared" si="5"/>
        <v>0</v>
      </c>
      <c r="K38" s="52">
        <f t="shared" si="21"/>
        <v>42645.39007</v>
      </c>
      <c r="L38" s="52"/>
      <c r="M38" s="52"/>
      <c r="N38" s="52">
        <f t="shared" si="7"/>
        <v>2035.460993</v>
      </c>
      <c r="O38" s="53">
        <f t="shared" si="8"/>
        <v>40609.92908</v>
      </c>
      <c r="P38" s="54"/>
    </row>
    <row r="39" ht="30.0" hidden="1" customHeight="1">
      <c r="A39" s="44">
        <v>45908.0</v>
      </c>
      <c r="B39" s="45" t="str">
        <f t="shared" si="1"/>
        <v>الاثنين</v>
      </c>
      <c r="C39" s="46" t="s">
        <v>17</v>
      </c>
      <c r="D39" s="47">
        <v>700000.0</v>
      </c>
      <c r="E39" s="56">
        <v>0.3909722222222222</v>
      </c>
      <c r="F39" s="56">
        <v>0.9993055555555556</v>
      </c>
      <c r="G39" s="50">
        <f t="shared" si="2"/>
        <v>2978.723404</v>
      </c>
      <c r="H39" s="51">
        <f t="shared" si="17"/>
        <v>8.616666667</v>
      </c>
      <c r="I39" s="51">
        <f t="shared" si="20"/>
        <v>5.983333333</v>
      </c>
      <c r="J39" s="51">
        <f t="shared" si="5"/>
        <v>0</v>
      </c>
      <c r="K39" s="52">
        <f t="shared" si="21"/>
        <v>52400.70922</v>
      </c>
      <c r="L39" s="52"/>
      <c r="M39" s="52"/>
      <c r="N39" s="52">
        <f t="shared" si="7"/>
        <v>1141.843972</v>
      </c>
      <c r="O39" s="53">
        <f t="shared" si="8"/>
        <v>51258.86525</v>
      </c>
      <c r="P39" s="54"/>
    </row>
    <row r="40" ht="30.0" hidden="1" customHeight="1">
      <c r="A40" s="44">
        <v>45909.0</v>
      </c>
      <c r="B40" s="45" t="str">
        <f t="shared" si="1"/>
        <v>الثلاثاء</v>
      </c>
      <c r="C40" s="46" t="s">
        <v>17</v>
      </c>
      <c r="D40" s="47">
        <v>700000.0</v>
      </c>
      <c r="E40" s="58">
        <v>0.375</v>
      </c>
      <c r="F40" s="56">
        <v>0.7743055555555556</v>
      </c>
      <c r="G40" s="50">
        <f t="shared" si="2"/>
        <v>2978.723404</v>
      </c>
      <c r="H40" s="51">
        <f t="shared" si="17"/>
        <v>9</v>
      </c>
      <c r="I40" s="51">
        <f t="shared" si="20"/>
        <v>0.5833333333</v>
      </c>
      <c r="J40" s="51">
        <f t="shared" si="5"/>
        <v>0</v>
      </c>
      <c r="K40" s="52">
        <f t="shared" si="21"/>
        <v>29414.89362</v>
      </c>
      <c r="L40" s="52"/>
      <c r="M40" s="52"/>
      <c r="N40" s="52">
        <f t="shared" si="7"/>
        <v>0</v>
      </c>
      <c r="O40" s="53">
        <f t="shared" si="8"/>
        <v>29414.89362</v>
      </c>
      <c r="P40" s="54"/>
    </row>
    <row r="41" ht="30.0" hidden="1" customHeight="1">
      <c r="A41" s="44">
        <v>45910.0</v>
      </c>
      <c r="B41" s="45" t="str">
        <f t="shared" si="1"/>
        <v>الأربعاء</v>
      </c>
      <c r="C41" s="46" t="s">
        <v>17</v>
      </c>
      <c r="D41" s="47">
        <v>700000.0</v>
      </c>
      <c r="E41" s="56">
        <v>0.375</v>
      </c>
      <c r="F41" s="56">
        <v>0.9993055555555556</v>
      </c>
      <c r="G41" s="50">
        <f t="shared" si="2"/>
        <v>2978.723404</v>
      </c>
      <c r="H41" s="51">
        <f t="shared" si="17"/>
        <v>9</v>
      </c>
      <c r="I41" s="51">
        <f t="shared" si="20"/>
        <v>5.983333333</v>
      </c>
      <c r="J41" s="51">
        <f t="shared" si="5"/>
        <v>0</v>
      </c>
      <c r="K41" s="52">
        <f t="shared" si="21"/>
        <v>53542.55319</v>
      </c>
      <c r="L41" s="52"/>
      <c r="M41" s="52"/>
      <c r="N41" s="52">
        <f t="shared" si="7"/>
        <v>0</v>
      </c>
      <c r="O41" s="53">
        <f t="shared" si="8"/>
        <v>53542.55319</v>
      </c>
      <c r="P41" s="54"/>
    </row>
    <row r="42" ht="30.0" hidden="1" customHeight="1">
      <c r="A42" s="44">
        <v>45911.0</v>
      </c>
      <c r="B42" s="45" t="str">
        <f t="shared" si="1"/>
        <v>الخميس</v>
      </c>
      <c r="C42" s="46" t="s">
        <v>17</v>
      </c>
      <c r="D42" s="47">
        <v>700000.0</v>
      </c>
      <c r="E42" s="56">
        <v>0.41875</v>
      </c>
      <c r="F42" s="56">
        <v>0.9993055555555556</v>
      </c>
      <c r="G42" s="50">
        <f t="shared" si="2"/>
        <v>2978.723404</v>
      </c>
      <c r="H42" s="51">
        <f t="shared" si="17"/>
        <v>7.95</v>
      </c>
      <c r="I42" s="51">
        <f t="shared" si="20"/>
        <v>5.983333333</v>
      </c>
      <c r="J42" s="51">
        <f t="shared" si="5"/>
        <v>0</v>
      </c>
      <c r="K42" s="52">
        <f t="shared" si="21"/>
        <v>50414.89362</v>
      </c>
      <c r="L42" s="52"/>
      <c r="M42" s="59">
        <v>50000.0</v>
      </c>
      <c r="N42" s="52">
        <f t="shared" si="7"/>
        <v>3127.659574</v>
      </c>
      <c r="O42" s="53">
        <f t="shared" si="8"/>
        <v>-2712.765957</v>
      </c>
      <c r="P42" s="54"/>
    </row>
    <row r="43" ht="30.0" hidden="1" customHeight="1">
      <c r="A43" s="44">
        <v>45912.0</v>
      </c>
      <c r="B43" s="45" t="str">
        <f t="shared" si="1"/>
        <v>الجمعة</v>
      </c>
      <c r="C43" s="46" t="s">
        <v>17</v>
      </c>
      <c r="D43" s="47">
        <v>700000.0</v>
      </c>
      <c r="E43" s="56">
        <v>0.375</v>
      </c>
      <c r="F43" s="56">
        <v>0.9993055555555556</v>
      </c>
      <c r="G43" s="50">
        <f t="shared" si="2"/>
        <v>2978.723404</v>
      </c>
      <c r="H43" s="51">
        <f t="shared" si="17"/>
        <v>9</v>
      </c>
      <c r="I43" s="57">
        <v>0.0</v>
      </c>
      <c r="J43" s="51">
        <f t="shared" si="5"/>
        <v>14.98333333</v>
      </c>
      <c r="K43" s="52">
        <f>(J43*G43*2)</f>
        <v>89262.41135</v>
      </c>
      <c r="L43" s="52"/>
      <c r="M43" s="52"/>
      <c r="N43" s="52">
        <f t="shared" si="7"/>
        <v>0</v>
      </c>
      <c r="O43" s="53">
        <f t="shared" si="8"/>
        <v>89262.41135</v>
      </c>
      <c r="P43" s="54"/>
    </row>
    <row r="44" ht="30.0" hidden="1" customHeight="1">
      <c r="A44" s="44">
        <v>45913.0</v>
      </c>
      <c r="B44" s="45" t="str">
        <f t="shared" si="1"/>
        <v>السبت</v>
      </c>
      <c r="C44" s="46" t="s">
        <v>17</v>
      </c>
      <c r="D44" s="47">
        <v>700000.0</v>
      </c>
      <c r="E44" s="56"/>
      <c r="F44" s="56"/>
      <c r="G44" s="50">
        <f t="shared" si="2"/>
        <v>2978.723404</v>
      </c>
      <c r="H44" s="57">
        <v>0.0</v>
      </c>
      <c r="I44" s="51">
        <f t="shared" ref="I44:I49" si="22">MAX(0,(MOD(F44-E44,1)*24)-H44)</f>
        <v>0</v>
      </c>
      <c r="J44" s="51">
        <f t="shared" si="5"/>
        <v>0</v>
      </c>
      <c r="K44" s="52">
        <f t="shared" ref="K44:K49" si="23">(H44*G44)+(I44*G44*1.5)+(J44*G44*2)</f>
        <v>0</v>
      </c>
      <c r="L44" s="52"/>
      <c r="M44" s="52"/>
      <c r="N44" s="52">
        <f t="shared" si="7"/>
        <v>0</v>
      </c>
      <c r="O44" s="53">
        <f t="shared" si="8"/>
        <v>0</v>
      </c>
      <c r="P44" s="54"/>
    </row>
    <row r="45" ht="30.0" hidden="1" customHeight="1">
      <c r="A45" s="44">
        <v>45914.0</v>
      </c>
      <c r="B45" s="45" t="str">
        <f t="shared" si="1"/>
        <v>الأحد</v>
      </c>
      <c r="C45" s="46" t="s">
        <v>17</v>
      </c>
      <c r="D45" s="47">
        <v>700000.0</v>
      </c>
      <c r="E45" s="56">
        <v>0.34305555555555556</v>
      </c>
      <c r="F45" s="56">
        <v>0.75</v>
      </c>
      <c r="G45" s="50">
        <f t="shared" si="2"/>
        <v>2978.723404</v>
      </c>
      <c r="H45" s="51">
        <f t="shared" ref="H45:H51" si="24">MIN(9,MAX(0,(MIN(F45,TIME(18,0,0))-MAX(E45,TIME(9,0,0)))*24))</f>
        <v>9</v>
      </c>
      <c r="I45" s="51">
        <f t="shared" si="22"/>
        <v>0.7666666667</v>
      </c>
      <c r="J45" s="51">
        <f t="shared" si="5"/>
        <v>0</v>
      </c>
      <c r="K45" s="52">
        <f t="shared" si="23"/>
        <v>30234.04255</v>
      </c>
      <c r="L45" s="52"/>
      <c r="M45" s="59">
        <v>75000.0</v>
      </c>
      <c r="N45" s="52">
        <f t="shared" si="7"/>
        <v>0</v>
      </c>
      <c r="O45" s="53">
        <f t="shared" si="8"/>
        <v>-44765.95745</v>
      </c>
      <c r="P45" s="54"/>
    </row>
    <row r="46" ht="30.0" hidden="1" customHeight="1">
      <c r="A46" s="44">
        <v>45915.0</v>
      </c>
      <c r="B46" s="45" t="str">
        <f t="shared" si="1"/>
        <v>الاثنين</v>
      </c>
      <c r="C46" s="46" t="s">
        <v>17</v>
      </c>
      <c r="D46" s="47">
        <v>700000.0</v>
      </c>
      <c r="E46" s="56">
        <v>0.39375</v>
      </c>
      <c r="F46" s="56">
        <v>0.75</v>
      </c>
      <c r="G46" s="50">
        <f t="shared" si="2"/>
        <v>2978.723404</v>
      </c>
      <c r="H46" s="51">
        <f t="shared" si="24"/>
        <v>8.55</v>
      </c>
      <c r="I46" s="51">
        <f t="shared" si="22"/>
        <v>0</v>
      </c>
      <c r="J46" s="51">
        <f t="shared" si="5"/>
        <v>0</v>
      </c>
      <c r="K46" s="52">
        <f t="shared" si="23"/>
        <v>25468.08511</v>
      </c>
      <c r="L46" s="52"/>
      <c r="M46" s="52"/>
      <c r="N46" s="52">
        <f t="shared" si="7"/>
        <v>1340.425532</v>
      </c>
      <c r="O46" s="53">
        <f t="shared" si="8"/>
        <v>24127.65957</v>
      </c>
      <c r="P46" s="54"/>
    </row>
    <row r="47" ht="30.0" hidden="1" customHeight="1">
      <c r="A47" s="44">
        <v>45916.0</v>
      </c>
      <c r="B47" s="45" t="str">
        <f t="shared" si="1"/>
        <v>الثلاثاء</v>
      </c>
      <c r="C47" s="46" t="s">
        <v>17</v>
      </c>
      <c r="D47" s="47">
        <v>700000.0</v>
      </c>
      <c r="E47" s="56">
        <v>0.34791666666666665</v>
      </c>
      <c r="F47" s="56">
        <v>0.7729166666666667</v>
      </c>
      <c r="G47" s="50">
        <f t="shared" si="2"/>
        <v>2978.723404</v>
      </c>
      <c r="H47" s="51">
        <f t="shared" si="24"/>
        <v>9</v>
      </c>
      <c r="I47" s="51">
        <f t="shared" si="22"/>
        <v>1.2</v>
      </c>
      <c r="J47" s="51">
        <f t="shared" si="5"/>
        <v>0</v>
      </c>
      <c r="K47" s="52">
        <f t="shared" si="23"/>
        <v>32170.21277</v>
      </c>
      <c r="L47" s="52"/>
      <c r="M47" s="52"/>
      <c r="N47" s="52">
        <f t="shared" si="7"/>
        <v>0</v>
      </c>
      <c r="O47" s="53">
        <f t="shared" si="8"/>
        <v>32170.21277</v>
      </c>
      <c r="P47" s="54"/>
    </row>
    <row r="48" ht="30.0" hidden="1" customHeight="1">
      <c r="A48" s="44">
        <v>45917.0</v>
      </c>
      <c r="B48" s="45" t="str">
        <f t="shared" si="1"/>
        <v>الأربعاء</v>
      </c>
      <c r="C48" s="46" t="s">
        <v>17</v>
      </c>
      <c r="D48" s="47">
        <v>700000.0</v>
      </c>
      <c r="E48" s="56">
        <v>0.375</v>
      </c>
      <c r="F48" s="56">
        <v>0.89375</v>
      </c>
      <c r="G48" s="50">
        <f t="shared" si="2"/>
        <v>2978.723404</v>
      </c>
      <c r="H48" s="51">
        <f t="shared" si="24"/>
        <v>9</v>
      </c>
      <c r="I48" s="51">
        <f t="shared" si="22"/>
        <v>3.45</v>
      </c>
      <c r="J48" s="51">
        <f t="shared" si="5"/>
        <v>0</v>
      </c>
      <c r="K48" s="52">
        <f t="shared" si="23"/>
        <v>42223.40426</v>
      </c>
      <c r="L48" s="52"/>
      <c r="M48" s="52"/>
      <c r="N48" s="52">
        <f t="shared" si="7"/>
        <v>0</v>
      </c>
      <c r="O48" s="53">
        <f t="shared" si="8"/>
        <v>42223.40426</v>
      </c>
      <c r="P48" s="54"/>
    </row>
    <row r="49" ht="30.0" hidden="1" customHeight="1">
      <c r="A49" s="44">
        <v>45918.0</v>
      </c>
      <c r="B49" s="45" t="str">
        <f t="shared" si="1"/>
        <v>الخميس</v>
      </c>
      <c r="C49" s="46" t="s">
        <v>17</v>
      </c>
      <c r="D49" s="47">
        <v>700000.0</v>
      </c>
      <c r="E49" s="56">
        <v>0.3951388888888889</v>
      </c>
      <c r="F49" s="56">
        <v>0.9993055555555556</v>
      </c>
      <c r="G49" s="50">
        <f t="shared" si="2"/>
        <v>2978.723404</v>
      </c>
      <c r="H49" s="51">
        <f t="shared" si="24"/>
        <v>8.516666667</v>
      </c>
      <c r="I49" s="51">
        <f t="shared" si="22"/>
        <v>5.983333333</v>
      </c>
      <c r="J49" s="51">
        <f t="shared" si="5"/>
        <v>0</v>
      </c>
      <c r="K49" s="52">
        <f t="shared" si="23"/>
        <v>52102.83688</v>
      </c>
      <c r="L49" s="52"/>
      <c r="M49" s="59">
        <v>5000.0</v>
      </c>
      <c r="N49" s="52">
        <f t="shared" si="7"/>
        <v>1439.716312</v>
      </c>
      <c r="O49" s="53">
        <f t="shared" si="8"/>
        <v>45663.12057</v>
      </c>
      <c r="P49" s="54"/>
    </row>
    <row r="50" ht="30.0" hidden="1" customHeight="1">
      <c r="A50" s="44">
        <v>45919.0</v>
      </c>
      <c r="B50" s="45" t="str">
        <f t="shared" si="1"/>
        <v>الجمعة</v>
      </c>
      <c r="C50" s="46" t="s">
        <v>17</v>
      </c>
      <c r="D50" s="47">
        <v>700000.0</v>
      </c>
      <c r="E50" s="56">
        <v>0.0</v>
      </c>
      <c r="F50" s="56">
        <v>0.125</v>
      </c>
      <c r="G50" s="50">
        <f t="shared" si="2"/>
        <v>2978.723404</v>
      </c>
      <c r="H50" s="51">
        <f t="shared" si="24"/>
        <v>0</v>
      </c>
      <c r="I50" s="57">
        <v>0.0</v>
      </c>
      <c r="J50" s="51">
        <f t="shared" si="5"/>
        <v>3</v>
      </c>
      <c r="K50" s="52">
        <f>(J50*G50*2)</f>
        <v>17872.34043</v>
      </c>
      <c r="L50" s="52"/>
      <c r="M50" s="52"/>
      <c r="N50" s="52">
        <f t="shared" si="7"/>
        <v>0</v>
      </c>
      <c r="O50" s="53">
        <f t="shared" si="8"/>
        <v>17872.34043</v>
      </c>
      <c r="P50" s="54"/>
    </row>
    <row r="51" ht="30.0" hidden="1" customHeight="1">
      <c r="A51" s="44">
        <v>45920.0</v>
      </c>
      <c r="B51" s="45" t="str">
        <f t="shared" si="1"/>
        <v>السبت</v>
      </c>
      <c r="C51" s="46" t="s">
        <v>17</v>
      </c>
      <c r="D51" s="47">
        <v>700000.0</v>
      </c>
      <c r="E51" s="56">
        <v>0.3923611111111111</v>
      </c>
      <c r="F51" s="56">
        <v>0.6840277777777778</v>
      </c>
      <c r="G51" s="50">
        <f t="shared" si="2"/>
        <v>2978.723404</v>
      </c>
      <c r="H51" s="51">
        <f t="shared" si="24"/>
        <v>7</v>
      </c>
      <c r="I51" s="51">
        <f t="shared" ref="I51:I56" si="25">MAX(0,(MOD(F51-E51,1)*24)-H51)</f>
        <v>0</v>
      </c>
      <c r="J51" s="51">
        <f t="shared" si="5"/>
        <v>0</v>
      </c>
      <c r="K51" s="52">
        <f t="shared" ref="K51:K56" si="26">(H51*G51)+(I51*G51*1.5)+(J51*G51*2)</f>
        <v>20851.06383</v>
      </c>
      <c r="L51" s="52"/>
      <c r="M51" s="52"/>
      <c r="N51" s="52">
        <f t="shared" si="7"/>
        <v>1241.134752</v>
      </c>
      <c r="O51" s="53">
        <f t="shared" si="8"/>
        <v>19609.92908</v>
      </c>
      <c r="P51" s="54"/>
    </row>
    <row r="52" ht="30.0" hidden="1" customHeight="1">
      <c r="A52" s="44">
        <v>45921.0</v>
      </c>
      <c r="B52" s="45" t="str">
        <f t="shared" si="1"/>
        <v>الأحد</v>
      </c>
      <c r="C52" s="46" t="s">
        <v>17</v>
      </c>
      <c r="D52" s="47">
        <v>700000.0</v>
      </c>
      <c r="E52" s="56"/>
      <c r="F52" s="56"/>
      <c r="G52" s="50">
        <f t="shared" si="2"/>
        <v>2978.723404</v>
      </c>
      <c r="H52" s="57">
        <v>0.0</v>
      </c>
      <c r="I52" s="51">
        <f t="shared" si="25"/>
        <v>0</v>
      </c>
      <c r="J52" s="51">
        <f t="shared" si="5"/>
        <v>0</v>
      </c>
      <c r="K52" s="52">
        <f t="shared" si="26"/>
        <v>0</v>
      </c>
      <c r="L52" s="52"/>
      <c r="M52" s="59">
        <v>50000.0</v>
      </c>
      <c r="N52" s="52">
        <f t="shared" si="7"/>
        <v>0</v>
      </c>
      <c r="O52" s="53">
        <f t="shared" si="8"/>
        <v>-50000</v>
      </c>
      <c r="P52" s="46" t="s">
        <v>19</v>
      </c>
    </row>
    <row r="53" ht="30.0" hidden="1" customHeight="1">
      <c r="A53" s="44">
        <v>45922.0</v>
      </c>
      <c r="B53" s="45" t="str">
        <f t="shared" si="1"/>
        <v>الاثنين</v>
      </c>
      <c r="C53" s="46" t="s">
        <v>17</v>
      </c>
      <c r="D53" s="47">
        <v>700000.0</v>
      </c>
      <c r="E53" s="56"/>
      <c r="F53" s="56"/>
      <c r="G53" s="50">
        <f t="shared" si="2"/>
        <v>2978.723404</v>
      </c>
      <c r="H53" s="57">
        <v>0.0</v>
      </c>
      <c r="I53" s="51">
        <f t="shared" si="25"/>
        <v>0</v>
      </c>
      <c r="J53" s="51">
        <f t="shared" si="5"/>
        <v>0</v>
      </c>
      <c r="K53" s="52">
        <f t="shared" si="26"/>
        <v>0</v>
      </c>
      <c r="L53" s="52"/>
      <c r="M53" s="52"/>
      <c r="N53" s="52">
        <f t="shared" si="7"/>
        <v>0</v>
      </c>
      <c r="O53" s="53">
        <f t="shared" si="8"/>
        <v>0</v>
      </c>
      <c r="P53" s="54"/>
    </row>
    <row r="54" ht="30.0" hidden="1" customHeight="1">
      <c r="A54" s="44">
        <v>45923.0</v>
      </c>
      <c r="B54" s="45" t="str">
        <f t="shared" si="1"/>
        <v>الثلاثاء</v>
      </c>
      <c r="C54" s="46" t="s">
        <v>17</v>
      </c>
      <c r="D54" s="47">
        <v>700000.0</v>
      </c>
      <c r="E54" s="56">
        <v>0.39166666666666666</v>
      </c>
      <c r="F54" s="56">
        <v>0.6694444444444444</v>
      </c>
      <c r="G54" s="50">
        <f t="shared" si="2"/>
        <v>2978.723404</v>
      </c>
      <c r="H54" s="51">
        <f t="shared" ref="H54:H73" si="27">MIN(9,MAX(0,(MIN(F54,TIME(18,0,0))-MAX(E54,TIME(9,0,0)))*24))</f>
        <v>6.666666667</v>
      </c>
      <c r="I54" s="51">
        <f t="shared" si="25"/>
        <v>0</v>
      </c>
      <c r="J54" s="51">
        <f t="shared" si="5"/>
        <v>0</v>
      </c>
      <c r="K54" s="52">
        <f t="shared" si="26"/>
        <v>19858.15603</v>
      </c>
      <c r="L54" s="52"/>
      <c r="M54" s="59">
        <v>100000.0</v>
      </c>
      <c r="N54" s="52">
        <f t="shared" si="7"/>
        <v>1191.489362</v>
      </c>
      <c r="O54" s="53">
        <f t="shared" si="8"/>
        <v>-81333.33333</v>
      </c>
      <c r="P54" s="54"/>
    </row>
    <row r="55" ht="30.0" hidden="1" customHeight="1">
      <c r="A55" s="44">
        <v>45924.0</v>
      </c>
      <c r="B55" s="45" t="str">
        <f t="shared" si="1"/>
        <v>الأربعاء</v>
      </c>
      <c r="C55" s="46" t="s">
        <v>17</v>
      </c>
      <c r="D55" s="47">
        <v>700000.0</v>
      </c>
      <c r="E55" s="60">
        <v>0.4263888888888889</v>
      </c>
      <c r="F55" s="49">
        <v>0.6951388888888889</v>
      </c>
      <c r="G55" s="50">
        <f t="shared" si="2"/>
        <v>2978.723404</v>
      </c>
      <c r="H55" s="51">
        <f t="shared" si="27"/>
        <v>6.45</v>
      </c>
      <c r="I55" s="51">
        <f t="shared" si="25"/>
        <v>0</v>
      </c>
      <c r="J55" s="51">
        <f t="shared" si="5"/>
        <v>0</v>
      </c>
      <c r="K55" s="52">
        <f t="shared" si="26"/>
        <v>19212.76596</v>
      </c>
      <c r="L55" s="52"/>
      <c r="M55" s="52"/>
      <c r="N55" s="52">
        <f t="shared" si="7"/>
        <v>3673.758865</v>
      </c>
      <c r="O55" s="53">
        <f t="shared" si="8"/>
        <v>15539.00709</v>
      </c>
      <c r="P55" s="54"/>
    </row>
    <row r="56" ht="30.0" hidden="1" customHeight="1">
      <c r="A56" s="44">
        <v>45925.0</v>
      </c>
      <c r="B56" s="45" t="str">
        <f t="shared" si="1"/>
        <v>الخميس</v>
      </c>
      <c r="C56" s="46" t="s">
        <v>17</v>
      </c>
      <c r="D56" s="47">
        <v>700000.0</v>
      </c>
      <c r="E56" s="55"/>
      <c r="F56" s="56"/>
      <c r="G56" s="50">
        <f t="shared" si="2"/>
        <v>2978.723404</v>
      </c>
      <c r="H56" s="51">
        <f t="shared" si="27"/>
        <v>9</v>
      </c>
      <c r="I56" s="51">
        <f t="shared" si="25"/>
        <v>0</v>
      </c>
      <c r="J56" s="51">
        <f t="shared" si="5"/>
        <v>0</v>
      </c>
      <c r="K56" s="52">
        <f t="shared" si="26"/>
        <v>26808.51064</v>
      </c>
      <c r="L56" s="52"/>
      <c r="M56" s="52"/>
      <c r="N56" s="52">
        <f t="shared" si="7"/>
        <v>0</v>
      </c>
      <c r="O56" s="53">
        <f t="shared" si="8"/>
        <v>26808.51064</v>
      </c>
      <c r="P56" s="54"/>
    </row>
    <row r="57" ht="30.0" hidden="1" customHeight="1">
      <c r="A57" s="44">
        <v>45926.0</v>
      </c>
      <c r="B57" s="45" t="str">
        <f t="shared" si="1"/>
        <v>الجمعة</v>
      </c>
      <c r="C57" s="46" t="s">
        <v>17</v>
      </c>
      <c r="D57" s="47">
        <v>700000.0</v>
      </c>
      <c r="E57" s="55"/>
      <c r="F57" s="56"/>
      <c r="G57" s="50">
        <f t="shared" si="2"/>
        <v>2978.723404</v>
      </c>
      <c r="H57" s="51">
        <f t="shared" si="27"/>
        <v>9</v>
      </c>
      <c r="I57" s="57">
        <v>0.0</v>
      </c>
      <c r="J57" s="51">
        <f t="shared" si="5"/>
        <v>0</v>
      </c>
      <c r="K57" s="52">
        <f>(J57*G57*2)</f>
        <v>0</v>
      </c>
      <c r="L57" s="52"/>
      <c r="M57" s="52"/>
      <c r="N57" s="52">
        <f t="shared" si="7"/>
        <v>0</v>
      </c>
      <c r="O57" s="53">
        <f t="shared" si="8"/>
        <v>0</v>
      </c>
      <c r="P57" s="54"/>
    </row>
    <row r="58" ht="30.0" hidden="1" customHeight="1">
      <c r="A58" s="44">
        <v>45927.0</v>
      </c>
      <c r="B58" s="45" t="str">
        <f t="shared" si="1"/>
        <v>السبت</v>
      </c>
      <c r="C58" s="46" t="s">
        <v>17</v>
      </c>
      <c r="D58" s="47">
        <v>700000.0</v>
      </c>
      <c r="E58" s="48">
        <v>0.4048611111111111</v>
      </c>
      <c r="F58" s="49">
        <v>0.7569444444444444</v>
      </c>
      <c r="G58" s="50">
        <f t="shared" si="2"/>
        <v>2978.723404</v>
      </c>
      <c r="H58" s="51">
        <f t="shared" si="27"/>
        <v>8.283333333</v>
      </c>
      <c r="I58" s="57">
        <v>0.0</v>
      </c>
      <c r="J58" s="51">
        <f t="shared" si="5"/>
        <v>0</v>
      </c>
      <c r="K58" s="52">
        <f t="shared" ref="K58:K65" si="28">(H58*G58)+(I58*G58*1.5)+(J58*G58*2)</f>
        <v>24673.75887</v>
      </c>
      <c r="L58" s="52"/>
      <c r="M58" s="52"/>
      <c r="N58" s="52">
        <f t="shared" si="7"/>
        <v>2134.751773</v>
      </c>
      <c r="O58" s="53">
        <f t="shared" si="8"/>
        <v>22539.00709</v>
      </c>
      <c r="P58" s="54"/>
    </row>
    <row r="59" ht="30.0" hidden="1" customHeight="1">
      <c r="A59" s="44">
        <v>45928.0</v>
      </c>
      <c r="B59" s="45" t="str">
        <f t="shared" si="1"/>
        <v>الأحد</v>
      </c>
      <c r="C59" s="46" t="s">
        <v>17</v>
      </c>
      <c r="D59" s="47">
        <v>700000.0</v>
      </c>
      <c r="E59" s="48">
        <v>0.4263888888888889</v>
      </c>
      <c r="F59" s="49">
        <v>0.7527777777777778</v>
      </c>
      <c r="G59" s="50">
        <f t="shared" si="2"/>
        <v>2978.723404</v>
      </c>
      <c r="H59" s="51">
        <f t="shared" si="27"/>
        <v>7.766666667</v>
      </c>
      <c r="I59" s="51">
        <f t="shared" ref="I59:I65" si="29">MAX(0,(MOD(F59-E59,1)*24)-H59)</f>
        <v>0.06666666667</v>
      </c>
      <c r="J59" s="51">
        <f t="shared" si="5"/>
        <v>0</v>
      </c>
      <c r="K59" s="52">
        <f t="shared" si="28"/>
        <v>23432.62411</v>
      </c>
      <c r="L59" s="52"/>
      <c r="M59" s="52"/>
      <c r="N59" s="52">
        <f t="shared" si="7"/>
        <v>3673.758865</v>
      </c>
      <c r="O59" s="53">
        <f t="shared" si="8"/>
        <v>19758.86525</v>
      </c>
      <c r="P59" s="54"/>
    </row>
    <row r="60" ht="30.0" hidden="1" customHeight="1">
      <c r="A60" s="44">
        <v>45929.0</v>
      </c>
      <c r="B60" s="45" t="str">
        <f t="shared" si="1"/>
        <v>الاثنين</v>
      </c>
      <c r="C60" s="46" t="s">
        <v>17</v>
      </c>
      <c r="D60" s="47">
        <v>700000.0</v>
      </c>
      <c r="E60" s="48">
        <v>0.42291666666666666</v>
      </c>
      <c r="F60" s="49">
        <v>0.8236111111111111</v>
      </c>
      <c r="G60" s="50">
        <f t="shared" si="2"/>
        <v>2978.723404</v>
      </c>
      <c r="H60" s="51">
        <f t="shared" si="27"/>
        <v>7.85</v>
      </c>
      <c r="I60" s="51">
        <f t="shared" si="29"/>
        <v>1.766666667</v>
      </c>
      <c r="J60" s="51">
        <f t="shared" si="5"/>
        <v>0</v>
      </c>
      <c r="K60" s="52">
        <f t="shared" si="28"/>
        <v>31276.59574</v>
      </c>
      <c r="L60" s="52"/>
      <c r="M60" s="52"/>
      <c r="N60" s="52">
        <f t="shared" si="7"/>
        <v>3425.531915</v>
      </c>
      <c r="O60" s="53">
        <f t="shared" si="8"/>
        <v>27851.06383</v>
      </c>
      <c r="P60" s="54"/>
    </row>
    <row r="61" ht="30.0" hidden="1" customHeight="1">
      <c r="A61" s="44">
        <v>45930.0</v>
      </c>
      <c r="B61" s="45" t="str">
        <f t="shared" si="1"/>
        <v>الثلاثاء</v>
      </c>
      <c r="C61" s="46" t="s">
        <v>17</v>
      </c>
      <c r="D61" s="47">
        <v>700000.0</v>
      </c>
      <c r="E61" s="49">
        <v>0.3993055555555556</v>
      </c>
      <c r="F61" s="49">
        <v>0.7854166666666667</v>
      </c>
      <c r="G61" s="50">
        <f t="shared" si="2"/>
        <v>2978.723404</v>
      </c>
      <c r="H61" s="51">
        <f t="shared" si="27"/>
        <v>8.416666667</v>
      </c>
      <c r="I61" s="51">
        <f t="shared" si="29"/>
        <v>0.85</v>
      </c>
      <c r="J61" s="51">
        <f t="shared" si="5"/>
        <v>0</v>
      </c>
      <c r="K61" s="52">
        <f t="shared" si="28"/>
        <v>28868.79433</v>
      </c>
      <c r="L61" s="52"/>
      <c r="M61" s="59">
        <v>500000.0</v>
      </c>
      <c r="N61" s="52">
        <f t="shared" si="7"/>
        <v>1737.588652</v>
      </c>
      <c r="O61" s="53">
        <f t="shared" si="8"/>
        <v>-472868.7943</v>
      </c>
      <c r="P61" s="54"/>
    </row>
    <row r="62" ht="30.0" hidden="1" customHeight="1">
      <c r="A62" s="44">
        <v>45901.0</v>
      </c>
      <c r="B62" s="45" t="str">
        <f t="shared" si="1"/>
        <v>الاثنين</v>
      </c>
      <c r="C62" s="46" t="s">
        <v>20</v>
      </c>
      <c r="D62" s="47">
        <v>400000.0</v>
      </c>
      <c r="E62" s="48">
        <v>0.43680555555555556</v>
      </c>
      <c r="F62" s="49">
        <v>0.75</v>
      </c>
      <c r="G62" s="50">
        <f t="shared" si="2"/>
        <v>1702.12766</v>
      </c>
      <c r="H62" s="51">
        <f t="shared" si="27"/>
        <v>7.516666667</v>
      </c>
      <c r="I62" s="51">
        <f t="shared" si="29"/>
        <v>0</v>
      </c>
      <c r="J62" s="51">
        <f t="shared" si="5"/>
        <v>0</v>
      </c>
      <c r="K62" s="52">
        <f t="shared" si="28"/>
        <v>12794.32624</v>
      </c>
      <c r="L62" s="52"/>
      <c r="M62" s="52"/>
      <c r="N62" s="52">
        <f t="shared" si="7"/>
        <v>2524.822695</v>
      </c>
      <c r="O62" s="53">
        <f t="shared" si="8"/>
        <v>10269.50355</v>
      </c>
      <c r="P62" s="54"/>
    </row>
    <row r="63" ht="30.0" hidden="1" customHeight="1">
      <c r="A63" s="44">
        <v>45902.0</v>
      </c>
      <c r="B63" s="45" t="str">
        <f t="shared" si="1"/>
        <v>الثلاثاء</v>
      </c>
      <c r="C63" s="46" t="s">
        <v>20</v>
      </c>
      <c r="D63" s="47">
        <v>400000.0</v>
      </c>
      <c r="E63" s="48">
        <v>0.35208333333333336</v>
      </c>
      <c r="F63" s="49">
        <v>0.75</v>
      </c>
      <c r="G63" s="50">
        <f t="shared" si="2"/>
        <v>1702.12766</v>
      </c>
      <c r="H63" s="51">
        <f t="shared" si="27"/>
        <v>9</v>
      </c>
      <c r="I63" s="51">
        <f t="shared" si="29"/>
        <v>0.55</v>
      </c>
      <c r="J63" s="51">
        <f t="shared" si="5"/>
        <v>0</v>
      </c>
      <c r="K63" s="52">
        <f t="shared" si="28"/>
        <v>16723.40426</v>
      </c>
      <c r="L63" s="52"/>
      <c r="M63" s="52"/>
      <c r="N63" s="52">
        <f t="shared" si="7"/>
        <v>0</v>
      </c>
      <c r="O63" s="53">
        <f t="shared" si="8"/>
        <v>16723.40426</v>
      </c>
      <c r="P63" s="54"/>
    </row>
    <row r="64" ht="30.0" hidden="1" customHeight="1">
      <c r="A64" s="44">
        <v>45903.0</v>
      </c>
      <c r="B64" s="45" t="str">
        <f t="shared" si="1"/>
        <v>الأربعاء</v>
      </c>
      <c r="C64" s="46" t="s">
        <v>20</v>
      </c>
      <c r="D64" s="47">
        <v>400000.0</v>
      </c>
      <c r="E64" s="48">
        <v>0.2791666666666667</v>
      </c>
      <c r="F64" s="49">
        <v>0.75</v>
      </c>
      <c r="G64" s="50">
        <f t="shared" si="2"/>
        <v>1702.12766</v>
      </c>
      <c r="H64" s="51">
        <f t="shared" si="27"/>
        <v>9</v>
      </c>
      <c r="I64" s="51">
        <f t="shared" si="29"/>
        <v>2.3</v>
      </c>
      <c r="J64" s="51">
        <f t="shared" si="5"/>
        <v>0</v>
      </c>
      <c r="K64" s="52">
        <f t="shared" si="28"/>
        <v>21191.48936</v>
      </c>
      <c r="L64" s="52"/>
      <c r="M64" s="52"/>
      <c r="N64" s="52">
        <f t="shared" si="7"/>
        <v>0</v>
      </c>
      <c r="O64" s="53">
        <f t="shared" si="8"/>
        <v>21191.48936</v>
      </c>
      <c r="P64" s="54"/>
    </row>
    <row r="65" ht="30.0" hidden="1" customHeight="1">
      <c r="A65" s="44">
        <v>45904.0</v>
      </c>
      <c r="B65" s="45" t="str">
        <f t="shared" si="1"/>
        <v>الخميس</v>
      </c>
      <c r="C65" s="46" t="s">
        <v>20</v>
      </c>
      <c r="D65" s="47">
        <v>400000.0</v>
      </c>
      <c r="E65" s="48">
        <v>0.375</v>
      </c>
      <c r="F65" s="49">
        <v>0.46805555555555556</v>
      </c>
      <c r="G65" s="50">
        <f t="shared" si="2"/>
        <v>1702.12766</v>
      </c>
      <c r="H65" s="51">
        <f t="shared" si="27"/>
        <v>2.233333333</v>
      </c>
      <c r="I65" s="51">
        <f t="shared" si="29"/>
        <v>0</v>
      </c>
      <c r="J65" s="51">
        <f t="shared" si="5"/>
        <v>0</v>
      </c>
      <c r="K65" s="52">
        <f t="shared" si="28"/>
        <v>3801.41844</v>
      </c>
      <c r="L65" s="52"/>
      <c r="M65" s="59">
        <v>50000.0</v>
      </c>
      <c r="N65" s="52">
        <f t="shared" si="7"/>
        <v>0</v>
      </c>
      <c r="O65" s="53">
        <f t="shared" si="8"/>
        <v>-46198.58156</v>
      </c>
      <c r="P65" s="54"/>
    </row>
    <row r="66" ht="30.0" hidden="1" customHeight="1">
      <c r="A66" s="44">
        <v>45905.0</v>
      </c>
      <c r="B66" s="45" t="str">
        <f t="shared" si="1"/>
        <v>الجمعة</v>
      </c>
      <c r="C66" s="46" t="s">
        <v>20</v>
      </c>
      <c r="D66" s="47">
        <v>400000.0</v>
      </c>
      <c r="E66" s="48">
        <v>0.75</v>
      </c>
      <c r="F66" s="49">
        <v>0.9993055555555556</v>
      </c>
      <c r="G66" s="50">
        <f t="shared" si="2"/>
        <v>1702.12766</v>
      </c>
      <c r="H66" s="51">
        <f t="shared" si="27"/>
        <v>0</v>
      </c>
      <c r="I66" s="57">
        <v>0.0</v>
      </c>
      <c r="J66" s="51">
        <f t="shared" si="5"/>
        <v>5.983333333</v>
      </c>
      <c r="K66" s="52">
        <f>(J66*G66*2)</f>
        <v>20368.79433</v>
      </c>
      <c r="L66" s="52"/>
      <c r="M66" s="52"/>
      <c r="N66" s="52">
        <f t="shared" si="7"/>
        <v>0</v>
      </c>
      <c r="O66" s="53">
        <f t="shared" si="8"/>
        <v>20368.79433</v>
      </c>
      <c r="P66" s="54"/>
    </row>
    <row r="67" ht="30.0" hidden="1" customHeight="1">
      <c r="A67" s="44">
        <v>45906.0</v>
      </c>
      <c r="B67" s="45" t="str">
        <f t="shared" si="1"/>
        <v>السبت</v>
      </c>
      <c r="C67" s="46" t="s">
        <v>20</v>
      </c>
      <c r="D67" s="47">
        <v>400000.0</v>
      </c>
      <c r="E67" s="48">
        <v>0.4041666666666667</v>
      </c>
      <c r="F67" s="49">
        <v>0.7833333333333333</v>
      </c>
      <c r="G67" s="50">
        <f t="shared" si="2"/>
        <v>1702.12766</v>
      </c>
      <c r="H67" s="51">
        <f t="shared" si="27"/>
        <v>8.3</v>
      </c>
      <c r="I67" s="51">
        <f t="shared" ref="I67:I72" si="30">MAX(0,(MOD(F67-E67,1)*24)-H67)</f>
        <v>0.8</v>
      </c>
      <c r="J67" s="51">
        <f t="shared" si="5"/>
        <v>0</v>
      </c>
      <c r="K67" s="52">
        <f t="shared" ref="K67:K72" si="31">(H67*G67)+(I67*G67*1.5)+(J67*G67*2)</f>
        <v>16170.21277</v>
      </c>
      <c r="L67" s="52"/>
      <c r="M67" s="52"/>
      <c r="N67" s="52">
        <f t="shared" si="7"/>
        <v>1191.489362</v>
      </c>
      <c r="O67" s="53">
        <f t="shared" si="8"/>
        <v>14978.7234</v>
      </c>
      <c r="P67" s="54"/>
    </row>
    <row r="68" ht="30.0" hidden="1" customHeight="1">
      <c r="A68" s="44">
        <v>45907.0</v>
      </c>
      <c r="B68" s="45" t="str">
        <f t="shared" si="1"/>
        <v>الأحد</v>
      </c>
      <c r="C68" s="46" t="s">
        <v>20</v>
      </c>
      <c r="D68" s="47">
        <v>400000.0</v>
      </c>
      <c r="E68" s="49">
        <v>0.38680555555555557</v>
      </c>
      <c r="F68" s="49">
        <v>0.9993055555555556</v>
      </c>
      <c r="G68" s="50">
        <f t="shared" si="2"/>
        <v>1702.12766</v>
      </c>
      <c r="H68" s="51">
        <f t="shared" si="27"/>
        <v>8.716666667</v>
      </c>
      <c r="I68" s="51">
        <f t="shared" si="30"/>
        <v>5.983333333</v>
      </c>
      <c r="J68" s="51">
        <f t="shared" si="5"/>
        <v>0</v>
      </c>
      <c r="K68" s="52">
        <f t="shared" si="31"/>
        <v>30113.47518</v>
      </c>
      <c r="L68" s="52"/>
      <c r="M68" s="52"/>
      <c r="N68" s="52">
        <f t="shared" si="7"/>
        <v>482.2695035</v>
      </c>
      <c r="O68" s="53">
        <f t="shared" si="8"/>
        <v>29631.20567</v>
      </c>
      <c r="P68" s="54"/>
    </row>
    <row r="69" ht="30.0" hidden="1" customHeight="1">
      <c r="A69" s="44">
        <v>45908.0</v>
      </c>
      <c r="B69" s="45" t="str">
        <f t="shared" si="1"/>
        <v>الاثنين</v>
      </c>
      <c r="C69" s="46" t="s">
        <v>20</v>
      </c>
      <c r="D69" s="47">
        <v>400000.0</v>
      </c>
      <c r="E69" s="48">
        <v>0.0</v>
      </c>
      <c r="F69" s="49">
        <v>0.7763888888888889</v>
      </c>
      <c r="G69" s="50">
        <f t="shared" si="2"/>
        <v>1702.12766</v>
      </c>
      <c r="H69" s="51">
        <f t="shared" si="27"/>
        <v>9</v>
      </c>
      <c r="I69" s="51">
        <f t="shared" si="30"/>
        <v>9.633333333</v>
      </c>
      <c r="J69" s="51">
        <f t="shared" si="5"/>
        <v>0</v>
      </c>
      <c r="K69" s="52">
        <f t="shared" si="31"/>
        <v>39914.89362</v>
      </c>
      <c r="L69" s="52"/>
      <c r="M69" s="52"/>
      <c r="N69" s="52">
        <f t="shared" si="7"/>
        <v>0</v>
      </c>
      <c r="O69" s="53">
        <f t="shared" si="8"/>
        <v>39914.89362</v>
      </c>
      <c r="P69" s="54"/>
    </row>
    <row r="70" ht="30.0" hidden="1" customHeight="1">
      <c r="A70" s="44">
        <v>45909.0</v>
      </c>
      <c r="B70" s="45" t="str">
        <f t="shared" si="1"/>
        <v>الثلاثاء</v>
      </c>
      <c r="C70" s="46" t="s">
        <v>20</v>
      </c>
      <c r="D70" s="47">
        <v>400000.0</v>
      </c>
      <c r="E70" s="48">
        <v>0.40902777777777777</v>
      </c>
      <c r="F70" s="49">
        <v>0.75</v>
      </c>
      <c r="G70" s="50">
        <f t="shared" si="2"/>
        <v>1702.12766</v>
      </c>
      <c r="H70" s="51">
        <f t="shared" si="27"/>
        <v>8.183333333</v>
      </c>
      <c r="I70" s="51">
        <f t="shared" si="30"/>
        <v>0</v>
      </c>
      <c r="J70" s="51">
        <f t="shared" si="5"/>
        <v>0</v>
      </c>
      <c r="K70" s="52">
        <f t="shared" si="31"/>
        <v>13929.07801</v>
      </c>
      <c r="L70" s="52"/>
      <c r="M70" s="52"/>
      <c r="N70" s="52">
        <f t="shared" si="7"/>
        <v>1390.070922</v>
      </c>
      <c r="O70" s="53">
        <f t="shared" si="8"/>
        <v>12539.00709</v>
      </c>
      <c r="P70" s="54"/>
    </row>
    <row r="71" ht="30.0" hidden="1" customHeight="1">
      <c r="A71" s="44">
        <v>45910.0</v>
      </c>
      <c r="B71" s="45" t="str">
        <f t="shared" si="1"/>
        <v>الأربعاء</v>
      </c>
      <c r="C71" s="46" t="s">
        <v>20</v>
      </c>
      <c r="D71" s="47">
        <v>400000.0</v>
      </c>
      <c r="E71" s="49">
        <v>0.4166666666666667</v>
      </c>
      <c r="F71" s="49">
        <v>0.9583333333333334</v>
      </c>
      <c r="G71" s="50">
        <f t="shared" si="2"/>
        <v>1702.12766</v>
      </c>
      <c r="H71" s="51">
        <f t="shared" si="27"/>
        <v>8</v>
      </c>
      <c r="I71" s="51">
        <f t="shared" si="30"/>
        <v>5</v>
      </c>
      <c r="J71" s="51">
        <f t="shared" si="5"/>
        <v>0</v>
      </c>
      <c r="K71" s="52">
        <f t="shared" si="31"/>
        <v>26382.97872</v>
      </c>
      <c r="L71" s="52"/>
      <c r="M71" s="52"/>
      <c r="N71" s="52">
        <f t="shared" si="7"/>
        <v>1702.12766</v>
      </c>
      <c r="O71" s="53">
        <f t="shared" si="8"/>
        <v>24680.85106</v>
      </c>
      <c r="P71" s="54"/>
    </row>
    <row r="72" ht="30.0" hidden="1" customHeight="1">
      <c r="A72" s="44">
        <v>45911.0</v>
      </c>
      <c r="B72" s="45" t="str">
        <f t="shared" si="1"/>
        <v>الخميس</v>
      </c>
      <c r="C72" s="46" t="s">
        <v>20</v>
      </c>
      <c r="D72" s="47">
        <v>400000.0</v>
      </c>
      <c r="E72" s="49">
        <v>0.4722222222222222</v>
      </c>
      <c r="F72" s="49">
        <v>0.9993055555555556</v>
      </c>
      <c r="G72" s="50">
        <f t="shared" si="2"/>
        <v>1702.12766</v>
      </c>
      <c r="H72" s="51">
        <f t="shared" si="27"/>
        <v>6.666666667</v>
      </c>
      <c r="I72" s="51">
        <f t="shared" si="30"/>
        <v>5.983333333</v>
      </c>
      <c r="J72" s="51">
        <f t="shared" si="5"/>
        <v>0</v>
      </c>
      <c r="K72" s="52">
        <f t="shared" si="31"/>
        <v>26624.11348</v>
      </c>
      <c r="L72" s="52"/>
      <c r="M72" s="59">
        <v>50000.0</v>
      </c>
      <c r="N72" s="52">
        <f t="shared" si="7"/>
        <v>3971.631206</v>
      </c>
      <c r="O72" s="53">
        <f t="shared" si="8"/>
        <v>-27347.51773</v>
      </c>
      <c r="P72" s="46" t="s">
        <v>19</v>
      </c>
    </row>
    <row r="73" ht="30.0" hidden="1" customHeight="1">
      <c r="A73" s="44">
        <v>45912.0</v>
      </c>
      <c r="B73" s="45" t="str">
        <f t="shared" si="1"/>
        <v>الجمعة</v>
      </c>
      <c r="C73" s="46" t="s">
        <v>20</v>
      </c>
      <c r="D73" s="47">
        <v>400000.0</v>
      </c>
      <c r="E73" s="49">
        <v>0.0</v>
      </c>
      <c r="F73" s="49">
        <v>0.75</v>
      </c>
      <c r="G73" s="50">
        <f t="shared" si="2"/>
        <v>1702.12766</v>
      </c>
      <c r="H73" s="51">
        <f t="shared" si="27"/>
        <v>9</v>
      </c>
      <c r="I73" s="57">
        <v>0.0</v>
      </c>
      <c r="J73" s="51">
        <f t="shared" si="5"/>
        <v>18</v>
      </c>
      <c r="K73" s="52">
        <f>(J73*G73*2)</f>
        <v>61276.59574</v>
      </c>
      <c r="L73" s="52"/>
      <c r="M73" s="52"/>
      <c r="N73" s="52">
        <f t="shared" si="7"/>
        <v>0</v>
      </c>
      <c r="O73" s="53">
        <f t="shared" si="8"/>
        <v>61276.59574</v>
      </c>
      <c r="P73" s="54"/>
    </row>
    <row r="74" ht="30.0" hidden="1" customHeight="1">
      <c r="A74" s="44">
        <v>45913.0</v>
      </c>
      <c r="B74" s="45" t="str">
        <f t="shared" si="1"/>
        <v>السبت</v>
      </c>
      <c r="C74" s="46" t="s">
        <v>20</v>
      </c>
      <c r="D74" s="47">
        <v>400000.0</v>
      </c>
      <c r="E74" s="56"/>
      <c r="F74" s="56"/>
      <c r="G74" s="50">
        <f t="shared" si="2"/>
        <v>1702.12766</v>
      </c>
      <c r="H74" s="57">
        <v>0.0</v>
      </c>
      <c r="I74" s="51">
        <f t="shared" ref="I74:I79" si="32">MAX(0,(MOD(F74-E74,1)*24)-H74)</f>
        <v>0</v>
      </c>
      <c r="J74" s="51">
        <f t="shared" si="5"/>
        <v>0</v>
      </c>
      <c r="K74" s="52">
        <f t="shared" ref="K74:K79" si="33">(H74*G74)+(I74*G74*1.5)+(J74*G74*2)</f>
        <v>0</v>
      </c>
      <c r="L74" s="52"/>
      <c r="M74" s="52"/>
      <c r="N74" s="52">
        <f t="shared" si="7"/>
        <v>0</v>
      </c>
      <c r="O74" s="53">
        <f t="shared" si="8"/>
        <v>0</v>
      </c>
      <c r="P74" s="54"/>
    </row>
    <row r="75" ht="30.0" hidden="1" customHeight="1">
      <c r="A75" s="44">
        <v>45914.0</v>
      </c>
      <c r="B75" s="45" t="str">
        <f t="shared" si="1"/>
        <v>الأحد</v>
      </c>
      <c r="C75" s="46" t="s">
        <v>20</v>
      </c>
      <c r="D75" s="47">
        <v>400000.0</v>
      </c>
      <c r="E75" s="49">
        <v>0.375</v>
      </c>
      <c r="F75" s="49">
        <v>0.7638888888888888</v>
      </c>
      <c r="G75" s="50">
        <f t="shared" si="2"/>
        <v>1702.12766</v>
      </c>
      <c r="H75" s="51">
        <f t="shared" ref="H75:H86" si="34">MIN(9,MAX(0,(MIN(F75,TIME(18,0,0))-MAX(E75,TIME(9,0,0)))*24))</f>
        <v>9</v>
      </c>
      <c r="I75" s="51">
        <f t="shared" si="32"/>
        <v>0.3333333333</v>
      </c>
      <c r="J75" s="51">
        <f t="shared" si="5"/>
        <v>0</v>
      </c>
      <c r="K75" s="52">
        <f t="shared" si="33"/>
        <v>16170.21277</v>
      </c>
      <c r="L75" s="52"/>
      <c r="M75" s="59">
        <v>130000.0</v>
      </c>
      <c r="N75" s="52">
        <f t="shared" si="7"/>
        <v>0</v>
      </c>
      <c r="O75" s="53">
        <f t="shared" si="8"/>
        <v>-113829.7872</v>
      </c>
      <c r="P75" s="54"/>
    </row>
    <row r="76" ht="30.0" hidden="1" customHeight="1">
      <c r="A76" s="44">
        <v>45915.0</v>
      </c>
      <c r="B76" s="45" t="str">
        <f t="shared" si="1"/>
        <v>الاثنين</v>
      </c>
      <c r="C76" s="46" t="s">
        <v>20</v>
      </c>
      <c r="D76" s="47">
        <v>400000.0</v>
      </c>
      <c r="E76" s="49">
        <v>0.375</v>
      </c>
      <c r="F76" s="49">
        <v>0.7618055555555555</v>
      </c>
      <c r="G76" s="50">
        <f t="shared" si="2"/>
        <v>1702.12766</v>
      </c>
      <c r="H76" s="51">
        <f t="shared" si="34"/>
        <v>9</v>
      </c>
      <c r="I76" s="51">
        <f t="shared" si="32"/>
        <v>0.2833333333</v>
      </c>
      <c r="J76" s="51">
        <f t="shared" si="5"/>
        <v>0</v>
      </c>
      <c r="K76" s="52">
        <f t="shared" si="33"/>
        <v>16042.55319</v>
      </c>
      <c r="L76" s="52"/>
      <c r="M76" s="52"/>
      <c r="N76" s="52">
        <f t="shared" si="7"/>
        <v>0</v>
      </c>
      <c r="O76" s="53">
        <f t="shared" si="8"/>
        <v>16042.55319</v>
      </c>
      <c r="P76" s="54"/>
    </row>
    <row r="77" ht="30.0" hidden="1" customHeight="1">
      <c r="A77" s="44">
        <v>45916.0</v>
      </c>
      <c r="B77" s="45" t="str">
        <f t="shared" si="1"/>
        <v>الثلاثاء</v>
      </c>
      <c r="C77" s="46" t="s">
        <v>20</v>
      </c>
      <c r="D77" s="47">
        <v>400000.0</v>
      </c>
      <c r="E77" s="49">
        <v>0.37777777777777777</v>
      </c>
      <c r="F77" s="49">
        <v>0.7666666666666667</v>
      </c>
      <c r="G77" s="50">
        <f t="shared" si="2"/>
        <v>1702.12766</v>
      </c>
      <c r="H77" s="51">
        <f t="shared" si="34"/>
        <v>8.933333333</v>
      </c>
      <c r="I77" s="51">
        <f t="shared" si="32"/>
        <v>0.4</v>
      </c>
      <c r="J77" s="51">
        <f t="shared" si="5"/>
        <v>0</v>
      </c>
      <c r="K77" s="52">
        <f t="shared" si="33"/>
        <v>16226.95035</v>
      </c>
      <c r="L77" s="52"/>
      <c r="M77" s="52"/>
      <c r="N77" s="52">
        <f t="shared" si="7"/>
        <v>113.4751773</v>
      </c>
      <c r="O77" s="53">
        <f t="shared" si="8"/>
        <v>16113.47518</v>
      </c>
      <c r="P77" s="54"/>
    </row>
    <row r="78" ht="30.0" hidden="1" customHeight="1">
      <c r="A78" s="44">
        <v>45917.0</v>
      </c>
      <c r="B78" s="45" t="str">
        <f t="shared" si="1"/>
        <v>الأربعاء</v>
      </c>
      <c r="C78" s="46" t="s">
        <v>20</v>
      </c>
      <c r="D78" s="47">
        <v>400000.0</v>
      </c>
      <c r="E78" s="49">
        <v>0.375</v>
      </c>
      <c r="F78" s="49">
        <v>0.75</v>
      </c>
      <c r="G78" s="50">
        <f t="shared" si="2"/>
        <v>1702.12766</v>
      </c>
      <c r="H78" s="51">
        <f t="shared" si="34"/>
        <v>9</v>
      </c>
      <c r="I78" s="51">
        <f t="shared" si="32"/>
        <v>0</v>
      </c>
      <c r="J78" s="51">
        <f t="shared" si="5"/>
        <v>0</v>
      </c>
      <c r="K78" s="52">
        <f t="shared" si="33"/>
        <v>15319.14894</v>
      </c>
      <c r="L78" s="52"/>
      <c r="M78" s="52"/>
      <c r="N78" s="52">
        <f t="shared" si="7"/>
        <v>0</v>
      </c>
      <c r="O78" s="53">
        <f t="shared" si="8"/>
        <v>15319.14894</v>
      </c>
      <c r="P78" s="54"/>
    </row>
    <row r="79" ht="30.0" hidden="1" customHeight="1">
      <c r="A79" s="44">
        <v>45918.0</v>
      </c>
      <c r="B79" s="45" t="str">
        <f t="shared" si="1"/>
        <v>الخميس</v>
      </c>
      <c r="C79" s="46" t="s">
        <v>20</v>
      </c>
      <c r="D79" s="47">
        <v>400000.0</v>
      </c>
      <c r="E79" s="49">
        <v>0.375</v>
      </c>
      <c r="F79" s="49">
        <v>0.5013888888888889</v>
      </c>
      <c r="G79" s="50">
        <f t="shared" si="2"/>
        <v>1702.12766</v>
      </c>
      <c r="H79" s="51">
        <f t="shared" si="34"/>
        <v>3.033333333</v>
      </c>
      <c r="I79" s="51">
        <f t="shared" si="32"/>
        <v>0</v>
      </c>
      <c r="J79" s="51">
        <f t="shared" si="5"/>
        <v>0</v>
      </c>
      <c r="K79" s="52">
        <f t="shared" si="33"/>
        <v>5163.120567</v>
      </c>
      <c r="L79" s="52"/>
      <c r="M79" s="59">
        <v>25000.0</v>
      </c>
      <c r="N79" s="52">
        <f t="shared" si="7"/>
        <v>0</v>
      </c>
      <c r="O79" s="53">
        <f t="shared" si="8"/>
        <v>-19836.87943</v>
      </c>
      <c r="P79" s="54"/>
    </row>
    <row r="80" ht="30.0" hidden="1" customHeight="1">
      <c r="A80" s="44">
        <v>45919.0</v>
      </c>
      <c r="B80" s="45" t="str">
        <f t="shared" si="1"/>
        <v>الجمعة</v>
      </c>
      <c r="C80" s="46" t="s">
        <v>20</v>
      </c>
      <c r="D80" s="47">
        <v>400000.0</v>
      </c>
      <c r="E80" s="49">
        <v>0.5729166666666666</v>
      </c>
      <c r="F80" s="49">
        <v>0.7763888888888889</v>
      </c>
      <c r="G80" s="50">
        <f t="shared" si="2"/>
        <v>1702.12766</v>
      </c>
      <c r="H80" s="51">
        <f t="shared" si="34"/>
        <v>4.25</v>
      </c>
      <c r="I80" s="57">
        <v>0.0</v>
      </c>
      <c r="J80" s="51">
        <f t="shared" si="5"/>
        <v>4.883333333</v>
      </c>
      <c r="K80" s="52">
        <f>(J80*G80*2)</f>
        <v>16624.11348</v>
      </c>
      <c r="L80" s="52"/>
      <c r="M80" s="52"/>
      <c r="N80" s="52">
        <f t="shared" si="7"/>
        <v>0</v>
      </c>
      <c r="O80" s="53">
        <f t="shared" si="8"/>
        <v>16624.11348</v>
      </c>
      <c r="P80" s="54"/>
    </row>
    <row r="81" ht="30.0" hidden="1" customHeight="1">
      <c r="A81" s="44">
        <v>45920.0</v>
      </c>
      <c r="B81" s="45" t="str">
        <f t="shared" si="1"/>
        <v>السبت</v>
      </c>
      <c r="C81" s="46" t="s">
        <v>20</v>
      </c>
      <c r="D81" s="47">
        <v>400000.0</v>
      </c>
      <c r="E81" s="49">
        <v>0.38680555555555557</v>
      </c>
      <c r="F81" s="49">
        <v>0.7902777777777777</v>
      </c>
      <c r="G81" s="50">
        <f t="shared" si="2"/>
        <v>1702.12766</v>
      </c>
      <c r="H81" s="51">
        <f t="shared" si="34"/>
        <v>8.716666667</v>
      </c>
      <c r="I81" s="51">
        <f t="shared" ref="I81:I86" si="35">MAX(0,(MOD(F81-E81,1)*24)-H81)</f>
        <v>0.9666666667</v>
      </c>
      <c r="J81" s="51">
        <f t="shared" si="5"/>
        <v>0</v>
      </c>
      <c r="K81" s="52">
        <f t="shared" ref="K81:K86" si="36">(H81*G81)+(I81*G81*1.5)+(J81*G81*2)</f>
        <v>17304.96454</v>
      </c>
      <c r="L81" s="52"/>
      <c r="M81" s="52"/>
      <c r="N81" s="52">
        <f t="shared" si="7"/>
        <v>482.2695035</v>
      </c>
      <c r="O81" s="53">
        <f t="shared" si="8"/>
        <v>16822.69504</v>
      </c>
      <c r="P81" s="54"/>
    </row>
    <row r="82" ht="30.0" hidden="1" customHeight="1">
      <c r="A82" s="44">
        <v>45921.0</v>
      </c>
      <c r="B82" s="45" t="str">
        <f t="shared" si="1"/>
        <v>الأحد</v>
      </c>
      <c r="C82" s="46" t="s">
        <v>20</v>
      </c>
      <c r="D82" s="47">
        <v>400000.0</v>
      </c>
      <c r="E82" s="49">
        <v>0.35833333333333334</v>
      </c>
      <c r="F82" s="49">
        <v>0.75</v>
      </c>
      <c r="G82" s="50">
        <f t="shared" si="2"/>
        <v>1702.12766</v>
      </c>
      <c r="H82" s="51">
        <f t="shared" si="34"/>
        <v>9</v>
      </c>
      <c r="I82" s="51">
        <f t="shared" si="35"/>
        <v>0.4</v>
      </c>
      <c r="J82" s="51">
        <f t="shared" si="5"/>
        <v>0</v>
      </c>
      <c r="K82" s="52">
        <f t="shared" si="36"/>
        <v>16340.42553</v>
      </c>
      <c r="L82" s="52"/>
      <c r="M82" s="52"/>
      <c r="N82" s="52">
        <f t="shared" si="7"/>
        <v>0</v>
      </c>
      <c r="O82" s="53">
        <f t="shared" si="8"/>
        <v>16340.42553</v>
      </c>
      <c r="P82" s="54"/>
    </row>
    <row r="83" ht="30.0" hidden="1" customHeight="1">
      <c r="A83" s="44">
        <v>45922.0</v>
      </c>
      <c r="B83" s="45" t="str">
        <f t="shared" si="1"/>
        <v>الاثنين</v>
      </c>
      <c r="C83" s="46" t="s">
        <v>20</v>
      </c>
      <c r="D83" s="47">
        <v>400000.0</v>
      </c>
      <c r="E83" s="49">
        <v>0.39166666666666666</v>
      </c>
      <c r="F83" s="49">
        <v>0.75</v>
      </c>
      <c r="G83" s="50">
        <f t="shared" si="2"/>
        <v>1702.12766</v>
      </c>
      <c r="H83" s="51">
        <f t="shared" si="34"/>
        <v>8.6</v>
      </c>
      <c r="I83" s="51">
        <f t="shared" si="35"/>
        <v>0</v>
      </c>
      <c r="J83" s="51">
        <f t="shared" si="5"/>
        <v>0</v>
      </c>
      <c r="K83" s="52">
        <f t="shared" si="36"/>
        <v>14638.29787</v>
      </c>
      <c r="L83" s="52"/>
      <c r="M83" s="52"/>
      <c r="N83" s="52">
        <f t="shared" si="7"/>
        <v>680.8510638</v>
      </c>
      <c r="O83" s="53">
        <f t="shared" si="8"/>
        <v>13957.44681</v>
      </c>
      <c r="P83" s="54"/>
    </row>
    <row r="84" ht="30.0" hidden="1" customHeight="1">
      <c r="A84" s="44">
        <v>45923.0</v>
      </c>
      <c r="B84" s="45" t="str">
        <f t="shared" si="1"/>
        <v>الثلاثاء</v>
      </c>
      <c r="C84" s="46" t="s">
        <v>20</v>
      </c>
      <c r="D84" s="47">
        <v>400000.0</v>
      </c>
      <c r="E84" s="49">
        <v>0.3861111111111111</v>
      </c>
      <c r="F84" s="49">
        <v>0.75</v>
      </c>
      <c r="G84" s="50">
        <f t="shared" si="2"/>
        <v>1702.12766</v>
      </c>
      <c r="H84" s="51">
        <f t="shared" si="34"/>
        <v>8.733333333</v>
      </c>
      <c r="I84" s="51">
        <f t="shared" si="35"/>
        <v>0</v>
      </c>
      <c r="J84" s="51">
        <f t="shared" si="5"/>
        <v>0</v>
      </c>
      <c r="K84" s="52">
        <f t="shared" si="36"/>
        <v>14865.24823</v>
      </c>
      <c r="L84" s="52"/>
      <c r="M84" s="52"/>
      <c r="N84" s="52">
        <f t="shared" si="7"/>
        <v>453.9007092</v>
      </c>
      <c r="O84" s="53">
        <f t="shared" si="8"/>
        <v>14411.34752</v>
      </c>
      <c r="P84" s="54"/>
    </row>
    <row r="85" ht="30.0" hidden="1" customHeight="1">
      <c r="A85" s="44">
        <v>45924.0</v>
      </c>
      <c r="B85" s="45" t="str">
        <f t="shared" si="1"/>
        <v>الأربعاء</v>
      </c>
      <c r="C85" s="46" t="s">
        <v>20</v>
      </c>
      <c r="D85" s="47">
        <v>400000.0</v>
      </c>
      <c r="E85" s="49">
        <v>0.38819444444444445</v>
      </c>
      <c r="F85" s="49">
        <v>0.75</v>
      </c>
      <c r="G85" s="50">
        <f t="shared" si="2"/>
        <v>1702.12766</v>
      </c>
      <c r="H85" s="51">
        <f t="shared" si="34"/>
        <v>8.683333333</v>
      </c>
      <c r="I85" s="51">
        <f t="shared" si="35"/>
        <v>0</v>
      </c>
      <c r="J85" s="51">
        <f t="shared" si="5"/>
        <v>0</v>
      </c>
      <c r="K85" s="52">
        <f t="shared" si="36"/>
        <v>14780.14184</v>
      </c>
      <c r="L85" s="52"/>
      <c r="M85" s="52"/>
      <c r="N85" s="52">
        <f t="shared" si="7"/>
        <v>539.0070922</v>
      </c>
      <c r="O85" s="53">
        <f t="shared" si="8"/>
        <v>14241.13475</v>
      </c>
      <c r="P85" s="54"/>
    </row>
    <row r="86" ht="30.0" hidden="1" customHeight="1">
      <c r="A86" s="44">
        <v>45925.0</v>
      </c>
      <c r="B86" s="45" t="str">
        <f t="shared" si="1"/>
        <v>الخميس</v>
      </c>
      <c r="C86" s="46" t="s">
        <v>20</v>
      </c>
      <c r="D86" s="47">
        <v>400000.0</v>
      </c>
      <c r="E86" s="49">
        <v>0.37777777777777777</v>
      </c>
      <c r="F86" s="49">
        <v>0.75</v>
      </c>
      <c r="G86" s="50">
        <f t="shared" si="2"/>
        <v>1702.12766</v>
      </c>
      <c r="H86" s="51">
        <f t="shared" si="34"/>
        <v>8.933333333</v>
      </c>
      <c r="I86" s="51">
        <f t="shared" si="35"/>
        <v>0</v>
      </c>
      <c r="J86" s="51">
        <f t="shared" si="5"/>
        <v>0</v>
      </c>
      <c r="K86" s="52">
        <f t="shared" si="36"/>
        <v>15205.67376</v>
      </c>
      <c r="L86" s="52"/>
      <c r="M86" s="52"/>
      <c r="N86" s="52">
        <f t="shared" si="7"/>
        <v>113.4751773</v>
      </c>
      <c r="O86" s="53">
        <f t="shared" si="8"/>
        <v>15092.19858</v>
      </c>
      <c r="P86" s="54"/>
    </row>
    <row r="87" ht="30.0" hidden="1" customHeight="1">
      <c r="A87" s="44">
        <v>45926.0</v>
      </c>
      <c r="B87" s="45" t="str">
        <f t="shared" si="1"/>
        <v>الجمعة</v>
      </c>
      <c r="C87" s="46" t="s">
        <v>20</v>
      </c>
      <c r="D87" s="47">
        <v>400000.0</v>
      </c>
      <c r="E87" s="49"/>
      <c r="F87" s="56"/>
      <c r="G87" s="50">
        <f t="shared" si="2"/>
        <v>1702.12766</v>
      </c>
      <c r="H87" s="57">
        <v>0.0</v>
      </c>
      <c r="I87" s="57">
        <v>0.0</v>
      </c>
      <c r="J87" s="51">
        <f t="shared" si="5"/>
        <v>0</v>
      </c>
      <c r="K87" s="52">
        <f>(J87*G87*2)</f>
        <v>0</v>
      </c>
      <c r="L87" s="52"/>
      <c r="M87" s="52"/>
      <c r="N87" s="52">
        <f t="shared" si="7"/>
        <v>0</v>
      </c>
      <c r="O87" s="53">
        <f t="shared" si="8"/>
        <v>0</v>
      </c>
      <c r="P87" s="54"/>
    </row>
    <row r="88" ht="30.0" hidden="1" customHeight="1">
      <c r="A88" s="44">
        <v>45927.0</v>
      </c>
      <c r="B88" s="45" t="str">
        <f t="shared" si="1"/>
        <v>السبت</v>
      </c>
      <c r="C88" s="46" t="s">
        <v>20</v>
      </c>
      <c r="D88" s="47">
        <v>400000.0</v>
      </c>
      <c r="E88" s="49">
        <v>0.3958333333333333</v>
      </c>
      <c r="F88" s="49">
        <v>0.75</v>
      </c>
      <c r="G88" s="50">
        <f t="shared" si="2"/>
        <v>1702.12766</v>
      </c>
      <c r="H88" s="51">
        <f t="shared" ref="H88:H103" si="37">MIN(9,MAX(0,(MIN(F88,TIME(18,0,0))-MAX(E88,TIME(9,0,0)))*24))</f>
        <v>8.5</v>
      </c>
      <c r="I88" s="51">
        <f t="shared" ref="I88:I95" si="38">MAX(0,(MOD(F88-E88,1)*24)-H88)</f>
        <v>0</v>
      </c>
      <c r="J88" s="51">
        <f t="shared" si="5"/>
        <v>0</v>
      </c>
      <c r="K88" s="52">
        <f t="shared" ref="K88:K95" si="39">(H88*G88)+(I88*G88*1.5)+(J88*G88*2)</f>
        <v>14468.08511</v>
      </c>
      <c r="L88" s="52"/>
      <c r="M88" s="52"/>
      <c r="N88" s="52">
        <f t="shared" si="7"/>
        <v>851.0638298</v>
      </c>
      <c r="O88" s="53">
        <f t="shared" si="8"/>
        <v>13617.02128</v>
      </c>
      <c r="P88" s="54"/>
    </row>
    <row r="89" ht="30.0" hidden="1" customHeight="1">
      <c r="A89" s="44">
        <v>45928.0</v>
      </c>
      <c r="B89" s="45" t="str">
        <f t="shared" si="1"/>
        <v>الأحد</v>
      </c>
      <c r="C89" s="46" t="s">
        <v>20</v>
      </c>
      <c r="D89" s="47">
        <v>400000.0</v>
      </c>
      <c r="E89" s="49">
        <v>0.3958333333333333</v>
      </c>
      <c r="F89" s="49">
        <v>0.93125</v>
      </c>
      <c r="G89" s="50">
        <f t="shared" si="2"/>
        <v>1702.12766</v>
      </c>
      <c r="H89" s="51">
        <f t="shared" si="37"/>
        <v>8.5</v>
      </c>
      <c r="I89" s="51">
        <f t="shared" si="38"/>
        <v>4.35</v>
      </c>
      <c r="J89" s="51">
        <f t="shared" si="5"/>
        <v>0</v>
      </c>
      <c r="K89" s="52">
        <f t="shared" si="39"/>
        <v>25574.46809</v>
      </c>
      <c r="L89" s="52"/>
      <c r="M89" s="59">
        <v>30000.0</v>
      </c>
      <c r="N89" s="52">
        <f t="shared" si="7"/>
        <v>851.0638298</v>
      </c>
      <c r="O89" s="53">
        <f t="shared" si="8"/>
        <v>-5276.595745</v>
      </c>
      <c r="P89" s="54"/>
    </row>
    <row r="90" ht="30.0" hidden="1" customHeight="1">
      <c r="A90" s="44">
        <v>45929.0</v>
      </c>
      <c r="B90" s="45" t="str">
        <f t="shared" si="1"/>
        <v>الاثنين</v>
      </c>
      <c r="C90" s="46" t="s">
        <v>20</v>
      </c>
      <c r="D90" s="47">
        <v>400000.0</v>
      </c>
      <c r="E90" s="49">
        <v>0.3951388888888889</v>
      </c>
      <c r="F90" s="49">
        <v>0.75</v>
      </c>
      <c r="G90" s="50">
        <f t="shared" si="2"/>
        <v>1702.12766</v>
      </c>
      <c r="H90" s="51">
        <f t="shared" si="37"/>
        <v>8.516666667</v>
      </c>
      <c r="I90" s="51">
        <f t="shared" si="38"/>
        <v>0</v>
      </c>
      <c r="J90" s="51">
        <f t="shared" si="5"/>
        <v>0</v>
      </c>
      <c r="K90" s="52">
        <f t="shared" si="39"/>
        <v>14496.4539</v>
      </c>
      <c r="L90" s="52"/>
      <c r="M90" s="52"/>
      <c r="N90" s="52">
        <f t="shared" si="7"/>
        <v>822.6950355</v>
      </c>
      <c r="O90" s="53">
        <f t="shared" si="8"/>
        <v>13673.75887</v>
      </c>
      <c r="P90" s="54"/>
    </row>
    <row r="91" ht="30.0" hidden="1" customHeight="1">
      <c r="A91" s="44">
        <v>45930.0</v>
      </c>
      <c r="B91" s="45" t="str">
        <f t="shared" si="1"/>
        <v>الثلاثاء</v>
      </c>
      <c r="C91" s="46" t="s">
        <v>20</v>
      </c>
      <c r="D91" s="47">
        <v>400000.0</v>
      </c>
      <c r="E91" s="49">
        <v>0.37777777777777777</v>
      </c>
      <c r="F91" s="49">
        <v>0.75</v>
      </c>
      <c r="G91" s="50">
        <f t="shared" si="2"/>
        <v>1702.12766</v>
      </c>
      <c r="H91" s="51">
        <f t="shared" si="37"/>
        <v>8.933333333</v>
      </c>
      <c r="I91" s="51">
        <f t="shared" si="38"/>
        <v>0</v>
      </c>
      <c r="J91" s="51">
        <f t="shared" si="5"/>
        <v>0</v>
      </c>
      <c r="K91" s="52">
        <f t="shared" si="39"/>
        <v>15205.67376</v>
      </c>
      <c r="L91" s="52"/>
      <c r="M91" s="52"/>
      <c r="N91" s="52">
        <f t="shared" si="7"/>
        <v>113.4751773</v>
      </c>
      <c r="O91" s="53">
        <f t="shared" si="8"/>
        <v>15092.19858</v>
      </c>
      <c r="P91" s="54"/>
    </row>
    <row r="92" ht="30.0" hidden="1" customHeight="1">
      <c r="A92" s="44">
        <v>45901.0</v>
      </c>
      <c r="B92" s="45" t="str">
        <f t="shared" si="1"/>
        <v>الاثنين</v>
      </c>
      <c r="C92" s="46" t="s">
        <v>21</v>
      </c>
      <c r="D92" s="47">
        <v>600000.0</v>
      </c>
      <c r="E92" s="49">
        <v>0.38819444444444445</v>
      </c>
      <c r="F92" s="49">
        <v>0.7777777777777778</v>
      </c>
      <c r="G92" s="50">
        <f t="shared" si="2"/>
        <v>2553.191489</v>
      </c>
      <c r="H92" s="51">
        <f t="shared" si="37"/>
        <v>8.683333333</v>
      </c>
      <c r="I92" s="51">
        <f t="shared" si="38"/>
        <v>0.6666666667</v>
      </c>
      <c r="J92" s="51">
        <f t="shared" si="5"/>
        <v>0</v>
      </c>
      <c r="K92" s="52">
        <f t="shared" si="39"/>
        <v>24723.40426</v>
      </c>
      <c r="L92" s="52"/>
      <c r="M92" s="52"/>
      <c r="N92" s="52">
        <f t="shared" si="7"/>
        <v>808.5106383</v>
      </c>
      <c r="O92" s="53">
        <f t="shared" si="8"/>
        <v>23914.89362</v>
      </c>
      <c r="P92" s="54"/>
    </row>
    <row r="93" ht="30.0" hidden="1" customHeight="1">
      <c r="A93" s="44">
        <v>45902.0</v>
      </c>
      <c r="B93" s="45" t="str">
        <f t="shared" si="1"/>
        <v>الثلاثاء</v>
      </c>
      <c r="C93" s="46" t="s">
        <v>21</v>
      </c>
      <c r="D93" s="47">
        <v>600000.0</v>
      </c>
      <c r="E93" s="49">
        <v>0.4375</v>
      </c>
      <c r="F93" s="49">
        <v>0.7701388888888889</v>
      </c>
      <c r="G93" s="50">
        <f t="shared" si="2"/>
        <v>2553.191489</v>
      </c>
      <c r="H93" s="51">
        <f t="shared" si="37"/>
        <v>7.5</v>
      </c>
      <c r="I93" s="51">
        <f t="shared" si="38"/>
        <v>0.4833333333</v>
      </c>
      <c r="J93" s="51">
        <f t="shared" si="5"/>
        <v>0</v>
      </c>
      <c r="K93" s="52">
        <f t="shared" si="39"/>
        <v>21000</v>
      </c>
      <c r="L93" s="59">
        <v>2553.0</v>
      </c>
      <c r="M93" s="52"/>
      <c r="N93" s="52">
        <f t="shared" si="7"/>
        <v>3829.787234</v>
      </c>
      <c r="O93" s="53">
        <f t="shared" si="8"/>
        <v>19723.21277</v>
      </c>
      <c r="P93" s="46" t="s">
        <v>22</v>
      </c>
    </row>
    <row r="94" ht="30.0" hidden="1" customHeight="1">
      <c r="A94" s="44">
        <v>45903.0</v>
      </c>
      <c r="B94" s="45" t="str">
        <f t="shared" si="1"/>
        <v>الأربعاء</v>
      </c>
      <c r="C94" s="46" t="s">
        <v>21</v>
      </c>
      <c r="D94" s="47">
        <v>600000.0</v>
      </c>
      <c r="E94" s="49">
        <v>0.41041666666666665</v>
      </c>
      <c r="F94" s="49">
        <v>0.75</v>
      </c>
      <c r="G94" s="50">
        <f t="shared" si="2"/>
        <v>2553.191489</v>
      </c>
      <c r="H94" s="51">
        <f t="shared" si="37"/>
        <v>8.15</v>
      </c>
      <c r="I94" s="51">
        <f t="shared" si="38"/>
        <v>0</v>
      </c>
      <c r="J94" s="51">
        <f t="shared" si="5"/>
        <v>0</v>
      </c>
      <c r="K94" s="52">
        <f t="shared" si="39"/>
        <v>20808.51064</v>
      </c>
      <c r="L94" s="59">
        <v>22053.0</v>
      </c>
      <c r="M94" s="52"/>
      <c r="N94" s="52">
        <f t="shared" si="7"/>
        <v>2170.212766</v>
      </c>
      <c r="O94" s="53">
        <f t="shared" si="8"/>
        <v>40691.29787</v>
      </c>
      <c r="P94" s="46" t="s">
        <v>23</v>
      </c>
    </row>
    <row r="95" ht="30.0" hidden="1" customHeight="1">
      <c r="A95" s="44">
        <v>45904.0</v>
      </c>
      <c r="B95" s="45" t="str">
        <f t="shared" si="1"/>
        <v>الخميس</v>
      </c>
      <c r="C95" s="46" t="s">
        <v>21</v>
      </c>
      <c r="D95" s="47">
        <v>600000.0</v>
      </c>
      <c r="E95" s="49">
        <v>0.4166666666666667</v>
      </c>
      <c r="F95" s="49">
        <v>0.75</v>
      </c>
      <c r="G95" s="50">
        <f t="shared" si="2"/>
        <v>2553.191489</v>
      </c>
      <c r="H95" s="51">
        <f t="shared" si="37"/>
        <v>8</v>
      </c>
      <c r="I95" s="51">
        <f t="shared" si="38"/>
        <v>0</v>
      </c>
      <c r="J95" s="51">
        <f t="shared" si="5"/>
        <v>0</v>
      </c>
      <c r="K95" s="52">
        <f t="shared" si="39"/>
        <v>20425.53191</v>
      </c>
      <c r="L95" s="59">
        <v>2553.0</v>
      </c>
      <c r="M95" s="52"/>
      <c r="N95" s="52">
        <f t="shared" si="7"/>
        <v>2553.191489</v>
      </c>
      <c r="O95" s="53">
        <f t="shared" si="8"/>
        <v>20425.34043</v>
      </c>
      <c r="P95" s="46" t="s">
        <v>22</v>
      </c>
    </row>
    <row r="96" ht="30.0" hidden="1" customHeight="1">
      <c r="A96" s="44">
        <v>45905.0</v>
      </c>
      <c r="B96" s="45" t="str">
        <f t="shared" si="1"/>
        <v>الجمعة</v>
      </c>
      <c r="C96" s="46" t="s">
        <v>21</v>
      </c>
      <c r="D96" s="47">
        <v>600000.0</v>
      </c>
      <c r="E96" s="49">
        <v>0.375</v>
      </c>
      <c r="F96" s="49">
        <v>0.7979166666666667</v>
      </c>
      <c r="G96" s="50">
        <f t="shared" si="2"/>
        <v>2553.191489</v>
      </c>
      <c r="H96" s="51">
        <f t="shared" si="37"/>
        <v>9</v>
      </c>
      <c r="I96" s="57">
        <v>0.0</v>
      </c>
      <c r="J96" s="51">
        <f t="shared" si="5"/>
        <v>10.15</v>
      </c>
      <c r="K96" s="52">
        <f>(J96*G96*2)</f>
        <v>51829.78723</v>
      </c>
      <c r="L96" s="52"/>
      <c r="M96" s="52"/>
      <c r="N96" s="52">
        <f t="shared" si="7"/>
        <v>0</v>
      </c>
      <c r="O96" s="53">
        <f t="shared" si="8"/>
        <v>51829.78723</v>
      </c>
      <c r="P96" s="54"/>
    </row>
    <row r="97" ht="30.0" hidden="1" customHeight="1">
      <c r="A97" s="44">
        <v>45906.0</v>
      </c>
      <c r="B97" s="45" t="str">
        <f t="shared" si="1"/>
        <v>السبت</v>
      </c>
      <c r="C97" s="46" t="s">
        <v>21</v>
      </c>
      <c r="D97" s="47">
        <v>600000.0</v>
      </c>
      <c r="E97" s="49">
        <v>0.38680555555555557</v>
      </c>
      <c r="F97" s="49">
        <v>0.7534722222222222</v>
      </c>
      <c r="G97" s="50">
        <f t="shared" si="2"/>
        <v>2553.191489</v>
      </c>
      <c r="H97" s="51">
        <f t="shared" si="37"/>
        <v>8.716666667</v>
      </c>
      <c r="I97" s="51">
        <f t="shared" ref="I97:I102" si="40">MAX(0,(MOD(F97-E97,1)*24)-H97)</f>
        <v>0.08333333333</v>
      </c>
      <c r="J97" s="51">
        <f t="shared" si="5"/>
        <v>0</v>
      </c>
      <c r="K97" s="52">
        <f t="shared" ref="K97:K102" si="41">(H97*G97)+(I97*G97*1.5)+(J97*G97*2)</f>
        <v>22574.46809</v>
      </c>
      <c r="L97" s="52"/>
      <c r="M97" s="52"/>
      <c r="N97" s="52">
        <f t="shared" si="7"/>
        <v>723.4042553</v>
      </c>
      <c r="O97" s="53">
        <f t="shared" si="8"/>
        <v>21851.06383</v>
      </c>
      <c r="P97" s="54"/>
    </row>
    <row r="98" ht="30.0" hidden="1" customHeight="1">
      <c r="A98" s="44">
        <v>45907.0</v>
      </c>
      <c r="B98" s="45" t="str">
        <f t="shared" si="1"/>
        <v>الأحد</v>
      </c>
      <c r="C98" s="46" t="s">
        <v>21</v>
      </c>
      <c r="D98" s="47">
        <v>600000.0</v>
      </c>
      <c r="E98" s="49">
        <v>0.39166666666666666</v>
      </c>
      <c r="F98" s="49">
        <v>0.9604166666666667</v>
      </c>
      <c r="G98" s="50">
        <f t="shared" si="2"/>
        <v>2553.191489</v>
      </c>
      <c r="H98" s="51">
        <f t="shared" si="37"/>
        <v>8.6</v>
      </c>
      <c r="I98" s="51">
        <f t="shared" si="40"/>
        <v>5.05</v>
      </c>
      <c r="J98" s="51">
        <f t="shared" si="5"/>
        <v>0</v>
      </c>
      <c r="K98" s="52">
        <f t="shared" si="41"/>
        <v>41297.87234</v>
      </c>
      <c r="L98" s="52"/>
      <c r="M98" s="52"/>
      <c r="N98" s="52">
        <f t="shared" si="7"/>
        <v>1021.276596</v>
      </c>
      <c r="O98" s="53">
        <f t="shared" si="8"/>
        <v>40276.59574</v>
      </c>
      <c r="P98" s="54"/>
    </row>
    <row r="99" ht="30.0" hidden="1" customHeight="1">
      <c r="A99" s="44">
        <v>45908.0</v>
      </c>
      <c r="B99" s="45" t="str">
        <f t="shared" si="1"/>
        <v>الاثنين</v>
      </c>
      <c r="C99" s="46" t="s">
        <v>21</v>
      </c>
      <c r="D99" s="47">
        <v>600000.0</v>
      </c>
      <c r="E99" s="49">
        <v>0.4263888888888889</v>
      </c>
      <c r="F99" s="49">
        <v>0.76875</v>
      </c>
      <c r="G99" s="50">
        <f t="shared" si="2"/>
        <v>2553.191489</v>
      </c>
      <c r="H99" s="51">
        <f t="shared" si="37"/>
        <v>7.766666667</v>
      </c>
      <c r="I99" s="51">
        <f t="shared" si="40"/>
        <v>0.45</v>
      </c>
      <c r="J99" s="51">
        <f t="shared" si="5"/>
        <v>0</v>
      </c>
      <c r="K99" s="52">
        <f t="shared" si="41"/>
        <v>21553.19149</v>
      </c>
      <c r="L99" s="52"/>
      <c r="M99" s="52"/>
      <c r="N99" s="52">
        <f t="shared" si="7"/>
        <v>3148.93617</v>
      </c>
      <c r="O99" s="53">
        <f t="shared" si="8"/>
        <v>18404.25532</v>
      </c>
      <c r="P99" s="54"/>
    </row>
    <row r="100" ht="30.0" hidden="1" customHeight="1">
      <c r="A100" s="44">
        <v>45909.0</v>
      </c>
      <c r="B100" s="45" t="str">
        <f t="shared" si="1"/>
        <v>الثلاثاء</v>
      </c>
      <c r="C100" s="46" t="s">
        <v>21</v>
      </c>
      <c r="D100" s="47">
        <v>600000.0</v>
      </c>
      <c r="E100" s="49">
        <v>0.41041666666666665</v>
      </c>
      <c r="F100" s="49">
        <v>0.8229166666666666</v>
      </c>
      <c r="G100" s="50">
        <f t="shared" si="2"/>
        <v>2553.191489</v>
      </c>
      <c r="H100" s="51">
        <f t="shared" si="37"/>
        <v>8.15</v>
      </c>
      <c r="I100" s="51">
        <f t="shared" si="40"/>
        <v>1.75</v>
      </c>
      <c r="J100" s="51">
        <f t="shared" si="5"/>
        <v>0</v>
      </c>
      <c r="K100" s="52">
        <f t="shared" si="41"/>
        <v>27510.6383</v>
      </c>
      <c r="L100" s="52"/>
      <c r="M100" s="52"/>
      <c r="N100" s="52">
        <f t="shared" si="7"/>
        <v>2170.212766</v>
      </c>
      <c r="O100" s="53">
        <f t="shared" si="8"/>
        <v>25340.42553</v>
      </c>
      <c r="P100" s="54"/>
    </row>
    <row r="101" ht="30.0" hidden="1" customHeight="1">
      <c r="A101" s="44">
        <v>45910.0</v>
      </c>
      <c r="B101" s="45" t="str">
        <f t="shared" si="1"/>
        <v>الأربعاء</v>
      </c>
      <c r="C101" s="46" t="s">
        <v>21</v>
      </c>
      <c r="D101" s="47">
        <v>600000.0</v>
      </c>
      <c r="E101" s="49">
        <v>0.3923611111111111</v>
      </c>
      <c r="F101" s="49">
        <v>0.9194444444444444</v>
      </c>
      <c r="G101" s="50">
        <f t="shared" si="2"/>
        <v>2553.191489</v>
      </c>
      <c r="H101" s="51">
        <f t="shared" si="37"/>
        <v>8.583333333</v>
      </c>
      <c r="I101" s="51">
        <f t="shared" si="40"/>
        <v>4.066666667</v>
      </c>
      <c r="J101" s="51">
        <f t="shared" si="5"/>
        <v>0</v>
      </c>
      <c r="K101" s="52">
        <f t="shared" si="41"/>
        <v>37489.3617</v>
      </c>
      <c r="L101" s="52"/>
      <c r="M101" s="52"/>
      <c r="N101" s="52">
        <f t="shared" si="7"/>
        <v>1063.829787</v>
      </c>
      <c r="O101" s="53">
        <f t="shared" si="8"/>
        <v>36425.53191</v>
      </c>
      <c r="P101" s="54"/>
    </row>
    <row r="102" ht="30.0" hidden="1" customHeight="1">
      <c r="A102" s="44">
        <v>45911.0</v>
      </c>
      <c r="B102" s="45" t="str">
        <f t="shared" si="1"/>
        <v>الخميس</v>
      </c>
      <c r="C102" s="46" t="s">
        <v>21</v>
      </c>
      <c r="D102" s="47">
        <v>600000.0</v>
      </c>
      <c r="E102" s="49">
        <v>0.4263888888888889</v>
      </c>
      <c r="F102" s="49">
        <v>0.75</v>
      </c>
      <c r="G102" s="50">
        <f t="shared" si="2"/>
        <v>2553.191489</v>
      </c>
      <c r="H102" s="51">
        <f t="shared" si="37"/>
        <v>7.766666667</v>
      </c>
      <c r="I102" s="51">
        <f t="shared" si="40"/>
        <v>0</v>
      </c>
      <c r="J102" s="51">
        <f t="shared" si="5"/>
        <v>0</v>
      </c>
      <c r="K102" s="52">
        <f t="shared" si="41"/>
        <v>19829.78723</v>
      </c>
      <c r="L102" s="52"/>
      <c r="M102" s="52"/>
      <c r="N102" s="52">
        <f t="shared" si="7"/>
        <v>3148.93617</v>
      </c>
      <c r="O102" s="53">
        <f t="shared" si="8"/>
        <v>16680.85106</v>
      </c>
      <c r="P102" s="54"/>
    </row>
    <row r="103" ht="30.0" hidden="1" customHeight="1">
      <c r="A103" s="44">
        <v>45912.0</v>
      </c>
      <c r="B103" s="45" t="str">
        <f t="shared" si="1"/>
        <v>الجمعة</v>
      </c>
      <c r="C103" s="46" t="s">
        <v>21</v>
      </c>
      <c r="D103" s="47">
        <v>600000.0</v>
      </c>
      <c r="E103" s="49">
        <v>0.07152777777777777</v>
      </c>
      <c r="F103" s="49">
        <v>0.75</v>
      </c>
      <c r="G103" s="50">
        <f t="shared" si="2"/>
        <v>2553.191489</v>
      </c>
      <c r="H103" s="51">
        <f t="shared" si="37"/>
        <v>9</v>
      </c>
      <c r="I103" s="57">
        <v>0.0</v>
      </c>
      <c r="J103" s="51">
        <f t="shared" si="5"/>
        <v>16.28333333</v>
      </c>
      <c r="K103" s="52">
        <f>(J103*G103*2)</f>
        <v>83148.93617</v>
      </c>
      <c r="L103" s="52"/>
      <c r="M103" s="52"/>
      <c r="N103" s="52">
        <f t="shared" si="7"/>
        <v>0</v>
      </c>
      <c r="O103" s="53">
        <f t="shared" si="8"/>
        <v>83148.93617</v>
      </c>
      <c r="P103" s="54"/>
    </row>
    <row r="104" ht="30.0" hidden="1" customHeight="1">
      <c r="A104" s="44">
        <v>45913.0</v>
      </c>
      <c r="B104" s="45" t="str">
        <f t="shared" si="1"/>
        <v>السبت</v>
      </c>
      <c r="C104" s="46" t="s">
        <v>21</v>
      </c>
      <c r="D104" s="47">
        <v>600000.0</v>
      </c>
      <c r="E104" s="56"/>
      <c r="F104" s="56"/>
      <c r="G104" s="50">
        <f t="shared" si="2"/>
        <v>2553.191489</v>
      </c>
      <c r="H104" s="57">
        <v>0.0</v>
      </c>
      <c r="I104" s="51">
        <f t="shared" ref="I104:I109" si="42">MAX(0,(MOD(F104-E104,1)*24)-H104)</f>
        <v>0</v>
      </c>
      <c r="J104" s="51">
        <f t="shared" si="5"/>
        <v>0</v>
      </c>
      <c r="K104" s="52">
        <f t="shared" ref="K104:K109" si="43">(H104*G104)+(I104*G104*1.5)+(J104*G104*2)</f>
        <v>0</v>
      </c>
      <c r="L104" s="52"/>
      <c r="M104" s="52"/>
      <c r="N104" s="52">
        <f t="shared" si="7"/>
        <v>0</v>
      </c>
      <c r="O104" s="53">
        <f t="shared" si="8"/>
        <v>0</v>
      </c>
      <c r="P104" s="54"/>
    </row>
    <row r="105" ht="30.0" hidden="1" customHeight="1">
      <c r="A105" s="44">
        <v>45914.0</v>
      </c>
      <c r="B105" s="45" t="str">
        <f t="shared" si="1"/>
        <v>الأحد</v>
      </c>
      <c r="C105" s="46" t="s">
        <v>21</v>
      </c>
      <c r="D105" s="47">
        <v>600000.0</v>
      </c>
      <c r="E105" s="49">
        <v>0.4388888888888889</v>
      </c>
      <c r="F105" s="49">
        <v>0.7534722222222222</v>
      </c>
      <c r="G105" s="50">
        <f t="shared" si="2"/>
        <v>2553.191489</v>
      </c>
      <c r="H105" s="51">
        <f t="shared" ref="H105:H116" si="44">MIN(9,MAX(0,(MIN(F105,TIME(18,0,0))-MAX(E105,TIME(9,0,0)))*24))</f>
        <v>7.466666667</v>
      </c>
      <c r="I105" s="51">
        <f t="shared" si="42"/>
        <v>0.08333333333</v>
      </c>
      <c r="J105" s="51">
        <f t="shared" si="5"/>
        <v>0</v>
      </c>
      <c r="K105" s="52">
        <f t="shared" si="43"/>
        <v>19382.97872</v>
      </c>
      <c r="L105" s="52"/>
      <c r="M105" s="52"/>
      <c r="N105" s="52">
        <f t="shared" si="7"/>
        <v>3914.893617</v>
      </c>
      <c r="O105" s="53">
        <f t="shared" si="8"/>
        <v>15468.08511</v>
      </c>
      <c r="P105" s="54"/>
    </row>
    <row r="106" ht="30.0" hidden="1" customHeight="1">
      <c r="A106" s="44">
        <v>45915.0</v>
      </c>
      <c r="B106" s="45" t="str">
        <f t="shared" si="1"/>
        <v>الاثنين</v>
      </c>
      <c r="C106" s="46" t="s">
        <v>21</v>
      </c>
      <c r="D106" s="47">
        <v>600000.0</v>
      </c>
      <c r="E106" s="49">
        <v>0.3680555555555556</v>
      </c>
      <c r="F106" s="49">
        <v>0.75</v>
      </c>
      <c r="G106" s="50">
        <f t="shared" si="2"/>
        <v>2553.191489</v>
      </c>
      <c r="H106" s="51">
        <f t="shared" si="44"/>
        <v>9</v>
      </c>
      <c r="I106" s="51">
        <f t="shared" si="42"/>
        <v>0.1666666667</v>
      </c>
      <c r="J106" s="51">
        <f t="shared" si="5"/>
        <v>0</v>
      </c>
      <c r="K106" s="52">
        <f t="shared" si="43"/>
        <v>23617.02128</v>
      </c>
      <c r="L106" s="52"/>
      <c r="M106" s="52"/>
      <c r="N106" s="52">
        <f t="shared" si="7"/>
        <v>0</v>
      </c>
      <c r="O106" s="53">
        <f t="shared" si="8"/>
        <v>23617.02128</v>
      </c>
      <c r="P106" s="54"/>
    </row>
    <row r="107" ht="30.0" hidden="1" customHeight="1">
      <c r="A107" s="44">
        <v>45916.0</v>
      </c>
      <c r="B107" s="45" t="str">
        <f t="shared" si="1"/>
        <v>الثلاثاء</v>
      </c>
      <c r="C107" s="46" t="s">
        <v>21</v>
      </c>
      <c r="D107" s="47">
        <v>600000.0</v>
      </c>
      <c r="E107" s="49">
        <v>0.43333333333333335</v>
      </c>
      <c r="F107" s="49">
        <v>0.7638888888888888</v>
      </c>
      <c r="G107" s="50">
        <f t="shared" si="2"/>
        <v>2553.191489</v>
      </c>
      <c r="H107" s="51">
        <f t="shared" si="44"/>
        <v>7.6</v>
      </c>
      <c r="I107" s="51">
        <f t="shared" si="42"/>
        <v>0.3333333333</v>
      </c>
      <c r="J107" s="51">
        <f t="shared" si="5"/>
        <v>0</v>
      </c>
      <c r="K107" s="52">
        <f t="shared" si="43"/>
        <v>20680.85106</v>
      </c>
      <c r="L107" s="52"/>
      <c r="M107" s="52"/>
      <c r="N107" s="52">
        <f t="shared" si="7"/>
        <v>3574.468085</v>
      </c>
      <c r="O107" s="53">
        <f t="shared" si="8"/>
        <v>17106.38298</v>
      </c>
      <c r="P107" s="54"/>
    </row>
    <row r="108" ht="30.0" hidden="1" customHeight="1">
      <c r="A108" s="44">
        <v>45917.0</v>
      </c>
      <c r="B108" s="45" t="str">
        <f t="shared" si="1"/>
        <v>الأربعاء</v>
      </c>
      <c r="C108" s="46" t="s">
        <v>21</v>
      </c>
      <c r="D108" s="47">
        <v>600000.0</v>
      </c>
      <c r="E108" s="49">
        <v>0.37222222222222223</v>
      </c>
      <c r="F108" s="49">
        <v>0.75</v>
      </c>
      <c r="G108" s="50">
        <f t="shared" si="2"/>
        <v>2553.191489</v>
      </c>
      <c r="H108" s="51">
        <f t="shared" si="44"/>
        <v>9</v>
      </c>
      <c r="I108" s="51">
        <f t="shared" si="42"/>
        <v>0.06666666667</v>
      </c>
      <c r="J108" s="51">
        <f t="shared" si="5"/>
        <v>0</v>
      </c>
      <c r="K108" s="52">
        <f t="shared" si="43"/>
        <v>23234.04255</v>
      </c>
      <c r="L108" s="52"/>
      <c r="M108" s="52"/>
      <c r="N108" s="52">
        <f t="shared" si="7"/>
        <v>0</v>
      </c>
      <c r="O108" s="53">
        <f t="shared" si="8"/>
        <v>23234.04255</v>
      </c>
      <c r="P108" s="54"/>
    </row>
    <row r="109" ht="30.0" hidden="1" customHeight="1">
      <c r="A109" s="44">
        <v>45918.0</v>
      </c>
      <c r="B109" s="45" t="str">
        <f t="shared" si="1"/>
        <v>الخميس</v>
      </c>
      <c r="C109" s="46" t="s">
        <v>21</v>
      </c>
      <c r="D109" s="47">
        <v>600000.0</v>
      </c>
      <c r="E109" s="49">
        <v>0.375</v>
      </c>
      <c r="F109" s="49">
        <v>0.8465277777777778</v>
      </c>
      <c r="G109" s="50">
        <f t="shared" si="2"/>
        <v>2553.191489</v>
      </c>
      <c r="H109" s="51">
        <f t="shared" si="44"/>
        <v>9</v>
      </c>
      <c r="I109" s="51">
        <f t="shared" si="42"/>
        <v>2.316666667</v>
      </c>
      <c r="J109" s="51">
        <f t="shared" si="5"/>
        <v>0</v>
      </c>
      <c r="K109" s="52">
        <f t="shared" si="43"/>
        <v>31851.06383</v>
      </c>
      <c r="L109" s="52"/>
      <c r="M109" s="52"/>
      <c r="N109" s="52">
        <f t="shared" si="7"/>
        <v>0</v>
      </c>
      <c r="O109" s="53">
        <f t="shared" si="8"/>
        <v>31851.06383</v>
      </c>
      <c r="P109" s="54"/>
    </row>
    <row r="110" ht="30.0" hidden="1" customHeight="1">
      <c r="A110" s="44">
        <v>45919.0</v>
      </c>
      <c r="B110" s="45" t="str">
        <f t="shared" si="1"/>
        <v>الجمعة</v>
      </c>
      <c r="C110" s="46" t="s">
        <v>21</v>
      </c>
      <c r="D110" s="47">
        <v>600000.0</v>
      </c>
      <c r="E110" s="49">
        <v>0.5479166666666667</v>
      </c>
      <c r="F110" s="49">
        <v>0.8256944444444444</v>
      </c>
      <c r="G110" s="50">
        <f t="shared" si="2"/>
        <v>2553.191489</v>
      </c>
      <c r="H110" s="51">
        <f t="shared" si="44"/>
        <v>4.85</v>
      </c>
      <c r="I110" s="57">
        <v>0.0</v>
      </c>
      <c r="J110" s="51">
        <f t="shared" si="5"/>
        <v>6.666666667</v>
      </c>
      <c r="K110" s="52">
        <f>(J110*G110*2)</f>
        <v>34042.55319</v>
      </c>
      <c r="L110" s="52"/>
      <c r="M110" s="52"/>
      <c r="N110" s="52">
        <f t="shared" si="7"/>
        <v>0</v>
      </c>
      <c r="O110" s="53">
        <f t="shared" si="8"/>
        <v>34042.55319</v>
      </c>
      <c r="P110" s="54"/>
    </row>
    <row r="111" ht="30.0" hidden="1" customHeight="1">
      <c r="A111" s="44">
        <v>45920.0</v>
      </c>
      <c r="B111" s="45" t="str">
        <f t="shared" si="1"/>
        <v>السبت</v>
      </c>
      <c r="C111" s="46" t="s">
        <v>21</v>
      </c>
      <c r="D111" s="47">
        <v>600000.0</v>
      </c>
      <c r="E111" s="49">
        <v>0.375</v>
      </c>
      <c r="F111" s="49">
        <v>0.7479166666666667</v>
      </c>
      <c r="G111" s="50">
        <f t="shared" si="2"/>
        <v>2553.191489</v>
      </c>
      <c r="H111" s="51">
        <f t="shared" si="44"/>
        <v>8.95</v>
      </c>
      <c r="I111" s="51">
        <f t="shared" ref="I111:I146" si="45">MAX(0,(MOD(F111-E111,1)*24)-H111)</f>
        <v>0</v>
      </c>
      <c r="J111" s="51">
        <f t="shared" si="5"/>
        <v>0</v>
      </c>
      <c r="K111" s="52">
        <f t="shared" ref="K111:K116" si="46">(H111*G111)+(I111*G111*1.5)+(J111*G111*2)</f>
        <v>22851.06383</v>
      </c>
      <c r="L111" s="52"/>
      <c r="M111" s="52"/>
      <c r="N111" s="52">
        <f t="shared" si="7"/>
        <v>0</v>
      </c>
      <c r="O111" s="53">
        <f t="shared" si="8"/>
        <v>22851.06383</v>
      </c>
      <c r="P111" s="54"/>
    </row>
    <row r="112" ht="30.0" hidden="1" customHeight="1">
      <c r="A112" s="44">
        <v>45921.0</v>
      </c>
      <c r="B112" s="45" t="str">
        <f t="shared" si="1"/>
        <v>الأحد</v>
      </c>
      <c r="C112" s="46" t="s">
        <v>21</v>
      </c>
      <c r="D112" s="47">
        <v>600000.0</v>
      </c>
      <c r="E112" s="49">
        <v>0.3701388888888889</v>
      </c>
      <c r="F112" s="49">
        <v>0.7541666666666667</v>
      </c>
      <c r="G112" s="50">
        <f t="shared" si="2"/>
        <v>2553.191489</v>
      </c>
      <c r="H112" s="51">
        <f t="shared" si="44"/>
        <v>9</v>
      </c>
      <c r="I112" s="51">
        <f t="shared" si="45"/>
        <v>0.2166666667</v>
      </c>
      <c r="J112" s="51">
        <f t="shared" si="5"/>
        <v>0</v>
      </c>
      <c r="K112" s="52">
        <f t="shared" si="46"/>
        <v>23808.51064</v>
      </c>
      <c r="L112" s="52"/>
      <c r="M112" s="52"/>
      <c r="N112" s="52">
        <f t="shared" si="7"/>
        <v>0</v>
      </c>
      <c r="O112" s="53">
        <f t="shared" si="8"/>
        <v>23808.51064</v>
      </c>
      <c r="P112" s="54"/>
    </row>
    <row r="113" ht="30.0" hidden="1" customHeight="1">
      <c r="A113" s="44">
        <v>45922.0</v>
      </c>
      <c r="B113" s="45" t="str">
        <f t="shared" si="1"/>
        <v>الاثنين</v>
      </c>
      <c r="C113" s="46" t="s">
        <v>21</v>
      </c>
      <c r="D113" s="47">
        <v>600000.0</v>
      </c>
      <c r="E113" s="49">
        <v>0.3875</v>
      </c>
      <c r="F113" s="49">
        <v>0.7520833333333333</v>
      </c>
      <c r="G113" s="50">
        <f t="shared" si="2"/>
        <v>2553.191489</v>
      </c>
      <c r="H113" s="51">
        <f t="shared" si="44"/>
        <v>8.7</v>
      </c>
      <c r="I113" s="51">
        <f t="shared" si="45"/>
        <v>0.05</v>
      </c>
      <c r="J113" s="51">
        <f t="shared" si="5"/>
        <v>0</v>
      </c>
      <c r="K113" s="52">
        <f t="shared" si="46"/>
        <v>22404.25532</v>
      </c>
      <c r="L113" s="52"/>
      <c r="M113" s="52"/>
      <c r="N113" s="52">
        <f t="shared" si="7"/>
        <v>765.9574468</v>
      </c>
      <c r="O113" s="53">
        <f t="shared" si="8"/>
        <v>21638.29787</v>
      </c>
      <c r="P113" s="54"/>
    </row>
    <row r="114" ht="30.0" hidden="1" customHeight="1">
      <c r="A114" s="44">
        <v>45923.0</v>
      </c>
      <c r="B114" s="45" t="str">
        <f t="shared" si="1"/>
        <v>الثلاثاء</v>
      </c>
      <c r="C114" s="46" t="s">
        <v>21</v>
      </c>
      <c r="D114" s="47">
        <v>600000.0</v>
      </c>
      <c r="E114" s="49">
        <v>0.375</v>
      </c>
      <c r="F114" s="49">
        <v>0.7520833333333333</v>
      </c>
      <c r="G114" s="50">
        <f t="shared" si="2"/>
        <v>2553.191489</v>
      </c>
      <c r="H114" s="51">
        <f t="shared" si="44"/>
        <v>9</v>
      </c>
      <c r="I114" s="51">
        <f t="shared" si="45"/>
        <v>0.05</v>
      </c>
      <c r="J114" s="51">
        <f t="shared" si="5"/>
        <v>0</v>
      </c>
      <c r="K114" s="52">
        <f t="shared" si="46"/>
        <v>23170.21277</v>
      </c>
      <c r="L114" s="52"/>
      <c r="M114" s="52"/>
      <c r="N114" s="52">
        <f t="shared" si="7"/>
        <v>0</v>
      </c>
      <c r="O114" s="53">
        <f t="shared" si="8"/>
        <v>23170.21277</v>
      </c>
      <c r="P114" s="54"/>
    </row>
    <row r="115" ht="30.0" hidden="1" customHeight="1">
      <c r="A115" s="44">
        <v>45924.0</v>
      </c>
      <c r="B115" s="45" t="str">
        <f t="shared" si="1"/>
        <v>الأربعاء</v>
      </c>
      <c r="C115" s="46" t="s">
        <v>21</v>
      </c>
      <c r="D115" s="47">
        <v>600000.0</v>
      </c>
      <c r="E115" s="49">
        <v>0.375</v>
      </c>
      <c r="F115" s="49">
        <v>0.75</v>
      </c>
      <c r="G115" s="50">
        <f t="shared" si="2"/>
        <v>2553.191489</v>
      </c>
      <c r="H115" s="51">
        <f t="shared" si="44"/>
        <v>9</v>
      </c>
      <c r="I115" s="51">
        <f t="shared" si="45"/>
        <v>0</v>
      </c>
      <c r="J115" s="51">
        <f t="shared" si="5"/>
        <v>0</v>
      </c>
      <c r="K115" s="52">
        <f t="shared" si="46"/>
        <v>22978.7234</v>
      </c>
      <c r="L115" s="52"/>
      <c r="M115" s="52"/>
      <c r="N115" s="52">
        <f t="shared" si="7"/>
        <v>0</v>
      </c>
      <c r="O115" s="53">
        <f t="shared" si="8"/>
        <v>22978.7234</v>
      </c>
      <c r="P115" s="54"/>
    </row>
    <row r="116" ht="30.0" hidden="1" customHeight="1">
      <c r="A116" s="44">
        <v>45925.0</v>
      </c>
      <c r="B116" s="45" t="str">
        <f t="shared" si="1"/>
        <v>الخميس</v>
      </c>
      <c r="C116" s="46" t="s">
        <v>21</v>
      </c>
      <c r="D116" s="47">
        <v>600000.0</v>
      </c>
      <c r="E116" s="49">
        <v>0.375</v>
      </c>
      <c r="F116" s="49">
        <v>0.7840277777777778</v>
      </c>
      <c r="G116" s="50">
        <f t="shared" si="2"/>
        <v>2553.191489</v>
      </c>
      <c r="H116" s="51">
        <f t="shared" si="44"/>
        <v>9</v>
      </c>
      <c r="I116" s="51">
        <f t="shared" si="45"/>
        <v>0.8166666667</v>
      </c>
      <c r="J116" s="51">
        <f t="shared" si="5"/>
        <v>0</v>
      </c>
      <c r="K116" s="52">
        <f t="shared" si="46"/>
        <v>26106.38298</v>
      </c>
      <c r="L116" s="52"/>
      <c r="M116" s="52"/>
      <c r="N116" s="52">
        <f t="shared" si="7"/>
        <v>0</v>
      </c>
      <c r="O116" s="53">
        <f t="shared" si="8"/>
        <v>26106.38298</v>
      </c>
      <c r="P116" s="54"/>
    </row>
    <row r="117" ht="30.0" hidden="1" customHeight="1">
      <c r="A117" s="44">
        <v>45926.0</v>
      </c>
      <c r="B117" s="45" t="str">
        <f t="shared" si="1"/>
        <v>الجمعة</v>
      </c>
      <c r="C117" s="46" t="s">
        <v>21</v>
      </c>
      <c r="D117" s="47">
        <v>600000.0</v>
      </c>
      <c r="E117" s="49"/>
      <c r="F117" s="49"/>
      <c r="G117" s="50">
        <f t="shared" si="2"/>
        <v>2553.191489</v>
      </c>
      <c r="H117" s="57">
        <v>0.0</v>
      </c>
      <c r="I117" s="51">
        <f t="shared" si="45"/>
        <v>0</v>
      </c>
      <c r="J117" s="51">
        <f t="shared" si="5"/>
        <v>0</v>
      </c>
      <c r="K117" s="52">
        <f>(J117*G117*2)</f>
        <v>0</v>
      </c>
      <c r="L117" s="52"/>
      <c r="M117" s="52"/>
      <c r="N117" s="52">
        <f t="shared" si="7"/>
        <v>0</v>
      </c>
      <c r="O117" s="53">
        <f t="shared" si="8"/>
        <v>0</v>
      </c>
      <c r="P117" s="54"/>
    </row>
    <row r="118" ht="30.0" hidden="1" customHeight="1">
      <c r="A118" s="44">
        <v>45927.0</v>
      </c>
      <c r="B118" s="45" t="str">
        <f t="shared" si="1"/>
        <v>السبت</v>
      </c>
      <c r="C118" s="46" t="s">
        <v>21</v>
      </c>
      <c r="D118" s="47">
        <v>600000.0</v>
      </c>
      <c r="E118" s="49">
        <v>0.37777777777777777</v>
      </c>
      <c r="F118" s="49">
        <v>0.7604166666666666</v>
      </c>
      <c r="G118" s="50">
        <f t="shared" si="2"/>
        <v>2553.191489</v>
      </c>
      <c r="H118" s="51">
        <f t="shared" ref="H118:H121" si="47">MIN(9,MAX(0,(MIN(F118,TIME(18,0,0))-MAX(E118,TIME(9,0,0)))*24))</f>
        <v>8.933333333</v>
      </c>
      <c r="I118" s="51">
        <f t="shared" si="45"/>
        <v>0.25</v>
      </c>
      <c r="J118" s="51">
        <f t="shared" si="5"/>
        <v>0</v>
      </c>
      <c r="K118" s="52">
        <f t="shared" ref="K118:K125" si="48">(H118*G118)+(I118*G118*1.5)+(J118*G118*2)</f>
        <v>23765.95745</v>
      </c>
      <c r="L118" s="52"/>
      <c r="M118" s="52"/>
      <c r="N118" s="52">
        <f t="shared" si="7"/>
        <v>170.212766</v>
      </c>
      <c r="O118" s="53">
        <f t="shared" si="8"/>
        <v>23595.74468</v>
      </c>
      <c r="P118" s="54"/>
    </row>
    <row r="119" ht="30.0" hidden="1" customHeight="1">
      <c r="A119" s="44">
        <v>45928.0</v>
      </c>
      <c r="B119" s="45" t="str">
        <f t="shared" si="1"/>
        <v>الأحد</v>
      </c>
      <c r="C119" s="46" t="s">
        <v>21</v>
      </c>
      <c r="D119" s="47">
        <v>600000.0</v>
      </c>
      <c r="E119" s="49">
        <v>0.37916666666666665</v>
      </c>
      <c r="F119" s="49">
        <v>0.7569444444444444</v>
      </c>
      <c r="G119" s="50">
        <f t="shared" si="2"/>
        <v>2553.191489</v>
      </c>
      <c r="H119" s="51">
        <f t="shared" si="47"/>
        <v>8.9</v>
      </c>
      <c r="I119" s="51">
        <f t="shared" si="45"/>
        <v>0.1666666667</v>
      </c>
      <c r="J119" s="51">
        <f t="shared" si="5"/>
        <v>0</v>
      </c>
      <c r="K119" s="52">
        <f t="shared" si="48"/>
        <v>23361.70213</v>
      </c>
      <c r="L119" s="52"/>
      <c r="M119" s="52"/>
      <c r="N119" s="52">
        <f t="shared" si="7"/>
        <v>255.3191489</v>
      </c>
      <c r="O119" s="53">
        <f t="shared" si="8"/>
        <v>23106.38298</v>
      </c>
      <c r="P119" s="54"/>
    </row>
    <row r="120" ht="30.0" hidden="1" customHeight="1">
      <c r="A120" s="44">
        <v>45929.0</v>
      </c>
      <c r="B120" s="45" t="str">
        <f t="shared" si="1"/>
        <v>الاثنين</v>
      </c>
      <c r="C120" s="46" t="s">
        <v>21</v>
      </c>
      <c r="D120" s="47">
        <v>600000.0</v>
      </c>
      <c r="E120" s="49">
        <v>0.39305555555555555</v>
      </c>
      <c r="F120" s="49">
        <v>0.7548611111111111</v>
      </c>
      <c r="G120" s="50">
        <f t="shared" si="2"/>
        <v>2553.191489</v>
      </c>
      <c r="H120" s="51">
        <f t="shared" si="47"/>
        <v>8.566666667</v>
      </c>
      <c r="I120" s="51">
        <f t="shared" si="45"/>
        <v>0.1166666667</v>
      </c>
      <c r="J120" s="51">
        <f t="shared" si="5"/>
        <v>0</v>
      </c>
      <c r="K120" s="52">
        <f t="shared" si="48"/>
        <v>22319.14894</v>
      </c>
      <c r="L120" s="52"/>
      <c r="M120" s="52"/>
      <c r="N120" s="52">
        <f t="shared" si="7"/>
        <v>1106.382979</v>
      </c>
      <c r="O120" s="53">
        <f t="shared" si="8"/>
        <v>21212.76596</v>
      </c>
      <c r="P120" s="54"/>
    </row>
    <row r="121" ht="30.0" hidden="1" customHeight="1">
      <c r="A121" s="44">
        <v>45930.0</v>
      </c>
      <c r="B121" s="45" t="str">
        <f t="shared" si="1"/>
        <v>الثلاثاء</v>
      </c>
      <c r="C121" s="46" t="s">
        <v>21</v>
      </c>
      <c r="D121" s="47">
        <v>600000.0</v>
      </c>
      <c r="E121" s="49">
        <v>0.3854166666666667</v>
      </c>
      <c r="F121" s="49">
        <v>0.7604166666666666</v>
      </c>
      <c r="G121" s="50">
        <f t="shared" si="2"/>
        <v>2553.191489</v>
      </c>
      <c r="H121" s="51">
        <f t="shared" si="47"/>
        <v>8.75</v>
      </c>
      <c r="I121" s="51">
        <f t="shared" si="45"/>
        <v>0.25</v>
      </c>
      <c r="J121" s="51">
        <f t="shared" si="5"/>
        <v>0</v>
      </c>
      <c r="K121" s="52">
        <f t="shared" si="48"/>
        <v>23297.87234</v>
      </c>
      <c r="L121" s="52"/>
      <c r="M121" s="52"/>
      <c r="N121" s="52">
        <f t="shared" si="7"/>
        <v>638.2978723</v>
      </c>
      <c r="O121" s="53">
        <f t="shared" si="8"/>
        <v>22659.57447</v>
      </c>
      <c r="P121" s="54"/>
    </row>
    <row r="122" ht="30.0" hidden="1" customHeight="1">
      <c r="A122" s="44">
        <v>45901.0</v>
      </c>
      <c r="B122" s="45" t="str">
        <f t="shared" si="1"/>
        <v>الاثنين</v>
      </c>
      <c r="C122" s="46" t="s">
        <v>24</v>
      </c>
      <c r="D122" s="47">
        <v>400000.0</v>
      </c>
      <c r="E122" s="56"/>
      <c r="F122" s="56"/>
      <c r="G122" s="50">
        <f t="shared" si="2"/>
        <v>1702.12766</v>
      </c>
      <c r="H122" s="57">
        <v>0.0</v>
      </c>
      <c r="I122" s="51">
        <f t="shared" si="45"/>
        <v>0</v>
      </c>
      <c r="J122" s="51">
        <f t="shared" si="5"/>
        <v>0</v>
      </c>
      <c r="K122" s="52">
        <f t="shared" si="48"/>
        <v>0</v>
      </c>
      <c r="L122" s="52"/>
      <c r="M122" s="52"/>
      <c r="N122" s="52">
        <f t="shared" si="7"/>
        <v>0</v>
      </c>
      <c r="O122" s="53">
        <f t="shared" si="8"/>
        <v>0</v>
      </c>
      <c r="P122" s="54"/>
    </row>
    <row r="123" ht="30.0" hidden="1" customHeight="1">
      <c r="A123" s="44">
        <v>45902.0</v>
      </c>
      <c r="B123" s="45" t="str">
        <f t="shared" si="1"/>
        <v>الثلاثاء</v>
      </c>
      <c r="C123" s="46" t="s">
        <v>24</v>
      </c>
      <c r="D123" s="47">
        <v>400000.0</v>
      </c>
      <c r="E123" s="56"/>
      <c r="F123" s="56"/>
      <c r="G123" s="50">
        <f t="shared" si="2"/>
        <v>1702.12766</v>
      </c>
      <c r="H123" s="57">
        <v>0.0</v>
      </c>
      <c r="I123" s="51">
        <f t="shared" si="45"/>
        <v>0</v>
      </c>
      <c r="J123" s="51">
        <f t="shared" si="5"/>
        <v>0</v>
      </c>
      <c r="K123" s="52">
        <f t="shared" si="48"/>
        <v>0</v>
      </c>
      <c r="L123" s="52"/>
      <c r="M123" s="52"/>
      <c r="N123" s="52">
        <f t="shared" si="7"/>
        <v>0</v>
      </c>
      <c r="O123" s="53">
        <f t="shared" si="8"/>
        <v>0</v>
      </c>
      <c r="P123" s="54"/>
    </row>
    <row r="124" ht="30.0" hidden="1" customHeight="1">
      <c r="A124" s="44">
        <v>45903.0</v>
      </c>
      <c r="B124" s="45" t="str">
        <f t="shared" si="1"/>
        <v>الأربعاء</v>
      </c>
      <c r="C124" s="46" t="s">
        <v>24</v>
      </c>
      <c r="D124" s="47">
        <v>400000.0</v>
      </c>
      <c r="E124" s="56"/>
      <c r="F124" s="56"/>
      <c r="G124" s="50">
        <f t="shared" si="2"/>
        <v>1702.12766</v>
      </c>
      <c r="H124" s="57">
        <v>0.0</v>
      </c>
      <c r="I124" s="51">
        <f t="shared" si="45"/>
        <v>0</v>
      </c>
      <c r="J124" s="51">
        <f t="shared" si="5"/>
        <v>0</v>
      </c>
      <c r="K124" s="52">
        <f t="shared" si="48"/>
        <v>0</v>
      </c>
      <c r="L124" s="52"/>
      <c r="M124" s="52"/>
      <c r="N124" s="52">
        <f t="shared" si="7"/>
        <v>0</v>
      </c>
      <c r="O124" s="53">
        <f t="shared" si="8"/>
        <v>0</v>
      </c>
      <c r="P124" s="54"/>
    </row>
    <row r="125" ht="30.0" hidden="1" customHeight="1">
      <c r="A125" s="44">
        <v>45904.0</v>
      </c>
      <c r="B125" s="45" t="str">
        <f t="shared" si="1"/>
        <v>الخميس</v>
      </c>
      <c r="C125" s="46" t="s">
        <v>24</v>
      </c>
      <c r="D125" s="47">
        <v>400000.0</v>
      </c>
      <c r="E125" s="56"/>
      <c r="F125" s="56"/>
      <c r="G125" s="50">
        <f t="shared" si="2"/>
        <v>1702.12766</v>
      </c>
      <c r="H125" s="57">
        <v>0.0</v>
      </c>
      <c r="I125" s="51">
        <f t="shared" si="45"/>
        <v>0</v>
      </c>
      <c r="J125" s="51">
        <f t="shared" si="5"/>
        <v>0</v>
      </c>
      <c r="K125" s="52">
        <f t="shared" si="48"/>
        <v>0</v>
      </c>
      <c r="L125" s="52"/>
      <c r="M125" s="52"/>
      <c r="N125" s="52">
        <f t="shared" si="7"/>
        <v>0</v>
      </c>
      <c r="O125" s="53">
        <f t="shared" si="8"/>
        <v>0</v>
      </c>
      <c r="P125" s="54"/>
    </row>
    <row r="126" ht="30.0" hidden="1" customHeight="1">
      <c r="A126" s="44">
        <v>45905.0</v>
      </c>
      <c r="B126" s="45" t="str">
        <f t="shared" si="1"/>
        <v>الجمعة</v>
      </c>
      <c r="C126" s="46" t="s">
        <v>24</v>
      </c>
      <c r="D126" s="47">
        <v>400000.0</v>
      </c>
      <c r="E126" s="56"/>
      <c r="F126" s="56"/>
      <c r="G126" s="50">
        <f t="shared" si="2"/>
        <v>1702.12766</v>
      </c>
      <c r="H126" s="57">
        <v>0.0</v>
      </c>
      <c r="I126" s="51">
        <f t="shared" si="45"/>
        <v>0</v>
      </c>
      <c r="J126" s="51">
        <f t="shared" si="5"/>
        <v>0</v>
      </c>
      <c r="K126" s="52">
        <f>(J126*G126*2)</f>
        <v>0</v>
      </c>
      <c r="L126" s="52"/>
      <c r="M126" s="52"/>
      <c r="N126" s="52">
        <f t="shared" si="7"/>
        <v>0</v>
      </c>
      <c r="O126" s="53">
        <f t="shared" si="8"/>
        <v>0</v>
      </c>
      <c r="P126" s="54"/>
    </row>
    <row r="127" ht="30.0" hidden="1" customHeight="1">
      <c r="A127" s="44">
        <v>45906.0</v>
      </c>
      <c r="B127" s="45" t="str">
        <f t="shared" si="1"/>
        <v>السبت</v>
      </c>
      <c r="C127" s="46" t="s">
        <v>24</v>
      </c>
      <c r="D127" s="47">
        <v>400000.0</v>
      </c>
      <c r="E127" s="56"/>
      <c r="F127" s="56"/>
      <c r="G127" s="50">
        <f t="shared" si="2"/>
        <v>1702.12766</v>
      </c>
      <c r="H127" s="57">
        <v>0.0</v>
      </c>
      <c r="I127" s="51">
        <f t="shared" si="45"/>
        <v>0</v>
      </c>
      <c r="J127" s="51">
        <f t="shared" si="5"/>
        <v>0</v>
      </c>
      <c r="K127" s="52">
        <f t="shared" ref="K127:K132" si="49">(H127*G127)+(I127*G127*1.5)+(J127*G127*2)</f>
        <v>0</v>
      </c>
      <c r="L127" s="52"/>
      <c r="M127" s="52"/>
      <c r="N127" s="52">
        <f t="shared" si="7"/>
        <v>0</v>
      </c>
      <c r="O127" s="53">
        <f t="shared" si="8"/>
        <v>0</v>
      </c>
      <c r="P127" s="54"/>
    </row>
    <row r="128" ht="30.0" hidden="1" customHeight="1">
      <c r="A128" s="44">
        <v>45907.0</v>
      </c>
      <c r="B128" s="45" t="str">
        <f t="shared" si="1"/>
        <v>الأحد</v>
      </c>
      <c r="C128" s="46" t="s">
        <v>24</v>
      </c>
      <c r="D128" s="47">
        <v>400000.0</v>
      </c>
      <c r="E128" s="56"/>
      <c r="F128" s="56"/>
      <c r="G128" s="50">
        <f t="shared" si="2"/>
        <v>1702.12766</v>
      </c>
      <c r="H128" s="57">
        <v>0.0</v>
      </c>
      <c r="I128" s="51">
        <f t="shared" si="45"/>
        <v>0</v>
      </c>
      <c r="J128" s="51">
        <f t="shared" si="5"/>
        <v>0</v>
      </c>
      <c r="K128" s="52">
        <f t="shared" si="49"/>
        <v>0</v>
      </c>
      <c r="L128" s="52"/>
      <c r="M128" s="52"/>
      <c r="N128" s="52">
        <f t="shared" si="7"/>
        <v>0</v>
      </c>
      <c r="O128" s="53">
        <f t="shared" si="8"/>
        <v>0</v>
      </c>
      <c r="P128" s="54"/>
    </row>
    <row r="129" ht="30.0" hidden="1" customHeight="1">
      <c r="A129" s="44">
        <v>45908.0</v>
      </c>
      <c r="B129" s="45" t="str">
        <f t="shared" si="1"/>
        <v>الاثنين</v>
      </c>
      <c r="C129" s="46" t="s">
        <v>24</v>
      </c>
      <c r="D129" s="47">
        <v>400000.0</v>
      </c>
      <c r="E129" s="56"/>
      <c r="F129" s="56"/>
      <c r="G129" s="50">
        <f t="shared" si="2"/>
        <v>1702.12766</v>
      </c>
      <c r="H129" s="57">
        <v>0.0</v>
      </c>
      <c r="I129" s="51">
        <f t="shared" si="45"/>
        <v>0</v>
      </c>
      <c r="J129" s="51">
        <f t="shared" si="5"/>
        <v>0</v>
      </c>
      <c r="K129" s="52">
        <f t="shared" si="49"/>
        <v>0</v>
      </c>
      <c r="L129" s="52"/>
      <c r="M129" s="52"/>
      <c r="N129" s="52">
        <f t="shared" si="7"/>
        <v>0</v>
      </c>
      <c r="O129" s="53">
        <f t="shared" si="8"/>
        <v>0</v>
      </c>
      <c r="P129" s="54"/>
    </row>
    <row r="130" ht="30.0" hidden="1" customHeight="1">
      <c r="A130" s="44">
        <v>45909.0</v>
      </c>
      <c r="B130" s="45" t="str">
        <f t="shared" si="1"/>
        <v>الثلاثاء</v>
      </c>
      <c r="C130" s="46" t="s">
        <v>24</v>
      </c>
      <c r="D130" s="47">
        <v>400000.0</v>
      </c>
      <c r="E130" s="56"/>
      <c r="F130" s="56"/>
      <c r="G130" s="50">
        <f t="shared" si="2"/>
        <v>1702.12766</v>
      </c>
      <c r="H130" s="57">
        <v>0.0</v>
      </c>
      <c r="I130" s="51">
        <f t="shared" si="45"/>
        <v>0</v>
      </c>
      <c r="J130" s="51">
        <f t="shared" si="5"/>
        <v>0</v>
      </c>
      <c r="K130" s="52">
        <f t="shared" si="49"/>
        <v>0</v>
      </c>
      <c r="L130" s="52"/>
      <c r="M130" s="52"/>
      <c r="N130" s="52">
        <f t="shared" si="7"/>
        <v>0</v>
      </c>
      <c r="O130" s="53">
        <f t="shared" si="8"/>
        <v>0</v>
      </c>
      <c r="P130" s="54"/>
    </row>
    <row r="131" ht="30.0" hidden="1" customHeight="1">
      <c r="A131" s="44">
        <v>45910.0</v>
      </c>
      <c r="B131" s="45" t="str">
        <f t="shared" si="1"/>
        <v>الأربعاء</v>
      </c>
      <c r="C131" s="46" t="s">
        <v>24</v>
      </c>
      <c r="D131" s="47">
        <v>400000.0</v>
      </c>
      <c r="E131" s="56"/>
      <c r="F131" s="56"/>
      <c r="G131" s="50">
        <f t="shared" si="2"/>
        <v>1702.12766</v>
      </c>
      <c r="H131" s="57">
        <v>0.0</v>
      </c>
      <c r="I131" s="51">
        <f t="shared" si="45"/>
        <v>0</v>
      </c>
      <c r="J131" s="51">
        <f t="shared" si="5"/>
        <v>0</v>
      </c>
      <c r="K131" s="52">
        <f t="shared" si="49"/>
        <v>0</v>
      </c>
      <c r="L131" s="52"/>
      <c r="M131" s="52"/>
      <c r="N131" s="52">
        <f t="shared" si="7"/>
        <v>0</v>
      </c>
      <c r="O131" s="53">
        <f t="shared" si="8"/>
        <v>0</v>
      </c>
      <c r="P131" s="54"/>
    </row>
    <row r="132" ht="30.0" hidden="1" customHeight="1">
      <c r="A132" s="44">
        <v>45911.0</v>
      </c>
      <c r="B132" s="45" t="str">
        <f t="shared" si="1"/>
        <v>الخميس</v>
      </c>
      <c r="C132" s="46" t="s">
        <v>24</v>
      </c>
      <c r="D132" s="47">
        <v>400000.0</v>
      </c>
      <c r="E132" s="56"/>
      <c r="F132" s="56"/>
      <c r="G132" s="50">
        <f t="shared" si="2"/>
        <v>1702.12766</v>
      </c>
      <c r="H132" s="57">
        <v>0.0</v>
      </c>
      <c r="I132" s="51">
        <f t="shared" si="45"/>
        <v>0</v>
      </c>
      <c r="J132" s="51">
        <f t="shared" si="5"/>
        <v>0</v>
      </c>
      <c r="K132" s="52">
        <f t="shared" si="49"/>
        <v>0</v>
      </c>
      <c r="L132" s="52"/>
      <c r="M132" s="52"/>
      <c r="N132" s="52">
        <f t="shared" si="7"/>
        <v>0</v>
      </c>
      <c r="O132" s="53">
        <f t="shared" si="8"/>
        <v>0</v>
      </c>
      <c r="P132" s="54"/>
    </row>
    <row r="133" ht="30.0" hidden="1" customHeight="1">
      <c r="A133" s="44">
        <v>45912.0</v>
      </c>
      <c r="B133" s="45" t="str">
        <f t="shared" si="1"/>
        <v>الجمعة</v>
      </c>
      <c r="C133" s="46" t="s">
        <v>24</v>
      </c>
      <c r="D133" s="47">
        <v>400000.0</v>
      </c>
      <c r="E133" s="56"/>
      <c r="F133" s="56"/>
      <c r="G133" s="50">
        <f t="shared" si="2"/>
        <v>1702.12766</v>
      </c>
      <c r="H133" s="57">
        <v>0.0</v>
      </c>
      <c r="I133" s="51">
        <f t="shared" si="45"/>
        <v>0</v>
      </c>
      <c r="J133" s="51">
        <f t="shared" si="5"/>
        <v>0</v>
      </c>
      <c r="K133" s="52">
        <f>(J133*G133*2)</f>
        <v>0</v>
      </c>
      <c r="L133" s="52"/>
      <c r="M133" s="52"/>
      <c r="N133" s="52">
        <f t="shared" si="7"/>
        <v>0</v>
      </c>
      <c r="O133" s="53">
        <f t="shared" si="8"/>
        <v>0</v>
      </c>
      <c r="P133" s="54"/>
    </row>
    <row r="134" ht="30.0" hidden="1" customHeight="1">
      <c r="A134" s="44">
        <v>45913.0</v>
      </c>
      <c r="B134" s="45" t="str">
        <f t="shared" si="1"/>
        <v>السبت</v>
      </c>
      <c r="C134" s="46" t="s">
        <v>24</v>
      </c>
      <c r="D134" s="47">
        <v>400000.0</v>
      </c>
      <c r="E134" s="56"/>
      <c r="F134" s="56"/>
      <c r="G134" s="50">
        <f t="shared" si="2"/>
        <v>1702.12766</v>
      </c>
      <c r="H134" s="57">
        <v>0.0</v>
      </c>
      <c r="I134" s="51">
        <f t="shared" si="45"/>
        <v>0</v>
      </c>
      <c r="J134" s="51">
        <f t="shared" si="5"/>
        <v>0</v>
      </c>
      <c r="K134" s="52">
        <f t="shared" ref="K134:K139" si="50">(H134*G134)+(I134*G134*1.5)+(J134*G134*2)</f>
        <v>0</v>
      </c>
      <c r="L134" s="52"/>
      <c r="M134" s="52"/>
      <c r="N134" s="52">
        <f t="shared" si="7"/>
        <v>0</v>
      </c>
      <c r="O134" s="53">
        <f t="shared" si="8"/>
        <v>0</v>
      </c>
      <c r="P134" s="54"/>
    </row>
    <row r="135" ht="30.0" hidden="1" customHeight="1">
      <c r="A135" s="44">
        <v>45914.0</v>
      </c>
      <c r="B135" s="45" t="str">
        <f t="shared" si="1"/>
        <v>الأحد</v>
      </c>
      <c r="C135" s="46" t="s">
        <v>24</v>
      </c>
      <c r="D135" s="47">
        <v>400000.0</v>
      </c>
      <c r="E135" s="56"/>
      <c r="F135" s="56"/>
      <c r="G135" s="50">
        <f t="shared" si="2"/>
        <v>1702.12766</v>
      </c>
      <c r="H135" s="57">
        <v>0.0</v>
      </c>
      <c r="I135" s="51">
        <f t="shared" si="45"/>
        <v>0</v>
      </c>
      <c r="J135" s="51">
        <f t="shared" si="5"/>
        <v>0</v>
      </c>
      <c r="K135" s="52">
        <f t="shared" si="50"/>
        <v>0</v>
      </c>
      <c r="L135" s="52"/>
      <c r="M135" s="52"/>
      <c r="N135" s="52">
        <f t="shared" si="7"/>
        <v>0</v>
      </c>
      <c r="O135" s="53">
        <f t="shared" si="8"/>
        <v>0</v>
      </c>
      <c r="P135" s="54"/>
    </row>
    <row r="136" ht="30.0" hidden="1" customHeight="1">
      <c r="A136" s="44">
        <v>45915.0</v>
      </c>
      <c r="B136" s="45" t="str">
        <f t="shared" si="1"/>
        <v>الاثنين</v>
      </c>
      <c r="C136" s="46" t="s">
        <v>24</v>
      </c>
      <c r="D136" s="47">
        <v>400000.0</v>
      </c>
      <c r="E136" s="56"/>
      <c r="F136" s="56"/>
      <c r="G136" s="50">
        <f t="shared" si="2"/>
        <v>1702.12766</v>
      </c>
      <c r="H136" s="57">
        <v>0.0</v>
      </c>
      <c r="I136" s="51">
        <f t="shared" si="45"/>
        <v>0</v>
      </c>
      <c r="J136" s="51">
        <f t="shared" si="5"/>
        <v>0</v>
      </c>
      <c r="K136" s="52">
        <f t="shared" si="50"/>
        <v>0</v>
      </c>
      <c r="L136" s="52"/>
      <c r="M136" s="52"/>
      <c r="N136" s="52">
        <f t="shared" si="7"/>
        <v>0</v>
      </c>
      <c r="O136" s="53">
        <f t="shared" si="8"/>
        <v>0</v>
      </c>
      <c r="P136" s="54"/>
    </row>
    <row r="137" ht="30.0" hidden="1" customHeight="1">
      <c r="A137" s="44">
        <v>45916.0</v>
      </c>
      <c r="B137" s="45" t="str">
        <f t="shared" si="1"/>
        <v>الثلاثاء</v>
      </c>
      <c r="C137" s="46" t="s">
        <v>24</v>
      </c>
      <c r="D137" s="47">
        <v>400000.0</v>
      </c>
      <c r="E137" s="56">
        <v>0.375</v>
      </c>
      <c r="F137" s="56">
        <v>0.75</v>
      </c>
      <c r="G137" s="50">
        <f t="shared" si="2"/>
        <v>1702.12766</v>
      </c>
      <c r="H137" s="51">
        <f>MIN(9,MAX(0,(MIN(F137,TIME(18,0,0))-MAX(E137,TIME(9,0,0)))*24))</f>
        <v>9</v>
      </c>
      <c r="I137" s="51">
        <f t="shared" si="45"/>
        <v>0</v>
      </c>
      <c r="J137" s="51">
        <f t="shared" si="5"/>
        <v>0</v>
      </c>
      <c r="K137" s="52">
        <f t="shared" si="50"/>
        <v>15319.14894</v>
      </c>
      <c r="L137" s="52"/>
      <c r="M137" s="52"/>
      <c r="N137" s="52">
        <f t="shared" si="7"/>
        <v>0</v>
      </c>
      <c r="O137" s="53">
        <f t="shared" si="8"/>
        <v>15319.14894</v>
      </c>
      <c r="P137" s="54"/>
    </row>
    <row r="138" ht="30.0" hidden="1" customHeight="1">
      <c r="A138" s="44">
        <v>45917.0</v>
      </c>
      <c r="B138" s="45" t="str">
        <f t="shared" si="1"/>
        <v>الأربعاء</v>
      </c>
      <c r="C138" s="46" t="s">
        <v>24</v>
      </c>
      <c r="D138" s="47">
        <v>400000.0</v>
      </c>
      <c r="E138" s="56"/>
      <c r="F138" s="56"/>
      <c r="G138" s="50">
        <f t="shared" si="2"/>
        <v>1702.12766</v>
      </c>
      <c r="H138" s="57">
        <v>0.0</v>
      </c>
      <c r="I138" s="51">
        <f t="shared" si="45"/>
        <v>0</v>
      </c>
      <c r="J138" s="51">
        <f t="shared" si="5"/>
        <v>0</v>
      </c>
      <c r="K138" s="52">
        <f t="shared" si="50"/>
        <v>0</v>
      </c>
      <c r="L138" s="52"/>
      <c r="M138" s="52"/>
      <c r="N138" s="52">
        <f t="shared" si="7"/>
        <v>0</v>
      </c>
      <c r="O138" s="53">
        <f t="shared" si="8"/>
        <v>0</v>
      </c>
      <c r="P138" s="54"/>
    </row>
    <row r="139" ht="30.0" hidden="1" customHeight="1">
      <c r="A139" s="44">
        <v>45918.0</v>
      </c>
      <c r="B139" s="45" t="str">
        <f t="shared" si="1"/>
        <v>الخميس</v>
      </c>
      <c r="C139" s="46" t="s">
        <v>24</v>
      </c>
      <c r="D139" s="47">
        <v>400000.0</v>
      </c>
      <c r="E139" s="56">
        <v>0.3763888888888889</v>
      </c>
      <c r="F139" s="56">
        <v>0.75</v>
      </c>
      <c r="G139" s="50">
        <f t="shared" si="2"/>
        <v>1702.12766</v>
      </c>
      <c r="H139" s="51">
        <f>MIN(9,MAX(0,(MIN(F139,TIME(18,0,0))-MAX(E139,TIME(9,0,0)))*24))</f>
        <v>8.966666667</v>
      </c>
      <c r="I139" s="51">
        <f t="shared" si="45"/>
        <v>0</v>
      </c>
      <c r="J139" s="51">
        <f t="shared" si="5"/>
        <v>0</v>
      </c>
      <c r="K139" s="52">
        <f t="shared" si="50"/>
        <v>15262.41135</v>
      </c>
      <c r="L139" s="52"/>
      <c r="M139" s="52"/>
      <c r="N139" s="52">
        <f t="shared" si="7"/>
        <v>56.73758865</v>
      </c>
      <c r="O139" s="53">
        <f t="shared" si="8"/>
        <v>15205.67376</v>
      </c>
      <c r="P139" s="54"/>
    </row>
    <row r="140" ht="30.0" hidden="1" customHeight="1">
      <c r="A140" s="44">
        <v>45919.0</v>
      </c>
      <c r="B140" s="45" t="str">
        <f t="shared" si="1"/>
        <v>الجمعة</v>
      </c>
      <c r="C140" s="46" t="s">
        <v>24</v>
      </c>
      <c r="D140" s="47">
        <v>400000.0</v>
      </c>
      <c r="E140" s="56"/>
      <c r="F140" s="56"/>
      <c r="G140" s="50">
        <f t="shared" si="2"/>
        <v>1702.12766</v>
      </c>
      <c r="H140" s="57">
        <v>0.0</v>
      </c>
      <c r="I140" s="51">
        <f t="shared" si="45"/>
        <v>0</v>
      </c>
      <c r="J140" s="51">
        <f t="shared" si="5"/>
        <v>0</v>
      </c>
      <c r="K140" s="52">
        <f>(J140*G140*2)</f>
        <v>0</v>
      </c>
      <c r="L140" s="52"/>
      <c r="M140" s="52"/>
      <c r="N140" s="52">
        <f t="shared" si="7"/>
        <v>0</v>
      </c>
      <c r="O140" s="53">
        <f t="shared" si="8"/>
        <v>0</v>
      </c>
      <c r="P140" s="54"/>
    </row>
    <row r="141" ht="30.0" hidden="1" customHeight="1">
      <c r="A141" s="44">
        <v>45920.0</v>
      </c>
      <c r="B141" s="45" t="str">
        <f t="shared" si="1"/>
        <v>السبت</v>
      </c>
      <c r="C141" s="46" t="s">
        <v>24</v>
      </c>
      <c r="D141" s="47">
        <v>400000.0</v>
      </c>
      <c r="E141" s="56">
        <v>0.3854166666666667</v>
      </c>
      <c r="F141" s="56">
        <v>0.75</v>
      </c>
      <c r="G141" s="50">
        <f t="shared" si="2"/>
        <v>1702.12766</v>
      </c>
      <c r="H141" s="51">
        <f t="shared" ref="H141:H146" si="51">MIN(9,MAX(0,(MIN(F141,TIME(18,0,0))-MAX(E141,TIME(9,0,0)))*24))</f>
        <v>8.75</v>
      </c>
      <c r="I141" s="51">
        <f t="shared" si="45"/>
        <v>0</v>
      </c>
      <c r="J141" s="51">
        <f t="shared" si="5"/>
        <v>0</v>
      </c>
      <c r="K141" s="52">
        <f t="shared" ref="K141:K146" si="52">(H141*G141)+(I141*G141*1.5)+(J141*G141*2)</f>
        <v>14893.61702</v>
      </c>
      <c r="L141" s="52"/>
      <c r="M141" s="52"/>
      <c r="N141" s="52">
        <f t="shared" si="7"/>
        <v>425.5319149</v>
      </c>
      <c r="O141" s="53">
        <f t="shared" si="8"/>
        <v>14468.08511</v>
      </c>
      <c r="P141" s="54"/>
    </row>
    <row r="142" ht="30.0" hidden="1" customHeight="1">
      <c r="A142" s="44">
        <v>45921.0</v>
      </c>
      <c r="B142" s="45" t="str">
        <f t="shared" si="1"/>
        <v>الأحد</v>
      </c>
      <c r="C142" s="46" t="s">
        <v>24</v>
      </c>
      <c r="D142" s="47">
        <v>400000.0</v>
      </c>
      <c r="E142" s="56">
        <v>0.37569444444444444</v>
      </c>
      <c r="F142" s="56">
        <v>0.75</v>
      </c>
      <c r="G142" s="50">
        <f t="shared" si="2"/>
        <v>1702.12766</v>
      </c>
      <c r="H142" s="51">
        <f t="shared" si="51"/>
        <v>8.983333333</v>
      </c>
      <c r="I142" s="51">
        <f t="shared" si="45"/>
        <v>0</v>
      </c>
      <c r="J142" s="51">
        <f t="shared" si="5"/>
        <v>0</v>
      </c>
      <c r="K142" s="52">
        <f t="shared" si="52"/>
        <v>15290.78014</v>
      </c>
      <c r="L142" s="52"/>
      <c r="M142" s="52"/>
      <c r="N142" s="52">
        <f t="shared" si="7"/>
        <v>28.36879433</v>
      </c>
      <c r="O142" s="53">
        <f t="shared" si="8"/>
        <v>15262.41135</v>
      </c>
      <c r="P142" s="54"/>
    </row>
    <row r="143" ht="30.0" hidden="1" customHeight="1">
      <c r="A143" s="44">
        <v>45922.0</v>
      </c>
      <c r="B143" s="45" t="str">
        <f t="shared" si="1"/>
        <v>الاثنين</v>
      </c>
      <c r="C143" s="46" t="s">
        <v>24</v>
      </c>
      <c r="D143" s="47">
        <v>400000.0</v>
      </c>
      <c r="E143" s="56">
        <v>0.37430555555555556</v>
      </c>
      <c r="F143" s="56">
        <v>0.75</v>
      </c>
      <c r="G143" s="50">
        <f t="shared" si="2"/>
        <v>1702.12766</v>
      </c>
      <c r="H143" s="51">
        <f t="shared" si="51"/>
        <v>9</v>
      </c>
      <c r="I143" s="51">
        <f t="shared" si="45"/>
        <v>0.01666666667</v>
      </c>
      <c r="J143" s="51">
        <f t="shared" si="5"/>
        <v>0</v>
      </c>
      <c r="K143" s="52">
        <f t="shared" si="52"/>
        <v>15361.70213</v>
      </c>
      <c r="L143" s="52"/>
      <c r="M143" s="52"/>
      <c r="N143" s="52">
        <f t="shared" si="7"/>
        <v>0</v>
      </c>
      <c r="O143" s="53">
        <f t="shared" si="8"/>
        <v>15361.70213</v>
      </c>
      <c r="P143" s="54"/>
    </row>
    <row r="144" ht="30.0" hidden="1" customHeight="1">
      <c r="A144" s="44">
        <v>45923.0</v>
      </c>
      <c r="B144" s="45" t="str">
        <f t="shared" si="1"/>
        <v>الثلاثاء</v>
      </c>
      <c r="C144" s="46" t="s">
        <v>24</v>
      </c>
      <c r="D144" s="47">
        <v>400000.0</v>
      </c>
      <c r="E144" s="56">
        <v>0.3840277777777778</v>
      </c>
      <c r="F144" s="56">
        <v>0.75</v>
      </c>
      <c r="G144" s="50">
        <f t="shared" si="2"/>
        <v>1702.12766</v>
      </c>
      <c r="H144" s="51">
        <f t="shared" si="51"/>
        <v>8.783333333</v>
      </c>
      <c r="I144" s="51">
        <f t="shared" si="45"/>
        <v>0</v>
      </c>
      <c r="J144" s="51">
        <f t="shared" si="5"/>
        <v>0</v>
      </c>
      <c r="K144" s="52">
        <f t="shared" si="52"/>
        <v>14950.35461</v>
      </c>
      <c r="L144" s="52"/>
      <c r="M144" s="52"/>
      <c r="N144" s="52">
        <f t="shared" si="7"/>
        <v>368.7943262</v>
      </c>
      <c r="O144" s="53">
        <f t="shared" si="8"/>
        <v>14581.56028</v>
      </c>
      <c r="P144" s="54"/>
    </row>
    <row r="145" ht="30.0" hidden="1" customHeight="1">
      <c r="A145" s="44">
        <v>45924.0</v>
      </c>
      <c r="B145" s="45" t="str">
        <f t="shared" si="1"/>
        <v>الأربعاء</v>
      </c>
      <c r="C145" s="46" t="s">
        <v>24</v>
      </c>
      <c r="D145" s="47">
        <v>400000.0</v>
      </c>
      <c r="E145" s="56">
        <v>0.4166666666666667</v>
      </c>
      <c r="F145" s="56">
        <v>0.75</v>
      </c>
      <c r="G145" s="50">
        <f t="shared" si="2"/>
        <v>1702.12766</v>
      </c>
      <c r="H145" s="51">
        <f t="shared" si="51"/>
        <v>8</v>
      </c>
      <c r="I145" s="51">
        <f t="shared" si="45"/>
        <v>0</v>
      </c>
      <c r="J145" s="51">
        <f t="shared" si="5"/>
        <v>0</v>
      </c>
      <c r="K145" s="52">
        <f t="shared" si="52"/>
        <v>13617.02128</v>
      </c>
      <c r="L145" s="52"/>
      <c r="M145" s="59">
        <v>100000.0</v>
      </c>
      <c r="N145" s="52">
        <f t="shared" si="7"/>
        <v>1702.12766</v>
      </c>
      <c r="O145" s="53">
        <f t="shared" si="8"/>
        <v>-88085.10638</v>
      </c>
      <c r="P145" s="54"/>
    </row>
    <row r="146" ht="30.0" hidden="1" customHeight="1">
      <c r="A146" s="44">
        <v>45925.0</v>
      </c>
      <c r="B146" s="45" t="str">
        <f t="shared" si="1"/>
        <v>الخميس</v>
      </c>
      <c r="C146" s="46" t="s">
        <v>24</v>
      </c>
      <c r="D146" s="47">
        <v>400000.0</v>
      </c>
      <c r="E146" s="56">
        <v>0.375</v>
      </c>
      <c r="F146" s="56">
        <v>0.75</v>
      </c>
      <c r="G146" s="50">
        <f t="shared" si="2"/>
        <v>1702.12766</v>
      </c>
      <c r="H146" s="51">
        <f t="shared" si="51"/>
        <v>9</v>
      </c>
      <c r="I146" s="51">
        <f t="shared" si="45"/>
        <v>0</v>
      </c>
      <c r="J146" s="51">
        <f t="shared" si="5"/>
        <v>0</v>
      </c>
      <c r="K146" s="52">
        <f t="shared" si="52"/>
        <v>15319.14894</v>
      </c>
      <c r="L146" s="52"/>
      <c r="M146" s="52"/>
      <c r="N146" s="52">
        <f t="shared" si="7"/>
        <v>0</v>
      </c>
      <c r="O146" s="53">
        <f t="shared" si="8"/>
        <v>15319.14894</v>
      </c>
      <c r="P146" s="54"/>
    </row>
    <row r="147" ht="30.0" hidden="1" customHeight="1">
      <c r="A147" s="44">
        <v>45926.0</v>
      </c>
      <c r="B147" s="45" t="str">
        <f t="shared" si="1"/>
        <v>الجمعة</v>
      </c>
      <c r="C147" s="46" t="s">
        <v>24</v>
      </c>
      <c r="D147" s="47">
        <v>400000.0</v>
      </c>
      <c r="E147" s="56"/>
      <c r="F147" s="56"/>
      <c r="G147" s="50">
        <f t="shared" si="2"/>
        <v>1702.12766</v>
      </c>
      <c r="H147" s="57">
        <v>0.0</v>
      </c>
      <c r="I147" s="57">
        <v>0.0</v>
      </c>
      <c r="J147" s="51">
        <f t="shared" si="5"/>
        <v>0</v>
      </c>
      <c r="K147" s="52">
        <f>(J147*G147*2)</f>
        <v>0</v>
      </c>
      <c r="L147" s="52"/>
      <c r="M147" s="52"/>
      <c r="N147" s="52">
        <f t="shared" si="7"/>
        <v>0</v>
      </c>
      <c r="O147" s="53">
        <f t="shared" si="8"/>
        <v>0</v>
      </c>
      <c r="P147" s="54"/>
    </row>
    <row r="148" ht="30.0" hidden="1" customHeight="1">
      <c r="A148" s="44">
        <v>45927.0</v>
      </c>
      <c r="B148" s="45" t="str">
        <f t="shared" si="1"/>
        <v>السبت</v>
      </c>
      <c r="C148" s="46" t="s">
        <v>24</v>
      </c>
      <c r="D148" s="47">
        <v>400000.0</v>
      </c>
      <c r="E148" s="56">
        <v>0.37916666666666665</v>
      </c>
      <c r="F148" s="56">
        <v>0.75</v>
      </c>
      <c r="G148" s="50">
        <f t="shared" si="2"/>
        <v>1702.12766</v>
      </c>
      <c r="H148" s="51">
        <f t="shared" ref="H148:H151" si="53">MIN(9,MAX(0,(MIN(F148,TIME(18,0,0))-MAX(E148,TIME(9,0,0)))*24))</f>
        <v>8.9</v>
      </c>
      <c r="I148" s="51">
        <f t="shared" ref="I148:I155" si="54">MAX(0,(MOD(F148-E148,1)*24)-H148)</f>
        <v>0</v>
      </c>
      <c r="J148" s="51">
        <f t="shared" si="5"/>
        <v>0</v>
      </c>
      <c r="K148" s="52">
        <f t="shared" ref="K148:K155" si="55">(H148*G148)+(I148*G148*1.5)+(J148*G148*2)</f>
        <v>15148.93617</v>
      </c>
      <c r="L148" s="52"/>
      <c r="M148" s="52"/>
      <c r="N148" s="52">
        <f t="shared" si="7"/>
        <v>170.212766</v>
      </c>
      <c r="O148" s="53">
        <f t="shared" si="8"/>
        <v>14978.7234</v>
      </c>
      <c r="P148" s="54"/>
    </row>
    <row r="149" ht="30.0" hidden="1" customHeight="1">
      <c r="A149" s="44">
        <v>45928.0</v>
      </c>
      <c r="B149" s="45" t="str">
        <f t="shared" si="1"/>
        <v>الأحد</v>
      </c>
      <c r="C149" s="46" t="s">
        <v>24</v>
      </c>
      <c r="D149" s="47">
        <v>400000.0</v>
      </c>
      <c r="E149" s="56">
        <v>0.3798611111111111</v>
      </c>
      <c r="F149" s="56">
        <v>0.75</v>
      </c>
      <c r="G149" s="50">
        <f t="shared" si="2"/>
        <v>1702.12766</v>
      </c>
      <c r="H149" s="51">
        <f t="shared" si="53"/>
        <v>8.883333333</v>
      </c>
      <c r="I149" s="51">
        <f t="shared" si="54"/>
        <v>0</v>
      </c>
      <c r="J149" s="51">
        <f t="shared" si="5"/>
        <v>0</v>
      </c>
      <c r="K149" s="52">
        <f t="shared" si="55"/>
        <v>15120.56738</v>
      </c>
      <c r="L149" s="52"/>
      <c r="M149" s="52"/>
      <c r="N149" s="52">
        <f t="shared" si="7"/>
        <v>198.5815603</v>
      </c>
      <c r="O149" s="53">
        <f t="shared" si="8"/>
        <v>14921.98582</v>
      </c>
      <c r="P149" s="54"/>
    </row>
    <row r="150" ht="30.0" hidden="1" customHeight="1">
      <c r="A150" s="44">
        <v>45929.0</v>
      </c>
      <c r="B150" s="45" t="str">
        <f t="shared" si="1"/>
        <v>الاثنين</v>
      </c>
      <c r="C150" s="46" t="s">
        <v>24</v>
      </c>
      <c r="D150" s="47">
        <v>400000.0</v>
      </c>
      <c r="E150" s="56">
        <v>0.38333333333333336</v>
      </c>
      <c r="F150" s="56">
        <v>0.75</v>
      </c>
      <c r="G150" s="50">
        <f t="shared" si="2"/>
        <v>1702.12766</v>
      </c>
      <c r="H150" s="51">
        <f t="shared" si="53"/>
        <v>8.8</v>
      </c>
      <c r="I150" s="51">
        <f t="shared" si="54"/>
        <v>0</v>
      </c>
      <c r="J150" s="51">
        <f t="shared" si="5"/>
        <v>0</v>
      </c>
      <c r="K150" s="52">
        <f t="shared" si="55"/>
        <v>14978.7234</v>
      </c>
      <c r="L150" s="52"/>
      <c r="M150" s="52"/>
      <c r="N150" s="52">
        <f t="shared" si="7"/>
        <v>340.4255319</v>
      </c>
      <c r="O150" s="53">
        <f t="shared" si="8"/>
        <v>14638.29787</v>
      </c>
      <c r="P150" s="54"/>
    </row>
    <row r="151" ht="30.0" hidden="1" customHeight="1">
      <c r="A151" s="44">
        <v>45930.0</v>
      </c>
      <c r="B151" s="45" t="str">
        <f t="shared" si="1"/>
        <v>الثلاثاء</v>
      </c>
      <c r="C151" s="46" t="s">
        <v>24</v>
      </c>
      <c r="D151" s="47">
        <v>400000.0</v>
      </c>
      <c r="E151" s="49">
        <v>0.5645833333333333</v>
      </c>
      <c r="F151" s="56">
        <v>0.75</v>
      </c>
      <c r="G151" s="50">
        <f t="shared" si="2"/>
        <v>1702.12766</v>
      </c>
      <c r="H151" s="51">
        <f t="shared" si="53"/>
        <v>4.45</v>
      </c>
      <c r="I151" s="51">
        <f t="shared" si="54"/>
        <v>0</v>
      </c>
      <c r="J151" s="51">
        <f t="shared" si="5"/>
        <v>0</v>
      </c>
      <c r="K151" s="52">
        <f t="shared" si="55"/>
        <v>7574.468085</v>
      </c>
      <c r="L151" s="52"/>
      <c r="M151" s="59">
        <v>110000.0</v>
      </c>
      <c r="N151" s="59">
        <v>0.0</v>
      </c>
      <c r="O151" s="53">
        <f t="shared" si="8"/>
        <v>-102425.5319</v>
      </c>
      <c r="P151" s="54"/>
    </row>
    <row r="152" ht="30.0" hidden="1" customHeight="1">
      <c r="A152" s="44">
        <v>45901.0</v>
      </c>
      <c r="B152" s="45" t="str">
        <f t="shared" si="1"/>
        <v>الاثنين</v>
      </c>
      <c r="C152" s="46" t="s">
        <v>25</v>
      </c>
      <c r="D152" s="47">
        <v>300000.0</v>
      </c>
      <c r="E152" s="56"/>
      <c r="F152" s="56"/>
      <c r="G152" s="50">
        <f t="shared" si="2"/>
        <v>1276.595745</v>
      </c>
      <c r="H152" s="57">
        <v>0.0</v>
      </c>
      <c r="I152" s="51">
        <f t="shared" si="54"/>
        <v>0</v>
      </c>
      <c r="J152" s="51">
        <f t="shared" si="5"/>
        <v>0</v>
      </c>
      <c r="K152" s="52">
        <f t="shared" si="55"/>
        <v>0</v>
      </c>
      <c r="L152" s="52"/>
      <c r="M152" s="52"/>
      <c r="N152" s="52">
        <f t="shared" ref="N152:N173" si="56">IF(B152="الجمعة",0,IF(E152&gt;TIME(9,0,0),(E152-TIME(9,0,0))*24*60*(G152/60),0))</f>
        <v>0</v>
      </c>
      <c r="O152" s="53">
        <f t="shared" si="8"/>
        <v>0</v>
      </c>
      <c r="P152" s="54"/>
    </row>
    <row r="153" ht="30.0" hidden="1" customHeight="1">
      <c r="A153" s="44">
        <v>45902.0</v>
      </c>
      <c r="B153" s="45" t="str">
        <f t="shared" si="1"/>
        <v>الثلاثاء</v>
      </c>
      <c r="C153" s="46" t="s">
        <v>25</v>
      </c>
      <c r="D153" s="47">
        <v>300000.0</v>
      </c>
      <c r="E153" s="56"/>
      <c r="F153" s="56"/>
      <c r="G153" s="50">
        <f t="shared" si="2"/>
        <v>1276.595745</v>
      </c>
      <c r="H153" s="57">
        <v>0.0</v>
      </c>
      <c r="I153" s="51">
        <f t="shared" si="54"/>
        <v>0</v>
      </c>
      <c r="J153" s="51">
        <f t="shared" si="5"/>
        <v>0</v>
      </c>
      <c r="K153" s="52">
        <f t="shared" si="55"/>
        <v>0</v>
      </c>
      <c r="L153" s="52"/>
      <c r="M153" s="52"/>
      <c r="N153" s="52">
        <f t="shared" si="56"/>
        <v>0</v>
      </c>
      <c r="O153" s="53">
        <f t="shared" si="8"/>
        <v>0</v>
      </c>
      <c r="P153" s="54"/>
    </row>
    <row r="154" ht="30.0" hidden="1" customHeight="1">
      <c r="A154" s="44">
        <v>45903.0</v>
      </c>
      <c r="B154" s="45" t="str">
        <f t="shared" si="1"/>
        <v>الأربعاء</v>
      </c>
      <c r="C154" s="46" t="s">
        <v>25</v>
      </c>
      <c r="D154" s="47">
        <v>300000.0</v>
      </c>
      <c r="E154" s="56"/>
      <c r="F154" s="56"/>
      <c r="G154" s="50">
        <f t="shared" si="2"/>
        <v>1276.595745</v>
      </c>
      <c r="H154" s="57">
        <v>0.0</v>
      </c>
      <c r="I154" s="51">
        <f t="shared" si="54"/>
        <v>0</v>
      </c>
      <c r="J154" s="51">
        <f t="shared" si="5"/>
        <v>0</v>
      </c>
      <c r="K154" s="52">
        <f t="shared" si="55"/>
        <v>0</v>
      </c>
      <c r="L154" s="52"/>
      <c r="M154" s="52"/>
      <c r="N154" s="52">
        <f t="shared" si="56"/>
        <v>0</v>
      </c>
      <c r="O154" s="53">
        <f t="shared" si="8"/>
        <v>0</v>
      </c>
      <c r="P154" s="54"/>
    </row>
    <row r="155" ht="30.0" hidden="1" customHeight="1">
      <c r="A155" s="44">
        <v>45904.0</v>
      </c>
      <c r="B155" s="45" t="str">
        <f t="shared" si="1"/>
        <v>الخميس</v>
      </c>
      <c r="C155" s="46" t="s">
        <v>25</v>
      </c>
      <c r="D155" s="47">
        <v>300000.0</v>
      </c>
      <c r="E155" s="56"/>
      <c r="F155" s="56"/>
      <c r="G155" s="50">
        <f t="shared" si="2"/>
        <v>1276.595745</v>
      </c>
      <c r="H155" s="57">
        <v>0.0</v>
      </c>
      <c r="I155" s="51">
        <f t="shared" si="54"/>
        <v>0</v>
      </c>
      <c r="J155" s="51">
        <f t="shared" si="5"/>
        <v>0</v>
      </c>
      <c r="K155" s="52">
        <f t="shared" si="55"/>
        <v>0</v>
      </c>
      <c r="L155" s="52"/>
      <c r="M155" s="52"/>
      <c r="N155" s="52">
        <f t="shared" si="56"/>
        <v>0</v>
      </c>
      <c r="O155" s="53">
        <f t="shared" si="8"/>
        <v>0</v>
      </c>
      <c r="P155" s="54"/>
    </row>
    <row r="156" ht="30.0" hidden="1" customHeight="1">
      <c r="A156" s="44">
        <v>45905.0</v>
      </c>
      <c r="B156" s="45" t="str">
        <f t="shared" si="1"/>
        <v>الجمعة</v>
      </c>
      <c r="C156" s="46" t="s">
        <v>25</v>
      </c>
      <c r="D156" s="47">
        <v>300000.0</v>
      </c>
      <c r="E156" s="56"/>
      <c r="F156" s="56"/>
      <c r="G156" s="50">
        <f t="shared" si="2"/>
        <v>1276.595745</v>
      </c>
      <c r="H156" s="57">
        <v>0.0</v>
      </c>
      <c r="I156" s="57">
        <v>0.0</v>
      </c>
      <c r="J156" s="51">
        <f t="shared" si="5"/>
        <v>0</v>
      </c>
      <c r="K156" s="52">
        <f>(J156*G156*2)</f>
        <v>0</v>
      </c>
      <c r="L156" s="52"/>
      <c r="M156" s="52"/>
      <c r="N156" s="52">
        <f t="shared" si="56"/>
        <v>0</v>
      </c>
      <c r="O156" s="53">
        <f t="shared" si="8"/>
        <v>0</v>
      </c>
      <c r="P156" s="54"/>
    </row>
    <row r="157" ht="30.0" hidden="1" customHeight="1">
      <c r="A157" s="44">
        <v>45906.0</v>
      </c>
      <c r="B157" s="45" t="str">
        <f t="shared" si="1"/>
        <v>السبت</v>
      </c>
      <c r="C157" s="46" t="s">
        <v>25</v>
      </c>
      <c r="D157" s="47">
        <v>300000.0</v>
      </c>
      <c r="E157" s="56"/>
      <c r="F157" s="56"/>
      <c r="G157" s="50">
        <f t="shared" si="2"/>
        <v>1276.595745</v>
      </c>
      <c r="H157" s="57">
        <v>0.0</v>
      </c>
      <c r="I157" s="51">
        <f t="shared" ref="I157:I162" si="57">MAX(0,(MOD(F157-E157,1)*24)-H157)</f>
        <v>0</v>
      </c>
      <c r="J157" s="51">
        <f t="shared" si="5"/>
        <v>0</v>
      </c>
      <c r="K157" s="52">
        <f t="shared" ref="K157:K162" si="58">(H157*G157)+(I157*G157*1.5)+(J157*G157*2)</f>
        <v>0</v>
      </c>
      <c r="L157" s="52"/>
      <c r="M157" s="52"/>
      <c r="N157" s="52">
        <f t="shared" si="56"/>
        <v>0</v>
      </c>
      <c r="O157" s="53">
        <f t="shared" si="8"/>
        <v>0</v>
      </c>
      <c r="P157" s="54"/>
    </row>
    <row r="158" ht="30.0" hidden="1" customHeight="1">
      <c r="A158" s="44">
        <v>45907.0</v>
      </c>
      <c r="B158" s="45" t="str">
        <f t="shared" si="1"/>
        <v>الأحد</v>
      </c>
      <c r="C158" s="46" t="s">
        <v>25</v>
      </c>
      <c r="D158" s="47">
        <v>300000.0</v>
      </c>
      <c r="E158" s="56"/>
      <c r="F158" s="56"/>
      <c r="G158" s="50">
        <f t="shared" si="2"/>
        <v>1276.595745</v>
      </c>
      <c r="H158" s="57">
        <v>0.0</v>
      </c>
      <c r="I158" s="51">
        <f t="shared" si="57"/>
        <v>0</v>
      </c>
      <c r="J158" s="51">
        <f t="shared" si="5"/>
        <v>0</v>
      </c>
      <c r="K158" s="52">
        <f t="shared" si="58"/>
        <v>0</v>
      </c>
      <c r="L158" s="52"/>
      <c r="M158" s="52"/>
      <c r="N158" s="52">
        <f t="shared" si="56"/>
        <v>0</v>
      </c>
      <c r="O158" s="53">
        <f t="shared" si="8"/>
        <v>0</v>
      </c>
      <c r="P158" s="54"/>
    </row>
    <row r="159" ht="30.0" hidden="1" customHeight="1">
      <c r="A159" s="44">
        <v>45908.0</v>
      </c>
      <c r="B159" s="45" t="str">
        <f t="shared" si="1"/>
        <v>الاثنين</v>
      </c>
      <c r="C159" s="46" t="s">
        <v>25</v>
      </c>
      <c r="D159" s="47">
        <v>300000.0</v>
      </c>
      <c r="E159" s="56"/>
      <c r="F159" s="56"/>
      <c r="G159" s="50">
        <f t="shared" si="2"/>
        <v>1276.595745</v>
      </c>
      <c r="H159" s="57">
        <v>0.0</v>
      </c>
      <c r="I159" s="51">
        <f t="shared" si="57"/>
        <v>0</v>
      </c>
      <c r="J159" s="51">
        <f t="shared" si="5"/>
        <v>0</v>
      </c>
      <c r="K159" s="52">
        <f t="shared" si="58"/>
        <v>0</v>
      </c>
      <c r="L159" s="52"/>
      <c r="M159" s="52"/>
      <c r="N159" s="52">
        <f t="shared" si="56"/>
        <v>0</v>
      </c>
      <c r="O159" s="53">
        <f t="shared" si="8"/>
        <v>0</v>
      </c>
      <c r="P159" s="54"/>
    </row>
    <row r="160" ht="30.0" hidden="1" customHeight="1">
      <c r="A160" s="44">
        <v>45909.0</v>
      </c>
      <c r="B160" s="45" t="str">
        <f t="shared" si="1"/>
        <v>الثلاثاء</v>
      </c>
      <c r="C160" s="46" t="s">
        <v>25</v>
      </c>
      <c r="D160" s="47">
        <v>300000.0</v>
      </c>
      <c r="E160" s="56"/>
      <c r="F160" s="56"/>
      <c r="G160" s="50">
        <f t="shared" si="2"/>
        <v>1276.595745</v>
      </c>
      <c r="H160" s="57">
        <v>0.0</v>
      </c>
      <c r="I160" s="51">
        <f t="shared" si="57"/>
        <v>0</v>
      </c>
      <c r="J160" s="51">
        <f t="shared" si="5"/>
        <v>0</v>
      </c>
      <c r="K160" s="52">
        <f t="shared" si="58"/>
        <v>0</v>
      </c>
      <c r="L160" s="52"/>
      <c r="M160" s="52"/>
      <c r="N160" s="52">
        <f t="shared" si="56"/>
        <v>0</v>
      </c>
      <c r="O160" s="53">
        <f t="shared" si="8"/>
        <v>0</v>
      </c>
      <c r="P160" s="54"/>
    </row>
    <row r="161" ht="30.0" hidden="1" customHeight="1">
      <c r="A161" s="44">
        <v>45910.0</v>
      </c>
      <c r="B161" s="45" t="str">
        <f t="shared" si="1"/>
        <v>الأربعاء</v>
      </c>
      <c r="C161" s="46" t="s">
        <v>25</v>
      </c>
      <c r="D161" s="47">
        <v>300000.0</v>
      </c>
      <c r="E161" s="56"/>
      <c r="F161" s="56"/>
      <c r="G161" s="50">
        <f t="shared" si="2"/>
        <v>1276.595745</v>
      </c>
      <c r="H161" s="57">
        <v>0.0</v>
      </c>
      <c r="I161" s="51">
        <f t="shared" si="57"/>
        <v>0</v>
      </c>
      <c r="J161" s="51">
        <f t="shared" si="5"/>
        <v>0</v>
      </c>
      <c r="K161" s="52">
        <f t="shared" si="58"/>
        <v>0</v>
      </c>
      <c r="L161" s="52"/>
      <c r="M161" s="52"/>
      <c r="N161" s="52">
        <f t="shared" si="56"/>
        <v>0</v>
      </c>
      <c r="O161" s="53">
        <f t="shared" si="8"/>
        <v>0</v>
      </c>
      <c r="P161" s="54"/>
    </row>
    <row r="162" ht="30.0" hidden="1" customHeight="1">
      <c r="A162" s="44">
        <v>45911.0</v>
      </c>
      <c r="B162" s="45" t="str">
        <f t="shared" si="1"/>
        <v>الخميس</v>
      </c>
      <c r="C162" s="46" t="s">
        <v>25</v>
      </c>
      <c r="D162" s="47">
        <v>300000.0</v>
      </c>
      <c r="E162" s="56"/>
      <c r="F162" s="56"/>
      <c r="G162" s="50">
        <f t="shared" si="2"/>
        <v>1276.595745</v>
      </c>
      <c r="H162" s="57">
        <v>0.0</v>
      </c>
      <c r="I162" s="51">
        <f t="shared" si="57"/>
        <v>0</v>
      </c>
      <c r="J162" s="51">
        <f t="shared" si="5"/>
        <v>0</v>
      </c>
      <c r="K162" s="52">
        <f t="shared" si="58"/>
        <v>0</v>
      </c>
      <c r="L162" s="52"/>
      <c r="M162" s="52"/>
      <c r="N162" s="52">
        <f t="shared" si="56"/>
        <v>0</v>
      </c>
      <c r="O162" s="53">
        <f t="shared" si="8"/>
        <v>0</v>
      </c>
      <c r="P162" s="54"/>
    </row>
    <row r="163" ht="30.0" hidden="1" customHeight="1">
      <c r="A163" s="44">
        <v>45912.0</v>
      </c>
      <c r="B163" s="45" t="str">
        <f t="shared" si="1"/>
        <v>الجمعة</v>
      </c>
      <c r="C163" s="46" t="s">
        <v>25</v>
      </c>
      <c r="D163" s="47">
        <v>300000.0</v>
      </c>
      <c r="E163" s="56"/>
      <c r="F163" s="56"/>
      <c r="G163" s="50">
        <f t="shared" si="2"/>
        <v>1276.595745</v>
      </c>
      <c r="H163" s="57">
        <v>0.0</v>
      </c>
      <c r="I163" s="57">
        <v>0.0</v>
      </c>
      <c r="J163" s="51">
        <f t="shared" si="5"/>
        <v>0</v>
      </c>
      <c r="K163" s="52">
        <f>(J163*G163*2)</f>
        <v>0</v>
      </c>
      <c r="L163" s="52"/>
      <c r="M163" s="52"/>
      <c r="N163" s="52">
        <f t="shared" si="56"/>
        <v>0</v>
      </c>
      <c r="O163" s="53">
        <f t="shared" si="8"/>
        <v>0</v>
      </c>
      <c r="P163" s="54"/>
    </row>
    <row r="164" ht="30.0" hidden="1" customHeight="1">
      <c r="A164" s="44">
        <v>45913.0</v>
      </c>
      <c r="B164" s="45" t="str">
        <f t="shared" si="1"/>
        <v>السبت</v>
      </c>
      <c r="C164" s="46" t="s">
        <v>25</v>
      </c>
      <c r="D164" s="47">
        <v>300000.0</v>
      </c>
      <c r="E164" s="56"/>
      <c r="F164" s="56"/>
      <c r="G164" s="50">
        <f t="shared" si="2"/>
        <v>1276.595745</v>
      </c>
      <c r="H164" s="57">
        <v>0.0</v>
      </c>
      <c r="I164" s="51">
        <f t="shared" ref="I164:I169" si="59">MAX(0,(MOD(F164-E164,1)*24)-H164)</f>
        <v>0</v>
      </c>
      <c r="J164" s="51">
        <f t="shared" si="5"/>
        <v>0</v>
      </c>
      <c r="K164" s="52">
        <f t="shared" ref="K164:K169" si="60">(H164*G164)+(I164*G164*1.5)+(J164*G164*2)</f>
        <v>0</v>
      </c>
      <c r="L164" s="52"/>
      <c r="M164" s="52"/>
      <c r="N164" s="52">
        <f t="shared" si="56"/>
        <v>0</v>
      </c>
      <c r="O164" s="53">
        <f t="shared" si="8"/>
        <v>0</v>
      </c>
      <c r="P164" s="54"/>
    </row>
    <row r="165" ht="30.0" hidden="1" customHeight="1">
      <c r="A165" s="44">
        <v>45914.0</v>
      </c>
      <c r="B165" s="45" t="str">
        <f t="shared" si="1"/>
        <v>الأحد</v>
      </c>
      <c r="C165" s="46" t="s">
        <v>25</v>
      </c>
      <c r="D165" s="47">
        <v>300000.0</v>
      </c>
      <c r="E165" s="56"/>
      <c r="F165" s="56"/>
      <c r="G165" s="50">
        <f t="shared" si="2"/>
        <v>1276.595745</v>
      </c>
      <c r="H165" s="57">
        <v>0.0</v>
      </c>
      <c r="I165" s="51">
        <f t="shared" si="59"/>
        <v>0</v>
      </c>
      <c r="J165" s="51">
        <f t="shared" si="5"/>
        <v>0</v>
      </c>
      <c r="K165" s="52">
        <f t="shared" si="60"/>
        <v>0</v>
      </c>
      <c r="L165" s="52"/>
      <c r="M165" s="52"/>
      <c r="N165" s="52">
        <f t="shared" si="56"/>
        <v>0</v>
      </c>
      <c r="O165" s="53">
        <f t="shared" si="8"/>
        <v>0</v>
      </c>
      <c r="P165" s="54"/>
    </row>
    <row r="166" ht="30.0" hidden="1" customHeight="1">
      <c r="A166" s="44">
        <v>45915.0</v>
      </c>
      <c r="B166" s="45" t="str">
        <f t="shared" si="1"/>
        <v>الاثنين</v>
      </c>
      <c r="C166" s="46" t="s">
        <v>25</v>
      </c>
      <c r="D166" s="47">
        <v>300000.0</v>
      </c>
      <c r="E166" s="56"/>
      <c r="F166" s="56"/>
      <c r="G166" s="50">
        <f t="shared" si="2"/>
        <v>1276.595745</v>
      </c>
      <c r="H166" s="57">
        <v>0.0</v>
      </c>
      <c r="I166" s="51">
        <f t="shared" si="59"/>
        <v>0</v>
      </c>
      <c r="J166" s="51">
        <f t="shared" si="5"/>
        <v>0</v>
      </c>
      <c r="K166" s="52">
        <f t="shared" si="60"/>
        <v>0</v>
      </c>
      <c r="L166" s="52"/>
      <c r="M166" s="52"/>
      <c r="N166" s="52">
        <f t="shared" si="56"/>
        <v>0</v>
      </c>
      <c r="O166" s="53">
        <f t="shared" si="8"/>
        <v>0</v>
      </c>
      <c r="P166" s="54"/>
    </row>
    <row r="167" ht="30.0" hidden="1" customHeight="1">
      <c r="A167" s="44">
        <v>45916.0</v>
      </c>
      <c r="B167" s="45" t="str">
        <f t="shared" si="1"/>
        <v>الثلاثاء</v>
      </c>
      <c r="C167" s="46" t="s">
        <v>25</v>
      </c>
      <c r="D167" s="47">
        <v>300000.0</v>
      </c>
      <c r="E167" s="49">
        <v>0.375</v>
      </c>
      <c r="F167" s="49">
        <v>0.7798611111111111</v>
      </c>
      <c r="G167" s="50">
        <f t="shared" si="2"/>
        <v>1276.595745</v>
      </c>
      <c r="H167" s="51">
        <f>MIN(9,MAX(0,(MIN(F167,TIME(18,0,0))-MAX(E167,TIME(9,0,0)))*24))</f>
        <v>9</v>
      </c>
      <c r="I167" s="51">
        <f t="shared" si="59"/>
        <v>0.7166666667</v>
      </c>
      <c r="J167" s="51">
        <f t="shared" si="5"/>
        <v>0</v>
      </c>
      <c r="K167" s="52">
        <f t="shared" si="60"/>
        <v>12861.70213</v>
      </c>
      <c r="L167" s="52"/>
      <c r="M167" s="52"/>
      <c r="N167" s="52">
        <f t="shared" si="56"/>
        <v>0</v>
      </c>
      <c r="O167" s="53">
        <f t="shared" si="8"/>
        <v>12861.70213</v>
      </c>
      <c r="P167" s="54"/>
    </row>
    <row r="168" ht="30.0" hidden="1" customHeight="1">
      <c r="A168" s="44">
        <v>45917.0</v>
      </c>
      <c r="B168" s="45" t="str">
        <f t="shared" si="1"/>
        <v>الأربعاء</v>
      </c>
      <c r="C168" s="46" t="s">
        <v>25</v>
      </c>
      <c r="D168" s="47">
        <v>300000.0</v>
      </c>
      <c r="E168" s="56"/>
      <c r="F168" s="49"/>
      <c r="G168" s="50">
        <f t="shared" si="2"/>
        <v>1276.595745</v>
      </c>
      <c r="H168" s="57">
        <v>0.0</v>
      </c>
      <c r="I168" s="51">
        <f t="shared" si="59"/>
        <v>0</v>
      </c>
      <c r="J168" s="51">
        <f t="shared" si="5"/>
        <v>0</v>
      </c>
      <c r="K168" s="52">
        <f t="shared" si="60"/>
        <v>0</v>
      </c>
      <c r="L168" s="52"/>
      <c r="M168" s="52"/>
      <c r="N168" s="52">
        <f t="shared" si="56"/>
        <v>0</v>
      </c>
      <c r="O168" s="53">
        <f t="shared" si="8"/>
        <v>0</v>
      </c>
      <c r="P168" s="54"/>
    </row>
    <row r="169" ht="30.0" hidden="1" customHeight="1">
      <c r="A169" s="44">
        <v>45918.0</v>
      </c>
      <c r="B169" s="45" t="str">
        <f t="shared" si="1"/>
        <v>الخميس</v>
      </c>
      <c r="C169" s="46" t="s">
        <v>25</v>
      </c>
      <c r="D169" s="47">
        <v>300000.0</v>
      </c>
      <c r="E169" s="49">
        <v>0.36666666666666664</v>
      </c>
      <c r="F169" s="49">
        <v>0.7583333333333333</v>
      </c>
      <c r="G169" s="50">
        <f t="shared" si="2"/>
        <v>1276.595745</v>
      </c>
      <c r="H169" s="51">
        <f>MIN(9,MAX(0,(MIN(F169,TIME(18,0,0))-MAX(E169,TIME(9,0,0)))*24))</f>
        <v>9</v>
      </c>
      <c r="I169" s="51">
        <f t="shared" si="59"/>
        <v>0.4</v>
      </c>
      <c r="J169" s="51">
        <f t="shared" si="5"/>
        <v>0</v>
      </c>
      <c r="K169" s="52">
        <f t="shared" si="60"/>
        <v>12255.31915</v>
      </c>
      <c r="L169" s="52"/>
      <c r="M169" s="52"/>
      <c r="N169" s="52">
        <f t="shared" si="56"/>
        <v>0</v>
      </c>
      <c r="O169" s="53">
        <f t="shared" si="8"/>
        <v>12255.31915</v>
      </c>
      <c r="P169" s="54"/>
    </row>
    <row r="170" ht="30.0" hidden="1" customHeight="1">
      <c r="A170" s="44">
        <v>45919.0</v>
      </c>
      <c r="B170" s="45" t="str">
        <f t="shared" si="1"/>
        <v>الجمعة</v>
      </c>
      <c r="C170" s="46" t="s">
        <v>25</v>
      </c>
      <c r="D170" s="47">
        <v>300000.0</v>
      </c>
      <c r="E170" s="56"/>
      <c r="F170" s="56"/>
      <c r="G170" s="50">
        <f t="shared" si="2"/>
        <v>1276.595745</v>
      </c>
      <c r="H170" s="57">
        <v>0.0</v>
      </c>
      <c r="I170" s="57">
        <v>0.0</v>
      </c>
      <c r="J170" s="51">
        <f t="shared" si="5"/>
        <v>0</v>
      </c>
      <c r="K170" s="52">
        <f>(J170*G170*2)</f>
        <v>0</v>
      </c>
      <c r="L170" s="52"/>
      <c r="M170" s="52"/>
      <c r="N170" s="52">
        <f t="shared" si="56"/>
        <v>0</v>
      </c>
      <c r="O170" s="53">
        <f t="shared" si="8"/>
        <v>0</v>
      </c>
      <c r="P170" s="54"/>
    </row>
    <row r="171" ht="30.0" hidden="1" customHeight="1">
      <c r="A171" s="44">
        <v>45920.0</v>
      </c>
      <c r="B171" s="45" t="str">
        <f t="shared" si="1"/>
        <v>السبت</v>
      </c>
      <c r="C171" s="46" t="s">
        <v>25</v>
      </c>
      <c r="D171" s="47">
        <v>300000.0</v>
      </c>
      <c r="E171" s="56"/>
      <c r="F171" s="56"/>
      <c r="G171" s="50">
        <f t="shared" si="2"/>
        <v>1276.595745</v>
      </c>
      <c r="H171" s="57">
        <v>0.0</v>
      </c>
      <c r="I171" s="51">
        <f t="shared" ref="I171:I176" si="61">MAX(0,(MOD(F171-E171,1)*24)-H171)</f>
        <v>0</v>
      </c>
      <c r="J171" s="51">
        <f t="shared" si="5"/>
        <v>0</v>
      </c>
      <c r="K171" s="52">
        <f t="shared" ref="K171:K176" si="62">(H171*G171)+(I171*G171*1.5)+(J171*G171*2)</f>
        <v>0</v>
      </c>
      <c r="L171" s="52"/>
      <c r="M171" s="52"/>
      <c r="N171" s="52">
        <f t="shared" si="56"/>
        <v>0</v>
      </c>
      <c r="O171" s="53">
        <f t="shared" si="8"/>
        <v>0</v>
      </c>
      <c r="P171" s="54"/>
    </row>
    <row r="172" ht="30.0" hidden="1" customHeight="1">
      <c r="A172" s="44">
        <v>45921.0</v>
      </c>
      <c r="B172" s="45" t="str">
        <f t="shared" si="1"/>
        <v>الأحد</v>
      </c>
      <c r="C172" s="46" t="s">
        <v>25</v>
      </c>
      <c r="D172" s="47">
        <v>300000.0</v>
      </c>
      <c r="E172" s="56"/>
      <c r="F172" s="56"/>
      <c r="G172" s="50">
        <f t="shared" si="2"/>
        <v>1276.595745</v>
      </c>
      <c r="H172" s="57">
        <v>0.0</v>
      </c>
      <c r="I172" s="51">
        <f t="shared" si="61"/>
        <v>0</v>
      </c>
      <c r="J172" s="51">
        <f t="shared" si="5"/>
        <v>0</v>
      </c>
      <c r="K172" s="52">
        <f t="shared" si="62"/>
        <v>0</v>
      </c>
      <c r="L172" s="52"/>
      <c r="M172" s="52"/>
      <c r="N172" s="52">
        <f t="shared" si="56"/>
        <v>0</v>
      </c>
      <c r="O172" s="53">
        <f t="shared" si="8"/>
        <v>0</v>
      </c>
      <c r="P172" s="54"/>
    </row>
    <row r="173" ht="30.0" hidden="1" customHeight="1">
      <c r="A173" s="44">
        <v>45922.0</v>
      </c>
      <c r="B173" s="45" t="str">
        <f t="shared" si="1"/>
        <v>الاثنين</v>
      </c>
      <c r="C173" s="46" t="s">
        <v>25</v>
      </c>
      <c r="D173" s="47">
        <v>300000.0</v>
      </c>
      <c r="E173" s="56"/>
      <c r="F173" s="56"/>
      <c r="G173" s="50">
        <f t="shared" si="2"/>
        <v>1276.595745</v>
      </c>
      <c r="H173" s="57">
        <v>0.0</v>
      </c>
      <c r="I173" s="51">
        <f t="shared" si="61"/>
        <v>0</v>
      </c>
      <c r="J173" s="51">
        <f t="shared" si="5"/>
        <v>0</v>
      </c>
      <c r="K173" s="52">
        <f t="shared" si="62"/>
        <v>0</v>
      </c>
      <c r="L173" s="52"/>
      <c r="M173" s="52"/>
      <c r="N173" s="52">
        <f t="shared" si="56"/>
        <v>0</v>
      </c>
      <c r="O173" s="53">
        <f t="shared" si="8"/>
        <v>0</v>
      </c>
      <c r="P173" s="54"/>
    </row>
    <row r="174" ht="30.0" hidden="1" customHeight="1">
      <c r="A174" s="44">
        <v>45923.0</v>
      </c>
      <c r="B174" s="45" t="str">
        <f t="shared" si="1"/>
        <v>الثلاثاء</v>
      </c>
      <c r="C174" s="46" t="s">
        <v>25</v>
      </c>
      <c r="D174" s="47">
        <v>300000.0</v>
      </c>
      <c r="E174" s="49">
        <v>0.5847222222222223</v>
      </c>
      <c r="F174" s="49">
        <v>0.8048611111111111</v>
      </c>
      <c r="G174" s="50">
        <f t="shared" si="2"/>
        <v>1276.595745</v>
      </c>
      <c r="H174" s="51">
        <f t="shared" ref="H174:H176" si="63">MIN(9,MAX(0,(MIN(F174,TIME(18,0,0))-MAX(E174,TIME(9,0,0)))*24))</f>
        <v>3.966666667</v>
      </c>
      <c r="I174" s="51">
        <f t="shared" si="61"/>
        <v>1.316666667</v>
      </c>
      <c r="J174" s="51">
        <f t="shared" si="5"/>
        <v>0</v>
      </c>
      <c r="K174" s="52">
        <f t="shared" si="62"/>
        <v>7585.106383</v>
      </c>
      <c r="L174" s="52"/>
      <c r="M174" s="52"/>
      <c r="N174" s="59">
        <v>0.0</v>
      </c>
      <c r="O174" s="53">
        <f t="shared" si="8"/>
        <v>7585.106383</v>
      </c>
      <c r="P174" s="54"/>
    </row>
    <row r="175" ht="30.0" hidden="1" customHeight="1">
      <c r="A175" s="44">
        <v>45924.0</v>
      </c>
      <c r="B175" s="45" t="str">
        <f t="shared" si="1"/>
        <v>الأربعاء</v>
      </c>
      <c r="C175" s="46" t="s">
        <v>25</v>
      </c>
      <c r="D175" s="47">
        <v>300000.0</v>
      </c>
      <c r="E175" s="49">
        <v>0.5756944444444444</v>
      </c>
      <c r="F175" s="49">
        <v>0.89375</v>
      </c>
      <c r="G175" s="50">
        <f t="shared" si="2"/>
        <v>1276.595745</v>
      </c>
      <c r="H175" s="51">
        <f t="shared" si="63"/>
        <v>4.183333333</v>
      </c>
      <c r="I175" s="51">
        <f t="shared" si="61"/>
        <v>3.45</v>
      </c>
      <c r="J175" s="51">
        <f t="shared" si="5"/>
        <v>0</v>
      </c>
      <c r="K175" s="52">
        <f t="shared" si="62"/>
        <v>11946.80851</v>
      </c>
      <c r="L175" s="52"/>
      <c r="M175" s="52"/>
      <c r="N175" s="59">
        <v>0.0</v>
      </c>
      <c r="O175" s="53">
        <f t="shared" si="8"/>
        <v>11946.80851</v>
      </c>
      <c r="P175" s="54"/>
    </row>
    <row r="176" ht="30.0" hidden="1" customHeight="1">
      <c r="A176" s="44">
        <v>45925.0</v>
      </c>
      <c r="B176" s="45" t="str">
        <f t="shared" si="1"/>
        <v>الخميس</v>
      </c>
      <c r="C176" s="46" t="s">
        <v>25</v>
      </c>
      <c r="D176" s="47">
        <v>300000.0</v>
      </c>
      <c r="E176" s="49">
        <v>0.5736111111111111</v>
      </c>
      <c r="F176" s="49">
        <v>0.8909722222222223</v>
      </c>
      <c r="G176" s="50">
        <f t="shared" si="2"/>
        <v>1276.595745</v>
      </c>
      <c r="H176" s="51">
        <f t="shared" si="63"/>
        <v>4.233333333</v>
      </c>
      <c r="I176" s="51">
        <f t="shared" si="61"/>
        <v>3.383333333</v>
      </c>
      <c r="J176" s="51">
        <f t="shared" si="5"/>
        <v>0</v>
      </c>
      <c r="K176" s="52">
        <f t="shared" si="62"/>
        <v>11882.97872</v>
      </c>
      <c r="L176" s="52"/>
      <c r="M176" s="52"/>
      <c r="N176" s="59">
        <v>0.0</v>
      </c>
      <c r="O176" s="53">
        <f t="shared" si="8"/>
        <v>11882.97872</v>
      </c>
      <c r="P176" s="54"/>
    </row>
    <row r="177" ht="30.0" hidden="1" customHeight="1">
      <c r="A177" s="44">
        <v>45926.0</v>
      </c>
      <c r="B177" s="45" t="str">
        <f t="shared" si="1"/>
        <v>الجمعة</v>
      </c>
      <c r="C177" s="46" t="s">
        <v>25</v>
      </c>
      <c r="D177" s="47">
        <v>300000.0</v>
      </c>
      <c r="E177" s="56"/>
      <c r="F177" s="56"/>
      <c r="G177" s="50">
        <f t="shared" si="2"/>
        <v>1276.595745</v>
      </c>
      <c r="H177" s="57">
        <v>0.0</v>
      </c>
      <c r="I177" s="57">
        <v>0.0</v>
      </c>
      <c r="J177" s="51">
        <f t="shared" si="5"/>
        <v>0</v>
      </c>
      <c r="K177" s="52">
        <f>(J177*G177*2)</f>
        <v>0</v>
      </c>
      <c r="L177" s="52"/>
      <c r="M177" s="52"/>
      <c r="N177" s="52">
        <f>IF(B177="الجمعة",0,IF(E177&gt;TIME(9,0,0),(E177-TIME(9,0,0))*24*60*(G177/60),0))</f>
        <v>0</v>
      </c>
      <c r="O177" s="53">
        <f t="shared" si="8"/>
        <v>0</v>
      </c>
      <c r="P177" s="54"/>
    </row>
    <row r="178" ht="30.0" hidden="1" customHeight="1">
      <c r="A178" s="44">
        <v>45927.0</v>
      </c>
      <c r="B178" s="45" t="str">
        <f t="shared" si="1"/>
        <v>السبت</v>
      </c>
      <c r="C178" s="46" t="s">
        <v>25</v>
      </c>
      <c r="D178" s="47">
        <v>300000.0</v>
      </c>
      <c r="E178" s="49">
        <v>0.5798611111111112</v>
      </c>
      <c r="F178" s="49">
        <v>0.8881944444444444</v>
      </c>
      <c r="G178" s="50">
        <f t="shared" si="2"/>
        <v>1276.595745</v>
      </c>
      <c r="H178" s="51">
        <f t="shared" ref="H178:H193" si="64">MIN(9,MAX(0,(MIN(F178,TIME(18,0,0))-MAX(E178,TIME(9,0,0)))*24))</f>
        <v>4.083333333</v>
      </c>
      <c r="I178" s="51">
        <f t="shared" ref="I178:I185" si="65">MAX(0,(MOD(F178-E178,1)*24)-H178)</f>
        <v>3.316666667</v>
      </c>
      <c r="J178" s="51">
        <f t="shared" si="5"/>
        <v>0</v>
      </c>
      <c r="K178" s="52">
        <f t="shared" ref="K178:K185" si="66">(H178*G178)+(I178*G178*1.5)+(J178*G178*2)</f>
        <v>11563.82979</v>
      </c>
      <c r="L178" s="52"/>
      <c r="M178" s="52"/>
      <c r="N178" s="59">
        <v>0.0</v>
      </c>
      <c r="O178" s="53">
        <f t="shared" si="8"/>
        <v>11563.82979</v>
      </c>
      <c r="P178" s="54"/>
    </row>
    <row r="179" ht="30.0" hidden="1" customHeight="1">
      <c r="A179" s="44">
        <v>45928.0</v>
      </c>
      <c r="B179" s="45" t="str">
        <f t="shared" si="1"/>
        <v>الأحد</v>
      </c>
      <c r="C179" s="46" t="s">
        <v>25</v>
      </c>
      <c r="D179" s="47">
        <v>300000.0</v>
      </c>
      <c r="E179" s="49">
        <v>0.5868055555555556</v>
      </c>
      <c r="F179" s="49">
        <v>0.8875</v>
      </c>
      <c r="G179" s="50">
        <f t="shared" si="2"/>
        <v>1276.595745</v>
      </c>
      <c r="H179" s="51">
        <f t="shared" si="64"/>
        <v>3.916666667</v>
      </c>
      <c r="I179" s="51">
        <f t="shared" si="65"/>
        <v>3.3</v>
      </c>
      <c r="J179" s="51">
        <f t="shared" si="5"/>
        <v>0</v>
      </c>
      <c r="K179" s="52">
        <f t="shared" si="66"/>
        <v>11319.14894</v>
      </c>
      <c r="L179" s="52"/>
      <c r="M179" s="52"/>
      <c r="N179" s="59">
        <v>0.0</v>
      </c>
      <c r="O179" s="53">
        <f t="shared" si="8"/>
        <v>11319.14894</v>
      </c>
      <c r="P179" s="54"/>
    </row>
    <row r="180" ht="30.0" hidden="1" customHeight="1">
      <c r="A180" s="44">
        <v>45929.0</v>
      </c>
      <c r="B180" s="45" t="str">
        <f t="shared" si="1"/>
        <v>الاثنين</v>
      </c>
      <c r="C180" s="46" t="s">
        <v>25</v>
      </c>
      <c r="D180" s="47">
        <v>300000.0</v>
      </c>
      <c r="E180" s="49">
        <v>0.5875</v>
      </c>
      <c r="F180" s="49">
        <v>0.8791666666666667</v>
      </c>
      <c r="G180" s="50">
        <f t="shared" si="2"/>
        <v>1276.595745</v>
      </c>
      <c r="H180" s="51">
        <f t="shared" si="64"/>
        <v>3.9</v>
      </c>
      <c r="I180" s="51">
        <f t="shared" si="65"/>
        <v>3.1</v>
      </c>
      <c r="J180" s="51">
        <f t="shared" si="5"/>
        <v>0</v>
      </c>
      <c r="K180" s="52">
        <f t="shared" si="66"/>
        <v>10914.89362</v>
      </c>
      <c r="L180" s="52"/>
      <c r="M180" s="52"/>
      <c r="N180" s="59">
        <v>0.0</v>
      </c>
      <c r="O180" s="53">
        <f t="shared" si="8"/>
        <v>10914.89362</v>
      </c>
      <c r="P180" s="54"/>
    </row>
    <row r="181" ht="30.0" hidden="1" customHeight="1">
      <c r="A181" s="44">
        <v>45930.0</v>
      </c>
      <c r="B181" s="45" t="str">
        <f t="shared" si="1"/>
        <v>الثلاثاء</v>
      </c>
      <c r="C181" s="46" t="s">
        <v>25</v>
      </c>
      <c r="D181" s="47">
        <v>300000.0</v>
      </c>
      <c r="E181" s="49">
        <v>0.5833333333333334</v>
      </c>
      <c r="F181" s="49">
        <v>0.7868055555555555</v>
      </c>
      <c r="G181" s="50">
        <f t="shared" si="2"/>
        <v>1276.595745</v>
      </c>
      <c r="H181" s="51">
        <f t="shared" si="64"/>
        <v>4</v>
      </c>
      <c r="I181" s="51">
        <f t="shared" si="65"/>
        <v>0.8833333333</v>
      </c>
      <c r="J181" s="51">
        <f t="shared" si="5"/>
        <v>0</v>
      </c>
      <c r="K181" s="52">
        <f t="shared" si="66"/>
        <v>6797.87234</v>
      </c>
      <c r="L181" s="52"/>
      <c r="M181" s="52"/>
      <c r="N181" s="59">
        <v>0.0</v>
      </c>
      <c r="O181" s="53">
        <f t="shared" si="8"/>
        <v>6797.87234</v>
      </c>
      <c r="P181" s="54"/>
    </row>
    <row r="182" ht="30.0" hidden="1" customHeight="1">
      <c r="A182" s="44">
        <v>45901.0</v>
      </c>
      <c r="B182" s="45" t="str">
        <f t="shared" si="1"/>
        <v>الاثنين</v>
      </c>
      <c r="C182" s="46" t="s">
        <v>26</v>
      </c>
      <c r="D182" s="47">
        <v>300000.0</v>
      </c>
      <c r="E182" s="56">
        <v>0.3333333333333333</v>
      </c>
      <c r="F182" s="56">
        <v>0.63125</v>
      </c>
      <c r="G182" s="50">
        <f t="shared" si="2"/>
        <v>1276.595745</v>
      </c>
      <c r="H182" s="51">
        <f t="shared" si="64"/>
        <v>6.15</v>
      </c>
      <c r="I182" s="51">
        <f t="shared" si="65"/>
        <v>1</v>
      </c>
      <c r="J182" s="51">
        <f t="shared" si="5"/>
        <v>0</v>
      </c>
      <c r="K182" s="52">
        <f t="shared" si="66"/>
        <v>9765.957447</v>
      </c>
      <c r="L182" s="52"/>
      <c r="M182" s="52"/>
      <c r="N182" s="52">
        <f t="shared" ref="N182:N184" si="67">IF(B182="الجمعة",0,IF(E182&gt;TIME(9,0,0),(E182-TIME(9,0,0))*24*60*(G182/60),0))</f>
        <v>0</v>
      </c>
      <c r="O182" s="53">
        <f t="shared" si="8"/>
        <v>9765.957447</v>
      </c>
      <c r="P182" s="54"/>
    </row>
    <row r="183" ht="30.0" hidden="1" customHeight="1">
      <c r="A183" s="44">
        <v>45902.0</v>
      </c>
      <c r="B183" s="45" t="str">
        <f t="shared" si="1"/>
        <v>الثلاثاء</v>
      </c>
      <c r="C183" s="46" t="s">
        <v>26</v>
      </c>
      <c r="D183" s="47">
        <v>300000.0</v>
      </c>
      <c r="E183" s="56">
        <v>0.3333333333333333</v>
      </c>
      <c r="F183" s="56">
        <v>0.6479166666666667</v>
      </c>
      <c r="G183" s="50">
        <f t="shared" si="2"/>
        <v>1276.595745</v>
      </c>
      <c r="H183" s="51">
        <f t="shared" si="64"/>
        <v>6.55</v>
      </c>
      <c r="I183" s="51">
        <f t="shared" si="65"/>
        <v>1</v>
      </c>
      <c r="J183" s="51">
        <f t="shared" si="5"/>
        <v>0</v>
      </c>
      <c r="K183" s="52">
        <f t="shared" si="66"/>
        <v>10276.59574</v>
      </c>
      <c r="L183" s="52"/>
      <c r="M183" s="52"/>
      <c r="N183" s="52">
        <f t="shared" si="67"/>
        <v>0</v>
      </c>
      <c r="O183" s="53">
        <f t="shared" si="8"/>
        <v>10276.59574</v>
      </c>
      <c r="P183" s="54"/>
    </row>
    <row r="184" ht="30.0" hidden="1" customHeight="1">
      <c r="A184" s="44">
        <v>45903.0</v>
      </c>
      <c r="B184" s="45" t="str">
        <f t="shared" si="1"/>
        <v>الأربعاء</v>
      </c>
      <c r="C184" s="46" t="s">
        <v>26</v>
      </c>
      <c r="D184" s="47">
        <v>300000.0</v>
      </c>
      <c r="E184" s="56">
        <v>0.3333333333333333</v>
      </c>
      <c r="F184" s="56">
        <v>0.6597222222222222</v>
      </c>
      <c r="G184" s="50">
        <f t="shared" si="2"/>
        <v>1276.595745</v>
      </c>
      <c r="H184" s="51">
        <f t="shared" si="64"/>
        <v>6.833333333</v>
      </c>
      <c r="I184" s="51">
        <f t="shared" si="65"/>
        <v>1</v>
      </c>
      <c r="J184" s="51">
        <f t="shared" si="5"/>
        <v>0</v>
      </c>
      <c r="K184" s="52">
        <f t="shared" si="66"/>
        <v>10638.29787</v>
      </c>
      <c r="L184" s="52"/>
      <c r="M184" s="52"/>
      <c r="N184" s="52">
        <f t="shared" si="67"/>
        <v>0</v>
      </c>
      <c r="O184" s="53">
        <f t="shared" si="8"/>
        <v>10638.29787</v>
      </c>
      <c r="P184" s="54"/>
    </row>
    <row r="185" ht="30.0" hidden="1" customHeight="1">
      <c r="A185" s="44">
        <v>45904.0</v>
      </c>
      <c r="B185" s="45" t="str">
        <f t="shared" si="1"/>
        <v>الخميس</v>
      </c>
      <c r="C185" s="46" t="s">
        <v>26</v>
      </c>
      <c r="D185" s="47">
        <v>300000.0</v>
      </c>
      <c r="E185" s="56">
        <v>0.6041666666666666</v>
      </c>
      <c r="F185" s="56">
        <v>0.9166666666666666</v>
      </c>
      <c r="G185" s="50">
        <f t="shared" si="2"/>
        <v>1276.595745</v>
      </c>
      <c r="H185" s="51">
        <f t="shared" si="64"/>
        <v>3.5</v>
      </c>
      <c r="I185" s="51">
        <f t="shared" si="65"/>
        <v>4</v>
      </c>
      <c r="J185" s="51">
        <f t="shared" si="5"/>
        <v>0</v>
      </c>
      <c r="K185" s="52">
        <f t="shared" si="66"/>
        <v>12127.65957</v>
      </c>
      <c r="L185" s="52"/>
      <c r="M185" s="52"/>
      <c r="N185" s="59">
        <v>0.0</v>
      </c>
      <c r="O185" s="53">
        <f t="shared" si="8"/>
        <v>12127.65957</v>
      </c>
      <c r="P185" s="54"/>
    </row>
    <row r="186" ht="30.0" hidden="1" customHeight="1">
      <c r="A186" s="44">
        <v>45905.0</v>
      </c>
      <c r="B186" s="45" t="str">
        <f t="shared" si="1"/>
        <v>الجمعة</v>
      </c>
      <c r="C186" s="46" t="s">
        <v>26</v>
      </c>
      <c r="D186" s="47">
        <v>300000.0</v>
      </c>
      <c r="E186" s="56">
        <v>0.49166666666666664</v>
      </c>
      <c r="F186" s="56">
        <v>0.7701388888888889</v>
      </c>
      <c r="G186" s="50">
        <f t="shared" si="2"/>
        <v>1276.595745</v>
      </c>
      <c r="H186" s="51">
        <f t="shared" si="64"/>
        <v>6.2</v>
      </c>
      <c r="I186" s="57">
        <v>0.0</v>
      </c>
      <c r="J186" s="51">
        <f t="shared" si="5"/>
        <v>6.683333333</v>
      </c>
      <c r="K186" s="52">
        <f>(J186*G186*2)</f>
        <v>17063.82979</v>
      </c>
      <c r="L186" s="52"/>
      <c r="M186" s="52"/>
      <c r="N186" s="52">
        <f t="shared" ref="N186:N192" si="68">IF(B186="الجمعة",0,IF(E186&gt;TIME(9,0,0),(E186-TIME(9,0,0))*24*60*(G186/60),0))</f>
        <v>0</v>
      </c>
      <c r="O186" s="53">
        <f t="shared" si="8"/>
        <v>17063.82979</v>
      </c>
      <c r="P186" s="54"/>
    </row>
    <row r="187" ht="30.0" hidden="1" customHeight="1">
      <c r="A187" s="44">
        <v>45906.0</v>
      </c>
      <c r="B187" s="45" t="str">
        <f t="shared" si="1"/>
        <v>السبت</v>
      </c>
      <c r="C187" s="46" t="s">
        <v>26</v>
      </c>
      <c r="D187" s="47">
        <v>300000.0</v>
      </c>
      <c r="E187" s="56">
        <v>0.3333333333333333</v>
      </c>
      <c r="F187" s="56">
        <v>0.64375</v>
      </c>
      <c r="G187" s="50">
        <f t="shared" si="2"/>
        <v>1276.595745</v>
      </c>
      <c r="H187" s="51">
        <f t="shared" si="64"/>
        <v>6.45</v>
      </c>
      <c r="I187" s="51">
        <f t="shared" ref="I187:I193" si="69">MAX(0,(MOD(F187-E187,1)*24)-H187)</f>
        <v>1</v>
      </c>
      <c r="J187" s="51">
        <f t="shared" si="5"/>
        <v>0</v>
      </c>
      <c r="K187" s="52">
        <f t="shared" ref="K187:K193" si="70">(H187*G187)+(I187*G187*1.5)+(J187*G187*2)</f>
        <v>10148.93617</v>
      </c>
      <c r="L187" s="52"/>
      <c r="M187" s="52"/>
      <c r="N187" s="52">
        <f t="shared" si="68"/>
        <v>0</v>
      </c>
      <c r="O187" s="53">
        <f t="shared" si="8"/>
        <v>10148.93617</v>
      </c>
      <c r="P187" s="54"/>
    </row>
    <row r="188" ht="30.0" hidden="1" customHeight="1">
      <c r="A188" s="44">
        <v>45907.0</v>
      </c>
      <c r="B188" s="45" t="str">
        <f t="shared" si="1"/>
        <v>الأحد</v>
      </c>
      <c r="C188" s="46" t="s">
        <v>26</v>
      </c>
      <c r="D188" s="47">
        <v>300000.0</v>
      </c>
      <c r="E188" s="56">
        <v>0.33194444444444443</v>
      </c>
      <c r="F188" s="56">
        <v>0.6277777777777778</v>
      </c>
      <c r="G188" s="50">
        <f t="shared" si="2"/>
        <v>1276.595745</v>
      </c>
      <c r="H188" s="51">
        <f t="shared" si="64"/>
        <v>6.066666667</v>
      </c>
      <c r="I188" s="51">
        <f t="shared" si="69"/>
        <v>1.033333333</v>
      </c>
      <c r="J188" s="51">
        <f t="shared" si="5"/>
        <v>0</v>
      </c>
      <c r="K188" s="52">
        <f t="shared" si="70"/>
        <v>9723.404255</v>
      </c>
      <c r="L188" s="52"/>
      <c r="M188" s="52"/>
      <c r="N188" s="52">
        <f t="shared" si="68"/>
        <v>0</v>
      </c>
      <c r="O188" s="53">
        <f t="shared" si="8"/>
        <v>9723.404255</v>
      </c>
      <c r="P188" s="54"/>
    </row>
    <row r="189" ht="30.0" hidden="1" customHeight="1">
      <c r="A189" s="44">
        <v>45908.0</v>
      </c>
      <c r="B189" s="45" t="str">
        <f t="shared" si="1"/>
        <v>الاثنين</v>
      </c>
      <c r="C189" s="46" t="s">
        <v>26</v>
      </c>
      <c r="D189" s="47">
        <v>300000.0</v>
      </c>
      <c r="E189" s="56">
        <v>0.3333333333333333</v>
      </c>
      <c r="F189" s="56">
        <v>0.6423611111111112</v>
      </c>
      <c r="G189" s="50">
        <f t="shared" si="2"/>
        <v>1276.595745</v>
      </c>
      <c r="H189" s="51">
        <f t="shared" si="64"/>
        <v>6.416666667</v>
      </c>
      <c r="I189" s="51">
        <f t="shared" si="69"/>
        <v>1</v>
      </c>
      <c r="J189" s="51">
        <f t="shared" si="5"/>
        <v>0</v>
      </c>
      <c r="K189" s="52">
        <f t="shared" si="70"/>
        <v>10106.38298</v>
      </c>
      <c r="L189" s="52"/>
      <c r="M189" s="52"/>
      <c r="N189" s="52">
        <f t="shared" si="68"/>
        <v>0</v>
      </c>
      <c r="O189" s="53">
        <f t="shared" si="8"/>
        <v>10106.38298</v>
      </c>
      <c r="P189" s="54"/>
    </row>
    <row r="190" ht="30.0" hidden="1" customHeight="1">
      <c r="A190" s="44">
        <v>45909.0</v>
      </c>
      <c r="B190" s="45" t="str">
        <f t="shared" si="1"/>
        <v>الثلاثاء</v>
      </c>
      <c r="C190" s="46" t="s">
        <v>26</v>
      </c>
      <c r="D190" s="47">
        <v>300000.0</v>
      </c>
      <c r="E190" s="56">
        <v>0.3284722222222222</v>
      </c>
      <c r="F190" s="56">
        <v>0.6347222222222222</v>
      </c>
      <c r="G190" s="50">
        <f t="shared" si="2"/>
        <v>1276.595745</v>
      </c>
      <c r="H190" s="51">
        <f t="shared" si="64"/>
        <v>6.233333333</v>
      </c>
      <c r="I190" s="51">
        <f t="shared" si="69"/>
        <v>1.116666667</v>
      </c>
      <c r="J190" s="51">
        <f t="shared" si="5"/>
        <v>0</v>
      </c>
      <c r="K190" s="52">
        <f t="shared" si="70"/>
        <v>10095.74468</v>
      </c>
      <c r="L190" s="52"/>
      <c r="M190" s="52"/>
      <c r="N190" s="52">
        <f t="shared" si="68"/>
        <v>0</v>
      </c>
      <c r="O190" s="53">
        <f t="shared" si="8"/>
        <v>10095.74468</v>
      </c>
      <c r="P190" s="54"/>
    </row>
    <row r="191" ht="30.0" hidden="1" customHeight="1">
      <c r="A191" s="44">
        <v>45910.0</v>
      </c>
      <c r="B191" s="45" t="str">
        <f t="shared" si="1"/>
        <v>الأربعاء</v>
      </c>
      <c r="C191" s="46" t="s">
        <v>26</v>
      </c>
      <c r="D191" s="47">
        <v>300000.0</v>
      </c>
      <c r="E191" s="56">
        <v>0.3333333333333333</v>
      </c>
      <c r="F191" s="56">
        <v>0.6354166666666666</v>
      </c>
      <c r="G191" s="50">
        <f t="shared" si="2"/>
        <v>1276.595745</v>
      </c>
      <c r="H191" s="51">
        <f t="shared" si="64"/>
        <v>6.25</v>
      </c>
      <c r="I191" s="51">
        <f t="shared" si="69"/>
        <v>1</v>
      </c>
      <c r="J191" s="51">
        <f t="shared" si="5"/>
        <v>0</v>
      </c>
      <c r="K191" s="52">
        <f t="shared" si="70"/>
        <v>9893.617021</v>
      </c>
      <c r="L191" s="52"/>
      <c r="M191" s="52"/>
      <c r="N191" s="52">
        <f t="shared" si="68"/>
        <v>0</v>
      </c>
      <c r="O191" s="53">
        <f t="shared" si="8"/>
        <v>9893.617021</v>
      </c>
      <c r="P191" s="54"/>
    </row>
    <row r="192" ht="30.0" hidden="1" customHeight="1">
      <c r="A192" s="44">
        <v>45913.0</v>
      </c>
      <c r="B192" s="45" t="str">
        <f t="shared" si="1"/>
        <v>السبت</v>
      </c>
      <c r="C192" s="46" t="s">
        <v>26</v>
      </c>
      <c r="D192" s="47">
        <v>300000.0</v>
      </c>
      <c r="E192" s="56">
        <v>0.3298611111111111</v>
      </c>
      <c r="F192" s="56">
        <v>0.6368055555555555</v>
      </c>
      <c r="G192" s="50">
        <f t="shared" si="2"/>
        <v>1276.595745</v>
      </c>
      <c r="H192" s="51">
        <f t="shared" si="64"/>
        <v>6.283333333</v>
      </c>
      <c r="I192" s="51">
        <f t="shared" si="69"/>
        <v>1.083333333</v>
      </c>
      <c r="J192" s="51">
        <f t="shared" si="5"/>
        <v>0</v>
      </c>
      <c r="K192" s="52">
        <f t="shared" si="70"/>
        <v>10095.74468</v>
      </c>
      <c r="L192" s="52"/>
      <c r="M192" s="52"/>
      <c r="N192" s="52">
        <f t="shared" si="68"/>
        <v>0</v>
      </c>
      <c r="O192" s="53">
        <f t="shared" si="8"/>
        <v>10095.74468</v>
      </c>
      <c r="P192" s="54"/>
    </row>
    <row r="193" ht="30.0" hidden="1" customHeight="1">
      <c r="A193" s="44">
        <v>45911.0</v>
      </c>
      <c r="B193" s="45" t="str">
        <f t="shared" si="1"/>
        <v>الخميس</v>
      </c>
      <c r="C193" s="46" t="s">
        <v>26</v>
      </c>
      <c r="D193" s="47">
        <v>300000.0</v>
      </c>
      <c r="E193" s="56">
        <v>0.5576388888888889</v>
      </c>
      <c r="F193" s="49">
        <v>0.7125</v>
      </c>
      <c r="G193" s="50">
        <f t="shared" si="2"/>
        <v>1276.595745</v>
      </c>
      <c r="H193" s="51">
        <f t="shared" si="64"/>
        <v>3.716666667</v>
      </c>
      <c r="I193" s="51">
        <f t="shared" si="69"/>
        <v>0</v>
      </c>
      <c r="J193" s="51">
        <f t="shared" si="5"/>
        <v>0</v>
      </c>
      <c r="K193" s="52">
        <f t="shared" si="70"/>
        <v>4744.680851</v>
      </c>
      <c r="L193" s="52"/>
      <c r="M193" s="52"/>
      <c r="N193" s="59">
        <v>0.0</v>
      </c>
      <c r="O193" s="53">
        <f t="shared" si="8"/>
        <v>4744.680851</v>
      </c>
      <c r="P193" s="54"/>
    </row>
    <row r="194" ht="30.0" hidden="1" customHeight="1">
      <c r="A194" s="44">
        <v>45912.0</v>
      </c>
      <c r="B194" s="45" t="str">
        <f t="shared" si="1"/>
        <v>الجمعة</v>
      </c>
      <c r="C194" s="46" t="s">
        <v>26</v>
      </c>
      <c r="D194" s="47">
        <v>300000.0</v>
      </c>
      <c r="E194" s="56"/>
      <c r="F194" s="56"/>
      <c r="G194" s="50">
        <f t="shared" si="2"/>
        <v>1276.595745</v>
      </c>
      <c r="H194" s="57">
        <v>0.0</v>
      </c>
      <c r="I194" s="57">
        <v>0.0</v>
      </c>
      <c r="J194" s="51">
        <f t="shared" si="5"/>
        <v>0</v>
      </c>
      <c r="K194" s="52">
        <f>(J194*G194*2)</f>
        <v>0</v>
      </c>
      <c r="L194" s="52"/>
      <c r="M194" s="52"/>
      <c r="N194" s="52">
        <f t="shared" ref="N194:N214" si="71">IF(B194="الجمعة",0,IF(E194&gt;TIME(9,0,0),(E194-TIME(9,0,0))*24*60*(G194/60),0))</f>
        <v>0</v>
      </c>
      <c r="O194" s="53">
        <f t="shared" si="8"/>
        <v>0</v>
      </c>
      <c r="P194" s="54"/>
    </row>
    <row r="195" ht="30.0" hidden="1" customHeight="1">
      <c r="A195" s="44">
        <v>45914.0</v>
      </c>
      <c r="B195" s="45" t="str">
        <f t="shared" si="1"/>
        <v>الأحد</v>
      </c>
      <c r="C195" s="46" t="s">
        <v>26</v>
      </c>
      <c r="D195" s="47">
        <v>300000.0</v>
      </c>
      <c r="E195" s="56">
        <v>0.3333333333333333</v>
      </c>
      <c r="F195" s="56">
        <v>0.63125</v>
      </c>
      <c r="G195" s="50">
        <f t="shared" si="2"/>
        <v>1276.595745</v>
      </c>
      <c r="H195" s="51">
        <f t="shared" ref="H195:H199" si="72">MIN(9,MAX(0,(MIN(F195,TIME(18,0,0))-MAX(E195,TIME(9,0,0)))*24))</f>
        <v>6.15</v>
      </c>
      <c r="I195" s="51">
        <f t="shared" ref="I195:I199" si="73">MAX(0,(MOD(F195-E195,1)*24)-H195)</f>
        <v>1</v>
      </c>
      <c r="J195" s="51">
        <f t="shared" si="5"/>
        <v>0</v>
      </c>
      <c r="K195" s="52">
        <f t="shared" ref="K195:K199" si="74">(H195*G195)+(I195*G195*1.5)+(J195*G195*2)</f>
        <v>9765.957447</v>
      </c>
      <c r="L195" s="52"/>
      <c r="M195" s="52"/>
      <c r="N195" s="52">
        <f t="shared" si="71"/>
        <v>0</v>
      </c>
      <c r="O195" s="53">
        <f t="shared" si="8"/>
        <v>9765.957447</v>
      </c>
      <c r="P195" s="54"/>
    </row>
    <row r="196" ht="30.0" hidden="1" customHeight="1">
      <c r="A196" s="44">
        <v>45915.0</v>
      </c>
      <c r="B196" s="45" t="str">
        <f t="shared" si="1"/>
        <v>الاثنين</v>
      </c>
      <c r="C196" s="46" t="s">
        <v>26</v>
      </c>
      <c r="D196" s="47">
        <v>300000.0</v>
      </c>
      <c r="E196" s="56">
        <v>0.3451388888888889</v>
      </c>
      <c r="F196" s="56">
        <v>0.6277777777777778</v>
      </c>
      <c r="G196" s="50">
        <f t="shared" si="2"/>
        <v>1276.595745</v>
      </c>
      <c r="H196" s="51">
        <f t="shared" si="72"/>
        <v>6.066666667</v>
      </c>
      <c r="I196" s="51">
        <f t="shared" si="73"/>
        <v>0.7166666667</v>
      </c>
      <c r="J196" s="51">
        <f t="shared" si="5"/>
        <v>0</v>
      </c>
      <c r="K196" s="52">
        <f t="shared" si="74"/>
        <v>9117.021277</v>
      </c>
      <c r="L196" s="52"/>
      <c r="M196" s="52"/>
      <c r="N196" s="52">
        <f t="shared" si="71"/>
        <v>0</v>
      </c>
      <c r="O196" s="53">
        <f t="shared" si="8"/>
        <v>9117.021277</v>
      </c>
      <c r="P196" s="54"/>
    </row>
    <row r="197" ht="30.0" hidden="1" customHeight="1">
      <c r="A197" s="44">
        <v>45916.0</v>
      </c>
      <c r="B197" s="45" t="str">
        <f t="shared" si="1"/>
        <v>الثلاثاء</v>
      </c>
      <c r="C197" s="46" t="s">
        <v>26</v>
      </c>
      <c r="D197" s="47">
        <v>300000.0</v>
      </c>
      <c r="E197" s="56">
        <v>0.3451388888888889</v>
      </c>
      <c r="F197" s="56">
        <v>0.6409722222222223</v>
      </c>
      <c r="G197" s="50">
        <f t="shared" si="2"/>
        <v>1276.595745</v>
      </c>
      <c r="H197" s="51">
        <f t="shared" si="72"/>
        <v>6.383333333</v>
      </c>
      <c r="I197" s="51">
        <f t="shared" si="73"/>
        <v>0.7166666667</v>
      </c>
      <c r="J197" s="51">
        <f t="shared" si="5"/>
        <v>0</v>
      </c>
      <c r="K197" s="52">
        <f t="shared" si="74"/>
        <v>9521.276596</v>
      </c>
      <c r="L197" s="52"/>
      <c r="M197" s="52"/>
      <c r="N197" s="52">
        <f t="shared" si="71"/>
        <v>0</v>
      </c>
      <c r="O197" s="53">
        <f t="shared" si="8"/>
        <v>9521.276596</v>
      </c>
      <c r="P197" s="54"/>
    </row>
    <row r="198" ht="30.0" hidden="1" customHeight="1">
      <c r="A198" s="44">
        <v>45917.0</v>
      </c>
      <c r="B198" s="45" t="str">
        <f t="shared" si="1"/>
        <v>الأربعاء</v>
      </c>
      <c r="C198" s="46" t="s">
        <v>26</v>
      </c>
      <c r="D198" s="47">
        <v>300000.0</v>
      </c>
      <c r="E198" s="56">
        <v>0.3333333333333333</v>
      </c>
      <c r="F198" s="56">
        <v>0.6340277777777777</v>
      </c>
      <c r="G198" s="50">
        <f t="shared" si="2"/>
        <v>1276.595745</v>
      </c>
      <c r="H198" s="51">
        <f t="shared" si="72"/>
        <v>6.216666667</v>
      </c>
      <c r="I198" s="51">
        <f t="shared" si="73"/>
        <v>1</v>
      </c>
      <c r="J198" s="51">
        <f t="shared" si="5"/>
        <v>0</v>
      </c>
      <c r="K198" s="52">
        <f t="shared" si="74"/>
        <v>9851.06383</v>
      </c>
      <c r="L198" s="52"/>
      <c r="M198" s="52"/>
      <c r="N198" s="52">
        <f t="shared" si="71"/>
        <v>0</v>
      </c>
      <c r="O198" s="53">
        <f t="shared" si="8"/>
        <v>9851.06383</v>
      </c>
      <c r="P198" s="54"/>
    </row>
    <row r="199" ht="30.0" hidden="1" customHeight="1">
      <c r="A199" s="44">
        <v>45918.0</v>
      </c>
      <c r="B199" s="45" t="str">
        <f t="shared" si="1"/>
        <v>الخميس</v>
      </c>
      <c r="C199" s="46" t="s">
        <v>26</v>
      </c>
      <c r="D199" s="47">
        <v>300000.0</v>
      </c>
      <c r="E199" s="56">
        <v>0.37777777777777777</v>
      </c>
      <c r="F199" s="56">
        <v>0.6486111111111111</v>
      </c>
      <c r="G199" s="50">
        <f t="shared" si="2"/>
        <v>1276.595745</v>
      </c>
      <c r="H199" s="51">
        <f t="shared" si="72"/>
        <v>6.5</v>
      </c>
      <c r="I199" s="51">
        <f t="shared" si="73"/>
        <v>0</v>
      </c>
      <c r="J199" s="51">
        <f t="shared" si="5"/>
        <v>0</v>
      </c>
      <c r="K199" s="52">
        <f t="shared" si="74"/>
        <v>8297.87234</v>
      </c>
      <c r="L199" s="52"/>
      <c r="M199" s="52"/>
      <c r="N199" s="52">
        <f t="shared" si="71"/>
        <v>85.10638298</v>
      </c>
      <c r="O199" s="53">
        <f t="shared" si="8"/>
        <v>8212.765957</v>
      </c>
      <c r="P199" s="54"/>
    </row>
    <row r="200" ht="30.0" hidden="1" customHeight="1">
      <c r="A200" s="44">
        <v>45919.0</v>
      </c>
      <c r="B200" s="45" t="str">
        <f t="shared" si="1"/>
        <v>الجمعة</v>
      </c>
      <c r="C200" s="46" t="s">
        <v>26</v>
      </c>
      <c r="D200" s="47">
        <v>300000.0</v>
      </c>
      <c r="E200" s="56"/>
      <c r="F200" s="56"/>
      <c r="G200" s="50">
        <f t="shared" si="2"/>
        <v>1276.595745</v>
      </c>
      <c r="H200" s="57">
        <v>0.0</v>
      </c>
      <c r="I200" s="57">
        <v>0.0</v>
      </c>
      <c r="J200" s="51">
        <f t="shared" si="5"/>
        <v>0</v>
      </c>
      <c r="K200" s="52">
        <f>(J200*G200*2)</f>
        <v>0</v>
      </c>
      <c r="L200" s="52"/>
      <c r="M200" s="52"/>
      <c r="N200" s="52">
        <f t="shared" si="71"/>
        <v>0</v>
      </c>
      <c r="O200" s="53">
        <f t="shared" si="8"/>
        <v>0</v>
      </c>
      <c r="P200" s="54"/>
    </row>
    <row r="201" ht="30.0" hidden="1" customHeight="1">
      <c r="A201" s="44">
        <v>45920.0</v>
      </c>
      <c r="B201" s="45" t="str">
        <f t="shared" si="1"/>
        <v>السبت</v>
      </c>
      <c r="C201" s="46" t="s">
        <v>26</v>
      </c>
      <c r="D201" s="47">
        <v>300000.0</v>
      </c>
      <c r="E201" s="56">
        <v>0.3333333333333333</v>
      </c>
      <c r="F201" s="56">
        <v>0.6826388888888889</v>
      </c>
      <c r="G201" s="50">
        <f t="shared" si="2"/>
        <v>1276.595745</v>
      </c>
      <c r="H201" s="51">
        <f t="shared" ref="H201:H211" si="75">MIN(9,MAX(0,(MIN(F201,TIME(18,0,0))-MAX(E201,TIME(9,0,0)))*24))</f>
        <v>7.383333333</v>
      </c>
      <c r="I201" s="51">
        <f t="shared" ref="I201:I206" si="76">MAX(0,(MOD(F201-E201,1)*24)-H201)</f>
        <v>1</v>
      </c>
      <c r="J201" s="51">
        <f t="shared" si="5"/>
        <v>0</v>
      </c>
      <c r="K201" s="52">
        <f t="shared" ref="K201:K206" si="77">(H201*G201)+(I201*G201*1.5)+(J201*G201*2)</f>
        <v>11340.42553</v>
      </c>
      <c r="L201" s="52"/>
      <c r="M201" s="52"/>
      <c r="N201" s="52">
        <f t="shared" si="71"/>
        <v>0</v>
      </c>
      <c r="O201" s="53">
        <f t="shared" si="8"/>
        <v>11340.42553</v>
      </c>
      <c r="P201" s="54"/>
    </row>
    <row r="202" ht="30.0" hidden="1" customHeight="1">
      <c r="A202" s="44">
        <v>45921.0</v>
      </c>
      <c r="B202" s="45" t="str">
        <f t="shared" si="1"/>
        <v>الأحد</v>
      </c>
      <c r="C202" s="46" t="s">
        <v>26</v>
      </c>
      <c r="D202" s="47">
        <v>300000.0</v>
      </c>
      <c r="E202" s="56">
        <v>0.3333333333333333</v>
      </c>
      <c r="F202" s="56">
        <v>0.6277777777777778</v>
      </c>
      <c r="G202" s="50">
        <f t="shared" si="2"/>
        <v>1276.595745</v>
      </c>
      <c r="H202" s="51">
        <f t="shared" si="75"/>
        <v>6.066666667</v>
      </c>
      <c r="I202" s="51">
        <f t="shared" si="76"/>
        <v>1</v>
      </c>
      <c r="J202" s="51">
        <f t="shared" si="5"/>
        <v>0</v>
      </c>
      <c r="K202" s="52">
        <f t="shared" si="77"/>
        <v>9659.574468</v>
      </c>
      <c r="L202" s="52"/>
      <c r="M202" s="52"/>
      <c r="N202" s="52">
        <f t="shared" si="71"/>
        <v>0</v>
      </c>
      <c r="O202" s="53">
        <f t="shared" si="8"/>
        <v>9659.574468</v>
      </c>
      <c r="P202" s="54"/>
    </row>
    <row r="203" ht="30.0" hidden="1" customHeight="1">
      <c r="A203" s="44">
        <v>45922.0</v>
      </c>
      <c r="B203" s="45" t="str">
        <f t="shared" si="1"/>
        <v>الاثنين</v>
      </c>
      <c r="C203" s="46" t="s">
        <v>26</v>
      </c>
      <c r="D203" s="47">
        <v>300000.0</v>
      </c>
      <c r="E203" s="56">
        <v>0.3451388888888889</v>
      </c>
      <c r="F203" s="56">
        <v>0.6277777777777778</v>
      </c>
      <c r="G203" s="50">
        <f t="shared" si="2"/>
        <v>1276.595745</v>
      </c>
      <c r="H203" s="51">
        <f t="shared" si="75"/>
        <v>6.066666667</v>
      </c>
      <c r="I203" s="51">
        <f t="shared" si="76"/>
        <v>0.7166666667</v>
      </c>
      <c r="J203" s="51">
        <f t="shared" si="5"/>
        <v>0</v>
      </c>
      <c r="K203" s="52">
        <f t="shared" si="77"/>
        <v>9117.021277</v>
      </c>
      <c r="L203" s="52"/>
      <c r="M203" s="52"/>
      <c r="N203" s="52">
        <f t="shared" si="71"/>
        <v>0</v>
      </c>
      <c r="O203" s="53">
        <f t="shared" si="8"/>
        <v>9117.021277</v>
      </c>
      <c r="P203" s="54"/>
    </row>
    <row r="204" ht="30.0" hidden="1" customHeight="1">
      <c r="A204" s="44">
        <v>45923.0</v>
      </c>
      <c r="B204" s="45" t="str">
        <f t="shared" si="1"/>
        <v>الثلاثاء</v>
      </c>
      <c r="C204" s="46" t="s">
        <v>26</v>
      </c>
      <c r="D204" s="47">
        <v>300000.0</v>
      </c>
      <c r="E204" s="56">
        <v>0.3333333333333333</v>
      </c>
      <c r="F204" s="56">
        <v>0.6270833333333333</v>
      </c>
      <c r="G204" s="50">
        <f t="shared" si="2"/>
        <v>1276.595745</v>
      </c>
      <c r="H204" s="51">
        <f t="shared" si="75"/>
        <v>6.05</v>
      </c>
      <c r="I204" s="51">
        <f t="shared" si="76"/>
        <v>1</v>
      </c>
      <c r="J204" s="51">
        <f t="shared" si="5"/>
        <v>0</v>
      </c>
      <c r="K204" s="52">
        <f t="shared" si="77"/>
        <v>9638.297872</v>
      </c>
      <c r="L204" s="52"/>
      <c r="M204" s="52"/>
      <c r="N204" s="52">
        <f t="shared" si="71"/>
        <v>0</v>
      </c>
      <c r="O204" s="53">
        <f t="shared" si="8"/>
        <v>9638.297872</v>
      </c>
      <c r="P204" s="54"/>
    </row>
    <row r="205" ht="30.0" hidden="1" customHeight="1">
      <c r="A205" s="44">
        <v>45924.0</v>
      </c>
      <c r="B205" s="45" t="str">
        <f t="shared" si="1"/>
        <v>الأربعاء</v>
      </c>
      <c r="C205" s="46" t="s">
        <v>26</v>
      </c>
      <c r="D205" s="47">
        <v>300000.0</v>
      </c>
      <c r="E205" s="49">
        <v>0.35</v>
      </c>
      <c r="F205" s="49">
        <v>0.63125</v>
      </c>
      <c r="G205" s="50">
        <f t="shared" si="2"/>
        <v>1276.595745</v>
      </c>
      <c r="H205" s="51">
        <f t="shared" si="75"/>
        <v>6.15</v>
      </c>
      <c r="I205" s="51">
        <f t="shared" si="76"/>
        <v>0.6</v>
      </c>
      <c r="J205" s="51">
        <f t="shared" si="5"/>
        <v>0</v>
      </c>
      <c r="K205" s="52">
        <f t="shared" si="77"/>
        <v>9000</v>
      </c>
      <c r="L205" s="52"/>
      <c r="M205" s="52"/>
      <c r="N205" s="52">
        <f t="shared" si="71"/>
        <v>0</v>
      </c>
      <c r="O205" s="53">
        <f t="shared" si="8"/>
        <v>9000</v>
      </c>
      <c r="P205" s="54"/>
    </row>
    <row r="206" ht="30.0" hidden="1" customHeight="1">
      <c r="A206" s="44">
        <v>45925.0</v>
      </c>
      <c r="B206" s="45" t="str">
        <f t="shared" si="1"/>
        <v>الخميس</v>
      </c>
      <c r="C206" s="46" t="s">
        <v>26</v>
      </c>
      <c r="D206" s="47">
        <v>300000.0</v>
      </c>
      <c r="E206" s="56"/>
      <c r="F206" s="56"/>
      <c r="G206" s="50">
        <f t="shared" si="2"/>
        <v>1276.595745</v>
      </c>
      <c r="H206" s="51">
        <f t="shared" si="75"/>
        <v>9</v>
      </c>
      <c r="I206" s="51">
        <f t="shared" si="76"/>
        <v>0</v>
      </c>
      <c r="J206" s="51">
        <f t="shared" si="5"/>
        <v>0</v>
      </c>
      <c r="K206" s="52">
        <f t="shared" si="77"/>
        <v>11489.3617</v>
      </c>
      <c r="L206" s="52"/>
      <c r="M206" s="52"/>
      <c r="N206" s="52">
        <f t="shared" si="71"/>
        <v>0</v>
      </c>
      <c r="O206" s="53">
        <f t="shared" si="8"/>
        <v>11489.3617</v>
      </c>
      <c r="P206" s="54"/>
    </row>
    <row r="207" ht="30.0" hidden="1" customHeight="1">
      <c r="A207" s="44">
        <v>45926.0</v>
      </c>
      <c r="B207" s="45" t="str">
        <f t="shared" si="1"/>
        <v>الجمعة</v>
      </c>
      <c r="C207" s="46" t="s">
        <v>26</v>
      </c>
      <c r="D207" s="47">
        <v>300000.0</v>
      </c>
      <c r="E207" s="56"/>
      <c r="F207" s="56"/>
      <c r="G207" s="50">
        <f t="shared" si="2"/>
        <v>1276.595745</v>
      </c>
      <c r="H207" s="51">
        <f t="shared" si="75"/>
        <v>9</v>
      </c>
      <c r="I207" s="57">
        <v>0.0</v>
      </c>
      <c r="J207" s="51">
        <f t="shared" si="5"/>
        <v>0</v>
      </c>
      <c r="K207" s="52">
        <f>(J207*G207*2)</f>
        <v>0</v>
      </c>
      <c r="L207" s="52"/>
      <c r="M207" s="52"/>
      <c r="N207" s="52">
        <f t="shared" si="71"/>
        <v>0</v>
      </c>
      <c r="O207" s="53">
        <f t="shared" si="8"/>
        <v>0</v>
      </c>
      <c r="P207" s="54"/>
    </row>
    <row r="208" ht="30.0" hidden="1" customHeight="1">
      <c r="A208" s="44">
        <v>45927.0</v>
      </c>
      <c r="B208" s="45" t="str">
        <f t="shared" si="1"/>
        <v>السبت</v>
      </c>
      <c r="C208" s="46" t="s">
        <v>26</v>
      </c>
      <c r="D208" s="47">
        <v>300000.0</v>
      </c>
      <c r="E208" s="56"/>
      <c r="F208" s="56"/>
      <c r="G208" s="50">
        <f t="shared" si="2"/>
        <v>1276.595745</v>
      </c>
      <c r="H208" s="51">
        <f t="shared" si="75"/>
        <v>9</v>
      </c>
      <c r="I208" s="51">
        <f t="shared" ref="I208:I215" si="78">MAX(0,(MOD(F208-E208,1)*24)-H208)</f>
        <v>0</v>
      </c>
      <c r="J208" s="51">
        <f t="shared" si="5"/>
        <v>0</v>
      </c>
      <c r="K208" s="52">
        <f t="shared" ref="K208:K215" si="79">(H208*G208)+(I208*G208*1.5)+(J208*G208*2)</f>
        <v>11489.3617</v>
      </c>
      <c r="L208" s="52"/>
      <c r="M208" s="52"/>
      <c r="N208" s="52">
        <f t="shared" si="71"/>
        <v>0</v>
      </c>
      <c r="O208" s="53">
        <f t="shared" si="8"/>
        <v>11489.3617</v>
      </c>
      <c r="P208" s="54"/>
    </row>
    <row r="209" ht="30.0" hidden="1" customHeight="1">
      <c r="A209" s="44">
        <v>45928.0</v>
      </c>
      <c r="B209" s="45" t="str">
        <f t="shared" si="1"/>
        <v>الأحد</v>
      </c>
      <c r="C209" s="46" t="s">
        <v>26</v>
      </c>
      <c r="D209" s="47">
        <v>300000.0</v>
      </c>
      <c r="E209" s="56"/>
      <c r="F209" s="56"/>
      <c r="G209" s="50">
        <f t="shared" si="2"/>
        <v>1276.595745</v>
      </c>
      <c r="H209" s="51">
        <f t="shared" si="75"/>
        <v>9</v>
      </c>
      <c r="I209" s="51">
        <f t="shared" si="78"/>
        <v>0</v>
      </c>
      <c r="J209" s="51">
        <f t="shared" si="5"/>
        <v>0</v>
      </c>
      <c r="K209" s="52">
        <f t="shared" si="79"/>
        <v>11489.3617</v>
      </c>
      <c r="L209" s="52"/>
      <c r="M209" s="52"/>
      <c r="N209" s="52">
        <f t="shared" si="71"/>
        <v>0</v>
      </c>
      <c r="O209" s="53">
        <f t="shared" si="8"/>
        <v>11489.3617</v>
      </c>
      <c r="P209" s="54"/>
    </row>
    <row r="210" ht="30.0" hidden="1" customHeight="1">
      <c r="A210" s="44">
        <v>45929.0</v>
      </c>
      <c r="B210" s="45" t="str">
        <f t="shared" si="1"/>
        <v>الاثنين</v>
      </c>
      <c r="C210" s="46" t="s">
        <v>26</v>
      </c>
      <c r="D210" s="47">
        <v>300000.0</v>
      </c>
      <c r="E210" s="56"/>
      <c r="F210" s="56"/>
      <c r="G210" s="50">
        <f t="shared" si="2"/>
        <v>1276.595745</v>
      </c>
      <c r="H210" s="51">
        <f t="shared" si="75"/>
        <v>9</v>
      </c>
      <c r="I210" s="51">
        <f t="shared" si="78"/>
        <v>0</v>
      </c>
      <c r="J210" s="51">
        <f t="shared" si="5"/>
        <v>0</v>
      </c>
      <c r="K210" s="52">
        <f t="shared" si="79"/>
        <v>11489.3617</v>
      </c>
      <c r="L210" s="52"/>
      <c r="M210" s="52"/>
      <c r="N210" s="52">
        <f t="shared" si="71"/>
        <v>0</v>
      </c>
      <c r="O210" s="53">
        <f t="shared" si="8"/>
        <v>11489.3617</v>
      </c>
      <c r="P210" s="54"/>
    </row>
    <row r="211" ht="30.0" hidden="1" customHeight="1">
      <c r="A211" s="44">
        <v>45930.0</v>
      </c>
      <c r="B211" s="45" t="str">
        <f t="shared" si="1"/>
        <v>الثلاثاء</v>
      </c>
      <c r="C211" s="46" t="s">
        <v>26</v>
      </c>
      <c r="D211" s="47">
        <v>300000.0</v>
      </c>
      <c r="E211" s="49">
        <v>0.34305555555555556</v>
      </c>
      <c r="F211" s="49">
        <v>0.7111111111111111</v>
      </c>
      <c r="G211" s="50">
        <f t="shared" si="2"/>
        <v>1276.595745</v>
      </c>
      <c r="H211" s="51">
        <f t="shared" si="75"/>
        <v>8.066666667</v>
      </c>
      <c r="I211" s="51">
        <f t="shared" si="78"/>
        <v>0.7666666667</v>
      </c>
      <c r="J211" s="51">
        <f t="shared" si="5"/>
        <v>0</v>
      </c>
      <c r="K211" s="52">
        <f t="shared" si="79"/>
        <v>11765.95745</v>
      </c>
      <c r="L211" s="52"/>
      <c r="M211" s="52"/>
      <c r="N211" s="52">
        <f t="shared" si="71"/>
        <v>0</v>
      </c>
      <c r="O211" s="53">
        <f t="shared" si="8"/>
        <v>11765.95745</v>
      </c>
      <c r="P211" s="54"/>
    </row>
    <row r="212" ht="30.0" customHeight="1">
      <c r="A212" s="44">
        <v>45901.0</v>
      </c>
      <c r="B212" s="45" t="str">
        <f t="shared" si="1"/>
        <v>الاثنين</v>
      </c>
      <c r="C212" s="46" t="s">
        <v>27</v>
      </c>
      <c r="D212" s="47">
        <v>300000.0</v>
      </c>
      <c r="E212" s="56"/>
      <c r="F212" s="56"/>
      <c r="G212" s="50">
        <f t="shared" si="2"/>
        <v>1276.595745</v>
      </c>
      <c r="H212" s="57">
        <v>0.0</v>
      </c>
      <c r="I212" s="51">
        <f t="shared" si="78"/>
        <v>0</v>
      </c>
      <c r="J212" s="51">
        <f t="shared" si="5"/>
        <v>0</v>
      </c>
      <c r="K212" s="52">
        <f t="shared" si="79"/>
        <v>0</v>
      </c>
      <c r="L212" s="52"/>
      <c r="M212" s="52"/>
      <c r="N212" s="52">
        <f t="shared" si="71"/>
        <v>0</v>
      </c>
      <c r="O212" s="53">
        <f t="shared" si="8"/>
        <v>0</v>
      </c>
      <c r="P212" s="54"/>
    </row>
    <row r="213" ht="30.0" customHeight="1">
      <c r="A213" s="44">
        <v>45902.0</v>
      </c>
      <c r="B213" s="45" t="str">
        <f t="shared" si="1"/>
        <v>الثلاثاء</v>
      </c>
      <c r="C213" s="46" t="s">
        <v>27</v>
      </c>
      <c r="D213" s="47">
        <v>300000.0</v>
      </c>
      <c r="E213" s="56"/>
      <c r="F213" s="56"/>
      <c r="G213" s="50">
        <f t="shared" si="2"/>
        <v>1276.595745</v>
      </c>
      <c r="H213" s="57">
        <v>0.0</v>
      </c>
      <c r="I213" s="51">
        <f t="shared" si="78"/>
        <v>0</v>
      </c>
      <c r="J213" s="51">
        <f t="shared" si="5"/>
        <v>0</v>
      </c>
      <c r="K213" s="52">
        <f t="shared" si="79"/>
        <v>0</v>
      </c>
      <c r="L213" s="52"/>
      <c r="M213" s="52"/>
      <c r="N213" s="52">
        <f t="shared" si="71"/>
        <v>0</v>
      </c>
      <c r="O213" s="53">
        <f t="shared" si="8"/>
        <v>0</v>
      </c>
      <c r="P213" s="54"/>
    </row>
    <row r="214" ht="30.0" customHeight="1">
      <c r="A214" s="44">
        <v>45903.0</v>
      </c>
      <c r="B214" s="45" t="str">
        <f t="shared" si="1"/>
        <v>الأربعاء</v>
      </c>
      <c r="C214" s="46" t="s">
        <v>27</v>
      </c>
      <c r="D214" s="47">
        <v>300000.0</v>
      </c>
      <c r="E214" s="56"/>
      <c r="F214" s="56"/>
      <c r="G214" s="50">
        <f t="shared" si="2"/>
        <v>1276.595745</v>
      </c>
      <c r="H214" s="57">
        <v>0.0</v>
      </c>
      <c r="I214" s="51">
        <f t="shared" si="78"/>
        <v>0</v>
      </c>
      <c r="J214" s="51">
        <f t="shared" si="5"/>
        <v>0</v>
      </c>
      <c r="K214" s="52">
        <f t="shared" si="79"/>
        <v>0</v>
      </c>
      <c r="L214" s="52"/>
      <c r="M214" s="52"/>
      <c r="N214" s="52">
        <f t="shared" si="71"/>
        <v>0</v>
      </c>
      <c r="O214" s="53">
        <f t="shared" si="8"/>
        <v>0</v>
      </c>
      <c r="P214" s="54"/>
    </row>
    <row r="215" ht="30.0" customHeight="1">
      <c r="A215" s="44">
        <v>45904.0</v>
      </c>
      <c r="B215" s="45" t="str">
        <f t="shared" si="1"/>
        <v>الخميس</v>
      </c>
      <c r="C215" s="46" t="s">
        <v>27</v>
      </c>
      <c r="D215" s="47">
        <v>300000.0</v>
      </c>
      <c r="E215" s="49">
        <v>0.2916666666666667</v>
      </c>
      <c r="F215" s="56">
        <v>0.7916666666666666</v>
      </c>
      <c r="G215" s="50">
        <f t="shared" si="2"/>
        <v>1276.595745</v>
      </c>
      <c r="H215" s="51">
        <f>IF(ISNUMBER(SEARCH("جمعة",B215)), 0, MIN(12,MAX(0,(MIN(F215,TIME(18,0,0))-MAX(E215,TIME(6,0,0)))*24)))</f>
        <v>11</v>
      </c>
      <c r="I215" s="51">
        <f t="shared" si="78"/>
        <v>1</v>
      </c>
      <c r="J215" s="51">
        <f t="shared" si="5"/>
        <v>0</v>
      </c>
      <c r="K215" s="52">
        <f t="shared" si="79"/>
        <v>15957.44681</v>
      </c>
      <c r="L215" s="52"/>
      <c r="M215" s="59">
        <v>10000.0</v>
      </c>
      <c r="N215" s="59">
        <v>0.0</v>
      </c>
      <c r="O215" s="53">
        <f t="shared" si="8"/>
        <v>5957.446809</v>
      </c>
      <c r="P215" s="54"/>
    </row>
    <row r="216" ht="30.0" customHeight="1">
      <c r="A216" s="44">
        <v>45905.0</v>
      </c>
      <c r="B216" s="45" t="str">
        <f t="shared" si="1"/>
        <v>الجمعة</v>
      </c>
      <c r="C216" s="46" t="s">
        <v>27</v>
      </c>
      <c r="D216" s="47">
        <v>300000.0</v>
      </c>
      <c r="E216" s="56">
        <v>0.3333333333333333</v>
      </c>
      <c r="F216" s="56">
        <v>0.8583333333333333</v>
      </c>
      <c r="G216" s="50">
        <f t="shared" si="2"/>
        <v>1276.595745</v>
      </c>
      <c r="H216" s="51">
        <f t="shared" ref="H216:H223" si="80">MIN(9,MAX(0,(MIN(F216,TIME(18,0,0))-MAX(E216,TIME(9,0,0)))*24))</f>
        <v>9</v>
      </c>
      <c r="I216" s="57">
        <v>0.0</v>
      </c>
      <c r="J216" s="51">
        <f t="shared" si="5"/>
        <v>12.6</v>
      </c>
      <c r="K216" s="52">
        <f>(J216*G216*2)</f>
        <v>32170.21277</v>
      </c>
      <c r="L216" s="52"/>
      <c r="M216" s="52"/>
      <c r="N216" s="52">
        <f t="shared" ref="N216:N331" si="81">IF(B216="الجمعة",0,IF(E216&gt;TIME(9,0,0),(E216-TIME(9,0,0))*24*60*(G216/60),0))</f>
        <v>0</v>
      </c>
      <c r="O216" s="53">
        <f t="shared" si="8"/>
        <v>32170.21277</v>
      </c>
      <c r="P216" s="54"/>
    </row>
    <row r="217" ht="30.0" customHeight="1">
      <c r="A217" s="44">
        <v>45906.0</v>
      </c>
      <c r="B217" s="45" t="str">
        <f t="shared" si="1"/>
        <v>السبت</v>
      </c>
      <c r="C217" s="46" t="s">
        <v>27</v>
      </c>
      <c r="D217" s="47">
        <v>300000.0</v>
      </c>
      <c r="E217" s="56">
        <v>0.3701388888888889</v>
      </c>
      <c r="F217" s="56">
        <v>0.7708333333333334</v>
      </c>
      <c r="G217" s="50">
        <f t="shared" si="2"/>
        <v>1276.595745</v>
      </c>
      <c r="H217" s="51">
        <f t="shared" si="80"/>
        <v>9</v>
      </c>
      <c r="I217" s="51">
        <f t="shared" ref="I217:I222" si="82">MAX(0,(MOD(F217-E217,1)*24)-H217)</f>
        <v>0.6166666667</v>
      </c>
      <c r="J217" s="51">
        <f t="shared" si="5"/>
        <v>0</v>
      </c>
      <c r="K217" s="52">
        <f t="shared" ref="K217:K222" si="83">(H217*G217)+(I217*G217*1.5)+(J217*G217*2)</f>
        <v>12670.21277</v>
      </c>
      <c r="L217" s="52"/>
      <c r="M217" s="52"/>
      <c r="N217" s="52">
        <f t="shared" si="81"/>
        <v>0</v>
      </c>
      <c r="O217" s="53">
        <f t="shared" si="8"/>
        <v>12670.21277</v>
      </c>
      <c r="P217" s="54"/>
    </row>
    <row r="218" ht="30.0" customHeight="1">
      <c r="A218" s="44">
        <v>45907.0</v>
      </c>
      <c r="B218" s="45" t="str">
        <f t="shared" si="1"/>
        <v>الأحد</v>
      </c>
      <c r="C218" s="46" t="s">
        <v>27</v>
      </c>
      <c r="D218" s="47">
        <v>300000.0</v>
      </c>
      <c r="E218" s="56">
        <v>0.3333333333333333</v>
      </c>
      <c r="F218" s="56">
        <v>0.8333333333333334</v>
      </c>
      <c r="G218" s="50">
        <f t="shared" si="2"/>
        <v>1276.595745</v>
      </c>
      <c r="H218" s="51">
        <f t="shared" si="80"/>
        <v>9</v>
      </c>
      <c r="I218" s="51">
        <f t="shared" si="82"/>
        <v>3</v>
      </c>
      <c r="J218" s="51">
        <f t="shared" si="5"/>
        <v>0</v>
      </c>
      <c r="K218" s="52">
        <f t="shared" si="83"/>
        <v>17234.04255</v>
      </c>
      <c r="L218" s="52"/>
      <c r="M218" s="52"/>
      <c r="N218" s="52">
        <f t="shared" si="81"/>
        <v>0</v>
      </c>
      <c r="O218" s="53">
        <f t="shared" si="8"/>
        <v>17234.04255</v>
      </c>
      <c r="P218" s="54"/>
    </row>
    <row r="219" ht="30.0" customHeight="1">
      <c r="A219" s="44">
        <v>45908.0</v>
      </c>
      <c r="B219" s="45" t="str">
        <f t="shared" si="1"/>
        <v>الاثنين</v>
      </c>
      <c r="C219" s="46" t="s">
        <v>27</v>
      </c>
      <c r="D219" s="47">
        <v>300000.0</v>
      </c>
      <c r="E219" s="56">
        <v>0.375</v>
      </c>
      <c r="F219" s="56">
        <v>0.75</v>
      </c>
      <c r="G219" s="50">
        <f t="shared" si="2"/>
        <v>1276.595745</v>
      </c>
      <c r="H219" s="51">
        <f t="shared" si="80"/>
        <v>9</v>
      </c>
      <c r="I219" s="51">
        <f t="shared" si="82"/>
        <v>0</v>
      </c>
      <c r="J219" s="51">
        <f t="shared" si="5"/>
        <v>0</v>
      </c>
      <c r="K219" s="52">
        <f t="shared" si="83"/>
        <v>11489.3617</v>
      </c>
      <c r="L219" s="52"/>
      <c r="M219" s="52"/>
      <c r="N219" s="52">
        <f t="shared" si="81"/>
        <v>0</v>
      </c>
      <c r="O219" s="53">
        <f t="shared" si="8"/>
        <v>11489.3617</v>
      </c>
      <c r="P219" s="54"/>
    </row>
    <row r="220" ht="30.0" customHeight="1">
      <c r="A220" s="44">
        <v>45909.0</v>
      </c>
      <c r="B220" s="45" t="str">
        <f t="shared" si="1"/>
        <v>الثلاثاء</v>
      </c>
      <c r="C220" s="46" t="s">
        <v>27</v>
      </c>
      <c r="D220" s="47">
        <v>300000.0</v>
      </c>
      <c r="E220" s="56">
        <v>0.3729166666666667</v>
      </c>
      <c r="F220" s="56">
        <v>0.75</v>
      </c>
      <c r="G220" s="50">
        <f t="shared" si="2"/>
        <v>1276.595745</v>
      </c>
      <c r="H220" s="51">
        <f t="shared" si="80"/>
        <v>9</v>
      </c>
      <c r="I220" s="51">
        <f t="shared" si="82"/>
        <v>0.05</v>
      </c>
      <c r="J220" s="51">
        <f t="shared" si="5"/>
        <v>0</v>
      </c>
      <c r="K220" s="52">
        <f t="shared" si="83"/>
        <v>11585.10638</v>
      </c>
      <c r="L220" s="52"/>
      <c r="M220" s="52"/>
      <c r="N220" s="52">
        <f t="shared" si="81"/>
        <v>0</v>
      </c>
      <c r="O220" s="53">
        <f t="shared" si="8"/>
        <v>11585.10638</v>
      </c>
      <c r="P220" s="54"/>
    </row>
    <row r="221" ht="30.0" customHeight="1">
      <c r="A221" s="44">
        <v>45910.0</v>
      </c>
      <c r="B221" s="45" t="str">
        <f t="shared" si="1"/>
        <v>الأربعاء</v>
      </c>
      <c r="C221" s="46" t="s">
        <v>27</v>
      </c>
      <c r="D221" s="47">
        <v>300000.0</v>
      </c>
      <c r="E221" s="56">
        <v>0.3527777777777778</v>
      </c>
      <c r="F221" s="56">
        <v>0.75</v>
      </c>
      <c r="G221" s="50">
        <f t="shared" si="2"/>
        <v>1276.595745</v>
      </c>
      <c r="H221" s="51">
        <f t="shared" si="80"/>
        <v>9</v>
      </c>
      <c r="I221" s="51">
        <f t="shared" si="82"/>
        <v>0.5333333333</v>
      </c>
      <c r="J221" s="51">
        <f t="shared" si="5"/>
        <v>0</v>
      </c>
      <c r="K221" s="52">
        <f t="shared" si="83"/>
        <v>12510.6383</v>
      </c>
      <c r="L221" s="52"/>
      <c r="M221" s="59">
        <v>25000.0</v>
      </c>
      <c r="N221" s="52">
        <f t="shared" si="81"/>
        <v>0</v>
      </c>
      <c r="O221" s="53">
        <f t="shared" si="8"/>
        <v>-12489.3617</v>
      </c>
      <c r="P221" s="54"/>
    </row>
    <row r="222" ht="30.0" customHeight="1">
      <c r="A222" s="44">
        <v>45911.0</v>
      </c>
      <c r="B222" s="45" t="str">
        <f t="shared" si="1"/>
        <v>الخميس</v>
      </c>
      <c r="C222" s="46" t="s">
        <v>27</v>
      </c>
      <c r="D222" s="47">
        <v>300000.0</v>
      </c>
      <c r="E222" s="56">
        <v>0.40555555555555556</v>
      </c>
      <c r="F222" s="56">
        <v>0.9993055555555556</v>
      </c>
      <c r="G222" s="50">
        <f t="shared" si="2"/>
        <v>1276.595745</v>
      </c>
      <c r="H222" s="51">
        <f t="shared" si="80"/>
        <v>8.266666667</v>
      </c>
      <c r="I222" s="51">
        <f t="shared" si="82"/>
        <v>5.983333333</v>
      </c>
      <c r="J222" s="51">
        <f t="shared" si="5"/>
        <v>0</v>
      </c>
      <c r="K222" s="52">
        <f t="shared" si="83"/>
        <v>22010.6383</v>
      </c>
      <c r="L222" s="52"/>
      <c r="M222" s="59">
        <v>30000.0</v>
      </c>
      <c r="N222" s="52">
        <f t="shared" si="81"/>
        <v>936.1702128</v>
      </c>
      <c r="O222" s="53">
        <f t="shared" si="8"/>
        <v>-8925.531915</v>
      </c>
      <c r="P222" s="54"/>
    </row>
    <row r="223" ht="30.0" customHeight="1">
      <c r="A223" s="44">
        <v>45912.0</v>
      </c>
      <c r="B223" s="45" t="str">
        <f t="shared" si="1"/>
        <v>الجمعة</v>
      </c>
      <c r="C223" s="46" t="s">
        <v>27</v>
      </c>
      <c r="D223" s="47">
        <v>300000.0</v>
      </c>
      <c r="E223" s="56">
        <v>0.0</v>
      </c>
      <c r="F223" s="56">
        <v>0.75</v>
      </c>
      <c r="G223" s="50">
        <f t="shared" si="2"/>
        <v>1276.595745</v>
      </c>
      <c r="H223" s="51">
        <f t="shared" si="80"/>
        <v>9</v>
      </c>
      <c r="I223" s="57">
        <v>0.0</v>
      </c>
      <c r="J223" s="51">
        <f t="shared" si="5"/>
        <v>18</v>
      </c>
      <c r="K223" s="52">
        <f>(J223*G223*2)</f>
        <v>45957.44681</v>
      </c>
      <c r="L223" s="52"/>
      <c r="M223" s="52"/>
      <c r="N223" s="52">
        <f t="shared" si="81"/>
        <v>0</v>
      </c>
      <c r="O223" s="53">
        <f t="shared" si="8"/>
        <v>45957.44681</v>
      </c>
      <c r="P223" s="54"/>
    </row>
    <row r="224" ht="30.0" customHeight="1">
      <c r="A224" s="44">
        <v>45913.0</v>
      </c>
      <c r="B224" s="45" t="str">
        <f t="shared" si="1"/>
        <v>السبت</v>
      </c>
      <c r="C224" s="46" t="s">
        <v>27</v>
      </c>
      <c r="D224" s="47">
        <v>300000.0</v>
      </c>
      <c r="E224" s="56"/>
      <c r="F224" s="56"/>
      <c r="G224" s="50">
        <f t="shared" si="2"/>
        <v>1276.595745</v>
      </c>
      <c r="H224" s="57">
        <v>0.0</v>
      </c>
      <c r="I224" s="51">
        <f t="shared" ref="I224:I229" si="84">MAX(0,(MOD(F224-E224,1)*24)-H224)</f>
        <v>0</v>
      </c>
      <c r="J224" s="51">
        <f t="shared" si="5"/>
        <v>0</v>
      </c>
      <c r="K224" s="52">
        <f t="shared" ref="K224:K229" si="85">(H224*G224)+(I224*G224*1.5)+(J224*G224*2)</f>
        <v>0</v>
      </c>
      <c r="L224" s="52"/>
      <c r="M224" s="52"/>
      <c r="N224" s="52">
        <f t="shared" si="81"/>
        <v>0</v>
      </c>
      <c r="O224" s="53">
        <f t="shared" si="8"/>
        <v>0</v>
      </c>
      <c r="P224" s="54"/>
    </row>
    <row r="225" ht="30.0" customHeight="1">
      <c r="A225" s="44">
        <v>45914.0</v>
      </c>
      <c r="B225" s="45" t="str">
        <f t="shared" si="1"/>
        <v>الأحد</v>
      </c>
      <c r="C225" s="46" t="s">
        <v>27</v>
      </c>
      <c r="D225" s="47">
        <v>300000.0</v>
      </c>
      <c r="E225" s="56">
        <v>0.36944444444444446</v>
      </c>
      <c r="F225" s="56">
        <v>0.675</v>
      </c>
      <c r="G225" s="50">
        <f t="shared" si="2"/>
        <v>1276.595745</v>
      </c>
      <c r="H225" s="51">
        <f t="shared" ref="H225:H230" si="86">MIN(9,MAX(0,(MIN(F225,TIME(18,0,0))-MAX(E225,TIME(9,0,0)))*24))</f>
        <v>7.2</v>
      </c>
      <c r="I225" s="51">
        <f t="shared" si="84"/>
        <v>0.1333333333</v>
      </c>
      <c r="J225" s="51">
        <f t="shared" si="5"/>
        <v>0</v>
      </c>
      <c r="K225" s="52">
        <f t="shared" si="85"/>
        <v>9446.808511</v>
      </c>
      <c r="L225" s="52"/>
      <c r="M225" s="59">
        <v>35000.0</v>
      </c>
      <c r="N225" s="52">
        <f t="shared" si="81"/>
        <v>0</v>
      </c>
      <c r="O225" s="53">
        <f t="shared" si="8"/>
        <v>-25553.19149</v>
      </c>
      <c r="P225" s="54"/>
    </row>
    <row r="226" ht="30.0" customHeight="1">
      <c r="A226" s="44">
        <v>45915.0</v>
      </c>
      <c r="B226" s="45" t="str">
        <f t="shared" si="1"/>
        <v>الاثنين</v>
      </c>
      <c r="C226" s="46" t="s">
        <v>27</v>
      </c>
      <c r="D226" s="47">
        <v>300000.0</v>
      </c>
      <c r="E226" s="56">
        <v>0.3729166666666667</v>
      </c>
      <c r="F226" s="56">
        <v>0.7506944444444444</v>
      </c>
      <c r="G226" s="50">
        <f t="shared" si="2"/>
        <v>1276.595745</v>
      </c>
      <c r="H226" s="51">
        <f t="shared" si="86"/>
        <v>9</v>
      </c>
      <c r="I226" s="51">
        <f t="shared" si="84"/>
        <v>0.06666666667</v>
      </c>
      <c r="J226" s="51">
        <f t="shared" si="5"/>
        <v>0</v>
      </c>
      <c r="K226" s="52">
        <f t="shared" si="85"/>
        <v>11617.02128</v>
      </c>
      <c r="L226" s="52"/>
      <c r="M226" s="52"/>
      <c r="N226" s="52">
        <f t="shared" si="81"/>
        <v>0</v>
      </c>
      <c r="O226" s="53">
        <f t="shared" si="8"/>
        <v>11617.02128</v>
      </c>
      <c r="P226" s="54"/>
    </row>
    <row r="227" ht="30.0" customHeight="1">
      <c r="A227" s="44">
        <v>45916.0</v>
      </c>
      <c r="B227" s="45" t="str">
        <f t="shared" si="1"/>
        <v>الثلاثاء</v>
      </c>
      <c r="C227" s="46" t="s">
        <v>27</v>
      </c>
      <c r="D227" s="47">
        <v>300000.0</v>
      </c>
      <c r="E227" s="56">
        <v>0.3659722222222222</v>
      </c>
      <c r="F227" s="56">
        <v>0.75</v>
      </c>
      <c r="G227" s="50">
        <f t="shared" si="2"/>
        <v>1276.595745</v>
      </c>
      <c r="H227" s="51">
        <f t="shared" si="86"/>
        <v>9</v>
      </c>
      <c r="I227" s="51">
        <f t="shared" si="84"/>
        <v>0.2166666667</v>
      </c>
      <c r="J227" s="51">
        <f t="shared" si="5"/>
        <v>0</v>
      </c>
      <c r="K227" s="52">
        <f t="shared" si="85"/>
        <v>11904.25532</v>
      </c>
      <c r="L227" s="52"/>
      <c r="M227" s="52"/>
      <c r="N227" s="52">
        <f t="shared" si="81"/>
        <v>0</v>
      </c>
      <c r="O227" s="53">
        <f t="shared" si="8"/>
        <v>11904.25532</v>
      </c>
      <c r="P227" s="54"/>
    </row>
    <row r="228" ht="30.0" customHeight="1">
      <c r="A228" s="44">
        <v>45917.0</v>
      </c>
      <c r="B228" s="45" t="str">
        <f t="shared" si="1"/>
        <v>الأربعاء</v>
      </c>
      <c r="C228" s="46" t="s">
        <v>27</v>
      </c>
      <c r="D228" s="47">
        <v>300000.0</v>
      </c>
      <c r="E228" s="56">
        <v>0.3715277777777778</v>
      </c>
      <c r="F228" s="56">
        <v>0.7645833333333333</v>
      </c>
      <c r="G228" s="50">
        <f t="shared" si="2"/>
        <v>1276.595745</v>
      </c>
      <c r="H228" s="51">
        <f t="shared" si="86"/>
        <v>9</v>
      </c>
      <c r="I228" s="51">
        <f t="shared" si="84"/>
        <v>0.4333333333</v>
      </c>
      <c r="J228" s="51">
        <f t="shared" si="5"/>
        <v>0</v>
      </c>
      <c r="K228" s="52">
        <f t="shared" si="85"/>
        <v>12319.14894</v>
      </c>
      <c r="L228" s="52"/>
      <c r="M228" s="52"/>
      <c r="N228" s="52">
        <f t="shared" si="81"/>
        <v>0</v>
      </c>
      <c r="O228" s="53">
        <f t="shared" si="8"/>
        <v>12319.14894</v>
      </c>
      <c r="P228" s="54"/>
    </row>
    <row r="229" ht="30.0" customHeight="1">
      <c r="A229" s="44">
        <v>45918.0</v>
      </c>
      <c r="B229" s="45" t="str">
        <f t="shared" si="1"/>
        <v>الخميس</v>
      </c>
      <c r="C229" s="46" t="s">
        <v>27</v>
      </c>
      <c r="D229" s="47">
        <v>300000.0</v>
      </c>
      <c r="E229" s="56">
        <v>0.36666666666666664</v>
      </c>
      <c r="F229" s="56">
        <v>0.75</v>
      </c>
      <c r="G229" s="50">
        <f t="shared" si="2"/>
        <v>1276.595745</v>
      </c>
      <c r="H229" s="51">
        <f t="shared" si="86"/>
        <v>9</v>
      </c>
      <c r="I229" s="51">
        <f t="shared" si="84"/>
        <v>0.2</v>
      </c>
      <c r="J229" s="51">
        <f t="shared" si="5"/>
        <v>0</v>
      </c>
      <c r="K229" s="52">
        <f t="shared" si="85"/>
        <v>11872.34043</v>
      </c>
      <c r="L229" s="52"/>
      <c r="M229" s="52"/>
      <c r="N229" s="52">
        <f t="shared" si="81"/>
        <v>0</v>
      </c>
      <c r="O229" s="53">
        <f t="shared" si="8"/>
        <v>11872.34043</v>
      </c>
      <c r="P229" s="54"/>
    </row>
    <row r="230" ht="30.0" customHeight="1">
      <c r="A230" s="44">
        <v>45919.0</v>
      </c>
      <c r="B230" s="45" t="str">
        <f t="shared" si="1"/>
        <v>الجمعة</v>
      </c>
      <c r="C230" s="46" t="s">
        <v>27</v>
      </c>
      <c r="D230" s="47">
        <v>300000.0</v>
      </c>
      <c r="E230" s="56">
        <v>0.5034722222222222</v>
      </c>
      <c r="F230" s="56">
        <v>0.8284722222222223</v>
      </c>
      <c r="G230" s="50">
        <f t="shared" si="2"/>
        <v>1276.595745</v>
      </c>
      <c r="H230" s="51">
        <f t="shared" si="86"/>
        <v>5.916666667</v>
      </c>
      <c r="I230" s="57">
        <v>0.0</v>
      </c>
      <c r="J230" s="51">
        <f t="shared" si="5"/>
        <v>7.8</v>
      </c>
      <c r="K230" s="52">
        <f>(J230*G230*2)</f>
        <v>19914.89362</v>
      </c>
      <c r="L230" s="52"/>
      <c r="M230" s="52"/>
      <c r="N230" s="52">
        <f t="shared" si="81"/>
        <v>0</v>
      </c>
      <c r="O230" s="53">
        <f t="shared" si="8"/>
        <v>19914.89362</v>
      </c>
      <c r="P230" s="54"/>
    </row>
    <row r="231" ht="30.0" customHeight="1">
      <c r="A231" s="44">
        <v>45920.0</v>
      </c>
      <c r="B231" s="45" t="str">
        <f t="shared" si="1"/>
        <v>السبت</v>
      </c>
      <c r="C231" s="46" t="s">
        <v>27</v>
      </c>
      <c r="D231" s="47">
        <v>300000.0</v>
      </c>
      <c r="E231" s="56"/>
      <c r="F231" s="56"/>
      <c r="G231" s="50">
        <f t="shared" si="2"/>
        <v>1276.595745</v>
      </c>
      <c r="H231" s="57">
        <v>0.0</v>
      </c>
      <c r="I231" s="51">
        <f t="shared" ref="I231:I236" si="87">MAX(0,(MOD(F231-E231,1)*24)-H231)</f>
        <v>0</v>
      </c>
      <c r="J231" s="51">
        <f t="shared" si="5"/>
        <v>0</v>
      </c>
      <c r="K231" s="52">
        <f t="shared" ref="K231:K236" si="88">(H231*G231)+(I231*G231*1.5)+(J231*G231*2)</f>
        <v>0</v>
      </c>
      <c r="L231" s="52"/>
      <c r="M231" s="52"/>
      <c r="N231" s="52">
        <f t="shared" si="81"/>
        <v>0</v>
      </c>
      <c r="O231" s="53">
        <f t="shared" si="8"/>
        <v>0</v>
      </c>
      <c r="P231" s="54"/>
    </row>
    <row r="232" ht="30.0" customHeight="1">
      <c r="A232" s="44">
        <v>45921.0</v>
      </c>
      <c r="B232" s="45" t="str">
        <f t="shared" si="1"/>
        <v>الأحد</v>
      </c>
      <c r="C232" s="46" t="s">
        <v>27</v>
      </c>
      <c r="D232" s="47">
        <v>300000.0</v>
      </c>
      <c r="E232" s="56">
        <v>0.36041666666666666</v>
      </c>
      <c r="F232" s="56">
        <v>0.7555555555555555</v>
      </c>
      <c r="G232" s="50">
        <f t="shared" si="2"/>
        <v>1276.595745</v>
      </c>
      <c r="H232" s="51">
        <f t="shared" ref="H232:H236" si="89">MIN(9,MAX(0,(MIN(F232,TIME(18,0,0))-MAX(E232,TIME(9,0,0)))*24))</f>
        <v>9</v>
      </c>
      <c r="I232" s="51">
        <f t="shared" si="87"/>
        <v>0.4833333333</v>
      </c>
      <c r="J232" s="51">
        <f t="shared" si="5"/>
        <v>0</v>
      </c>
      <c r="K232" s="52">
        <f t="shared" si="88"/>
        <v>12414.89362</v>
      </c>
      <c r="L232" s="52"/>
      <c r="M232" s="52"/>
      <c r="N232" s="52">
        <f t="shared" si="81"/>
        <v>0</v>
      </c>
      <c r="O232" s="53">
        <f t="shared" si="8"/>
        <v>12414.89362</v>
      </c>
      <c r="P232" s="54"/>
    </row>
    <row r="233" ht="30.0" customHeight="1">
      <c r="A233" s="44">
        <v>45922.0</v>
      </c>
      <c r="B233" s="45" t="str">
        <f t="shared" si="1"/>
        <v>الاثنين</v>
      </c>
      <c r="C233" s="46" t="s">
        <v>27</v>
      </c>
      <c r="D233" s="47">
        <v>300000.0</v>
      </c>
      <c r="E233" s="56">
        <v>0.36180555555555555</v>
      </c>
      <c r="F233" s="56">
        <v>0.7527777777777778</v>
      </c>
      <c r="G233" s="50">
        <f t="shared" si="2"/>
        <v>1276.595745</v>
      </c>
      <c r="H233" s="51">
        <f t="shared" si="89"/>
        <v>9</v>
      </c>
      <c r="I233" s="51">
        <f t="shared" si="87"/>
        <v>0.3833333333</v>
      </c>
      <c r="J233" s="51">
        <f t="shared" si="5"/>
        <v>0</v>
      </c>
      <c r="K233" s="52">
        <f t="shared" si="88"/>
        <v>12223.40426</v>
      </c>
      <c r="L233" s="52"/>
      <c r="M233" s="52"/>
      <c r="N233" s="52">
        <f t="shared" si="81"/>
        <v>0</v>
      </c>
      <c r="O233" s="53">
        <f t="shared" si="8"/>
        <v>12223.40426</v>
      </c>
      <c r="P233" s="54"/>
    </row>
    <row r="234" ht="30.0" customHeight="1">
      <c r="A234" s="44">
        <v>45923.0</v>
      </c>
      <c r="B234" s="45" t="str">
        <f t="shared" si="1"/>
        <v>الثلاثاء</v>
      </c>
      <c r="C234" s="46" t="s">
        <v>27</v>
      </c>
      <c r="D234" s="47">
        <v>300000.0</v>
      </c>
      <c r="E234" s="49">
        <v>0.3659722222222222</v>
      </c>
      <c r="F234" s="49">
        <v>0.8006944444444445</v>
      </c>
      <c r="G234" s="50">
        <f t="shared" si="2"/>
        <v>1276.595745</v>
      </c>
      <c r="H234" s="51">
        <f t="shared" si="89"/>
        <v>9</v>
      </c>
      <c r="I234" s="51">
        <f t="shared" si="87"/>
        <v>1.433333333</v>
      </c>
      <c r="J234" s="51">
        <f t="shared" si="5"/>
        <v>0</v>
      </c>
      <c r="K234" s="52">
        <f t="shared" si="88"/>
        <v>14234.04255</v>
      </c>
      <c r="L234" s="52"/>
      <c r="M234" s="52"/>
      <c r="N234" s="52">
        <f t="shared" si="81"/>
        <v>0</v>
      </c>
      <c r="O234" s="53">
        <f t="shared" si="8"/>
        <v>14234.04255</v>
      </c>
      <c r="P234" s="54"/>
    </row>
    <row r="235" ht="30.0" customHeight="1">
      <c r="A235" s="44">
        <v>45924.0</v>
      </c>
      <c r="B235" s="45" t="str">
        <f t="shared" si="1"/>
        <v>الأربعاء</v>
      </c>
      <c r="C235" s="46" t="s">
        <v>27</v>
      </c>
      <c r="D235" s="47">
        <v>300000.0</v>
      </c>
      <c r="E235" s="49">
        <v>0.3729166666666667</v>
      </c>
      <c r="F235" s="49">
        <v>0.7472222222222222</v>
      </c>
      <c r="G235" s="50">
        <f t="shared" si="2"/>
        <v>1276.595745</v>
      </c>
      <c r="H235" s="51">
        <f t="shared" si="89"/>
        <v>8.933333333</v>
      </c>
      <c r="I235" s="51">
        <f t="shared" si="87"/>
        <v>0.05</v>
      </c>
      <c r="J235" s="51">
        <f t="shared" si="5"/>
        <v>0</v>
      </c>
      <c r="K235" s="52">
        <f t="shared" si="88"/>
        <v>11500</v>
      </c>
      <c r="L235" s="52"/>
      <c r="M235" s="52"/>
      <c r="N235" s="52">
        <f t="shared" si="81"/>
        <v>0</v>
      </c>
      <c r="O235" s="53">
        <f t="shared" si="8"/>
        <v>11500</v>
      </c>
      <c r="P235" s="54"/>
    </row>
    <row r="236" ht="30.0" customHeight="1">
      <c r="A236" s="44">
        <v>45925.0</v>
      </c>
      <c r="B236" s="45" t="str">
        <f t="shared" si="1"/>
        <v>الخميس</v>
      </c>
      <c r="C236" s="46" t="s">
        <v>27</v>
      </c>
      <c r="D236" s="47">
        <v>300000.0</v>
      </c>
      <c r="E236" s="49">
        <v>0.36666666666666664</v>
      </c>
      <c r="F236" s="49">
        <v>0.7868055555555555</v>
      </c>
      <c r="G236" s="50">
        <f t="shared" si="2"/>
        <v>1276.595745</v>
      </c>
      <c r="H236" s="51">
        <f t="shared" si="89"/>
        <v>9</v>
      </c>
      <c r="I236" s="51">
        <f t="shared" si="87"/>
        <v>1.083333333</v>
      </c>
      <c r="J236" s="51">
        <f t="shared" si="5"/>
        <v>0</v>
      </c>
      <c r="K236" s="52">
        <f t="shared" si="88"/>
        <v>13563.82979</v>
      </c>
      <c r="L236" s="52"/>
      <c r="M236" s="52"/>
      <c r="N236" s="52">
        <f t="shared" si="81"/>
        <v>0</v>
      </c>
      <c r="O236" s="53">
        <f t="shared" si="8"/>
        <v>13563.82979</v>
      </c>
      <c r="P236" s="54"/>
    </row>
    <row r="237" ht="30.0" customHeight="1">
      <c r="A237" s="44">
        <v>45926.0</v>
      </c>
      <c r="B237" s="45" t="str">
        <f t="shared" si="1"/>
        <v>الجمعة</v>
      </c>
      <c r="C237" s="46" t="s">
        <v>27</v>
      </c>
      <c r="D237" s="47">
        <v>300000.0</v>
      </c>
      <c r="E237" s="49"/>
      <c r="F237" s="49"/>
      <c r="G237" s="50">
        <f t="shared" si="2"/>
        <v>1276.595745</v>
      </c>
      <c r="H237" s="51"/>
      <c r="I237" s="57">
        <v>0.0</v>
      </c>
      <c r="J237" s="51">
        <f t="shared" si="5"/>
        <v>0</v>
      </c>
      <c r="K237" s="52">
        <f>(J237*G237*2)</f>
        <v>0</v>
      </c>
      <c r="L237" s="52"/>
      <c r="M237" s="59"/>
      <c r="N237" s="52">
        <f t="shared" si="81"/>
        <v>0</v>
      </c>
      <c r="O237" s="53">
        <f t="shared" si="8"/>
        <v>0</v>
      </c>
      <c r="P237" s="54"/>
    </row>
    <row r="238" ht="30.0" customHeight="1">
      <c r="A238" s="44">
        <v>45927.0</v>
      </c>
      <c r="B238" s="45" t="str">
        <f t="shared" si="1"/>
        <v>السبت</v>
      </c>
      <c r="C238" s="46" t="s">
        <v>27</v>
      </c>
      <c r="D238" s="47">
        <v>300000.0</v>
      </c>
      <c r="E238" s="49">
        <v>0.37777777777777777</v>
      </c>
      <c r="F238" s="49">
        <v>0.7604166666666666</v>
      </c>
      <c r="G238" s="50">
        <f t="shared" si="2"/>
        <v>1276.595745</v>
      </c>
      <c r="H238" s="51">
        <f t="shared" ref="H238:H241" si="90">MIN(9,MAX(0,(MIN(F238,TIME(18,0,0))-MAX(E238,TIME(9,0,0)))*24))</f>
        <v>8.933333333</v>
      </c>
      <c r="I238" s="51">
        <f t="shared" ref="I238:I245" si="91">MAX(0,(MOD(F238-E238,1)*24)-H238)</f>
        <v>0.25</v>
      </c>
      <c r="J238" s="51">
        <f t="shared" si="5"/>
        <v>0</v>
      </c>
      <c r="K238" s="52">
        <f t="shared" ref="K238:K245" si="92">(H238*G238)+(I238*G238*1.5)+(J238*G238*2)</f>
        <v>11882.97872</v>
      </c>
      <c r="L238" s="52"/>
      <c r="M238" s="59">
        <v>25000.0</v>
      </c>
      <c r="N238" s="52">
        <f t="shared" si="81"/>
        <v>85.10638298</v>
      </c>
      <c r="O238" s="53">
        <f t="shared" si="8"/>
        <v>-13202.12766</v>
      </c>
      <c r="P238" s="54"/>
    </row>
    <row r="239" ht="30.0" customHeight="1">
      <c r="A239" s="44">
        <v>45928.0</v>
      </c>
      <c r="B239" s="45" t="str">
        <f t="shared" si="1"/>
        <v>الأحد</v>
      </c>
      <c r="C239" s="46" t="s">
        <v>27</v>
      </c>
      <c r="D239" s="47">
        <v>300000.0</v>
      </c>
      <c r="E239" s="49">
        <v>0.37916666666666665</v>
      </c>
      <c r="F239" s="49">
        <v>0.7569444444444444</v>
      </c>
      <c r="G239" s="50">
        <f t="shared" si="2"/>
        <v>1276.595745</v>
      </c>
      <c r="H239" s="51">
        <f t="shared" si="90"/>
        <v>8.9</v>
      </c>
      <c r="I239" s="51">
        <f t="shared" si="91"/>
        <v>0.1666666667</v>
      </c>
      <c r="J239" s="51">
        <f t="shared" si="5"/>
        <v>0</v>
      </c>
      <c r="K239" s="52">
        <f t="shared" si="92"/>
        <v>11680.85106</v>
      </c>
      <c r="L239" s="52"/>
      <c r="M239" s="59">
        <v>55000.0</v>
      </c>
      <c r="N239" s="52">
        <f t="shared" si="81"/>
        <v>127.6595745</v>
      </c>
      <c r="O239" s="53">
        <f t="shared" si="8"/>
        <v>-43446.80851</v>
      </c>
      <c r="P239" s="54"/>
    </row>
    <row r="240" ht="30.0" customHeight="1">
      <c r="A240" s="44">
        <v>45929.0</v>
      </c>
      <c r="B240" s="45" t="str">
        <f t="shared" si="1"/>
        <v>الاثنين</v>
      </c>
      <c r="C240" s="46" t="s">
        <v>27</v>
      </c>
      <c r="D240" s="47">
        <v>300000.0</v>
      </c>
      <c r="E240" s="49">
        <v>0.3770833333333333</v>
      </c>
      <c r="F240" s="49">
        <v>0.7548611111111111</v>
      </c>
      <c r="G240" s="50">
        <f t="shared" si="2"/>
        <v>1276.595745</v>
      </c>
      <c r="H240" s="51">
        <f t="shared" si="90"/>
        <v>8.95</v>
      </c>
      <c r="I240" s="51">
        <f t="shared" si="91"/>
        <v>0.1166666667</v>
      </c>
      <c r="J240" s="51">
        <f t="shared" si="5"/>
        <v>0</v>
      </c>
      <c r="K240" s="52">
        <f t="shared" si="92"/>
        <v>11648.93617</v>
      </c>
      <c r="L240" s="52"/>
      <c r="M240" s="52"/>
      <c r="N240" s="52">
        <f t="shared" si="81"/>
        <v>63.82978723</v>
      </c>
      <c r="O240" s="53">
        <f t="shared" si="8"/>
        <v>11585.10638</v>
      </c>
      <c r="P240" s="54"/>
    </row>
    <row r="241" ht="30.0" customHeight="1">
      <c r="A241" s="44">
        <v>45930.0</v>
      </c>
      <c r="B241" s="45" t="str">
        <f t="shared" si="1"/>
        <v>الثلاثاء</v>
      </c>
      <c r="C241" s="46" t="s">
        <v>27</v>
      </c>
      <c r="D241" s="47">
        <v>300000.0</v>
      </c>
      <c r="E241" s="49">
        <v>0.40694444444444444</v>
      </c>
      <c r="F241" s="49">
        <v>0.7590277777777777</v>
      </c>
      <c r="G241" s="50">
        <f t="shared" si="2"/>
        <v>1276.595745</v>
      </c>
      <c r="H241" s="51">
        <f t="shared" si="90"/>
        <v>8.233333333</v>
      </c>
      <c r="I241" s="51">
        <f t="shared" si="91"/>
        <v>0.2166666667</v>
      </c>
      <c r="J241" s="51">
        <f t="shared" si="5"/>
        <v>0</v>
      </c>
      <c r="K241" s="52">
        <f t="shared" si="92"/>
        <v>10925.53191</v>
      </c>
      <c r="L241" s="52"/>
      <c r="M241" s="52"/>
      <c r="N241" s="52">
        <f t="shared" si="81"/>
        <v>978.7234043</v>
      </c>
      <c r="O241" s="53">
        <f t="shared" si="8"/>
        <v>9946.808511</v>
      </c>
      <c r="P241" s="54"/>
    </row>
    <row r="242" ht="30.0" hidden="1" customHeight="1">
      <c r="A242" s="44">
        <v>45901.0</v>
      </c>
      <c r="B242" s="45" t="str">
        <f t="shared" si="1"/>
        <v>الاثنين</v>
      </c>
      <c r="C242" s="46" t="s">
        <v>28</v>
      </c>
      <c r="D242" s="47">
        <v>300000.0</v>
      </c>
      <c r="E242" s="56"/>
      <c r="F242" s="56"/>
      <c r="G242" s="50">
        <f t="shared" si="2"/>
        <v>1276.595745</v>
      </c>
      <c r="H242" s="57">
        <v>0.0</v>
      </c>
      <c r="I242" s="51">
        <f t="shared" si="91"/>
        <v>0</v>
      </c>
      <c r="J242" s="51">
        <f t="shared" si="5"/>
        <v>0</v>
      </c>
      <c r="K242" s="52">
        <f t="shared" si="92"/>
        <v>0</v>
      </c>
      <c r="L242" s="52"/>
      <c r="M242" s="52"/>
      <c r="N242" s="52">
        <f t="shared" si="81"/>
        <v>0</v>
      </c>
      <c r="O242" s="53">
        <f t="shared" si="8"/>
        <v>0</v>
      </c>
      <c r="P242" s="54"/>
    </row>
    <row r="243" ht="30.0" hidden="1" customHeight="1">
      <c r="A243" s="44">
        <v>45902.0</v>
      </c>
      <c r="B243" s="45" t="str">
        <f t="shared" si="1"/>
        <v>الثلاثاء</v>
      </c>
      <c r="C243" s="46" t="s">
        <v>28</v>
      </c>
      <c r="D243" s="47">
        <v>300000.0</v>
      </c>
      <c r="E243" s="56"/>
      <c r="F243" s="56"/>
      <c r="G243" s="50">
        <f t="shared" si="2"/>
        <v>1276.595745</v>
      </c>
      <c r="H243" s="57">
        <v>0.0</v>
      </c>
      <c r="I243" s="51">
        <f t="shared" si="91"/>
        <v>0</v>
      </c>
      <c r="J243" s="51">
        <f t="shared" si="5"/>
        <v>0</v>
      </c>
      <c r="K243" s="52">
        <f t="shared" si="92"/>
        <v>0</v>
      </c>
      <c r="L243" s="52"/>
      <c r="M243" s="52"/>
      <c r="N243" s="52">
        <f t="shared" si="81"/>
        <v>0</v>
      </c>
      <c r="O243" s="53">
        <f t="shared" si="8"/>
        <v>0</v>
      </c>
      <c r="P243" s="54"/>
    </row>
    <row r="244" ht="30.0" hidden="1" customHeight="1">
      <c r="A244" s="44">
        <v>45903.0</v>
      </c>
      <c r="B244" s="45" t="str">
        <f t="shared" si="1"/>
        <v>الأربعاء</v>
      </c>
      <c r="C244" s="46" t="s">
        <v>28</v>
      </c>
      <c r="D244" s="47">
        <v>300000.0</v>
      </c>
      <c r="E244" s="56"/>
      <c r="F244" s="56"/>
      <c r="G244" s="50">
        <f t="shared" si="2"/>
        <v>1276.595745</v>
      </c>
      <c r="H244" s="57">
        <v>0.0</v>
      </c>
      <c r="I244" s="51">
        <f t="shared" si="91"/>
        <v>0</v>
      </c>
      <c r="J244" s="51">
        <f t="shared" si="5"/>
        <v>0</v>
      </c>
      <c r="K244" s="52">
        <f t="shared" si="92"/>
        <v>0</v>
      </c>
      <c r="L244" s="52"/>
      <c r="M244" s="52"/>
      <c r="N244" s="52">
        <f t="shared" si="81"/>
        <v>0</v>
      </c>
      <c r="O244" s="53">
        <f t="shared" si="8"/>
        <v>0</v>
      </c>
      <c r="P244" s="54"/>
    </row>
    <row r="245" ht="30.0" hidden="1" customHeight="1">
      <c r="A245" s="44">
        <v>45904.0</v>
      </c>
      <c r="B245" s="45" t="str">
        <f t="shared" si="1"/>
        <v>الخميس</v>
      </c>
      <c r="C245" s="46" t="s">
        <v>28</v>
      </c>
      <c r="D245" s="47">
        <v>300000.0</v>
      </c>
      <c r="E245" s="56"/>
      <c r="F245" s="56"/>
      <c r="G245" s="50">
        <f t="shared" si="2"/>
        <v>1276.595745</v>
      </c>
      <c r="H245" s="57">
        <v>0.0</v>
      </c>
      <c r="I245" s="51">
        <f t="shared" si="91"/>
        <v>0</v>
      </c>
      <c r="J245" s="51">
        <f t="shared" si="5"/>
        <v>0</v>
      </c>
      <c r="K245" s="52">
        <f t="shared" si="92"/>
        <v>0</v>
      </c>
      <c r="L245" s="52"/>
      <c r="M245" s="52"/>
      <c r="N245" s="52">
        <f t="shared" si="81"/>
        <v>0</v>
      </c>
      <c r="O245" s="53">
        <f t="shared" si="8"/>
        <v>0</v>
      </c>
      <c r="P245" s="54"/>
    </row>
    <row r="246" ht="30.0" hidden="1" customHeight="1">
      <c r="A246" s="44">
        <v>45905.0</v>
      </c>
      <c r="B246" s="45" t="str">
        <f t="shared" si="1"/>
        <v>الجمعة</v>
      </c>
      <c r="C246" s="46" t="s">
        <v>28</v>
      </c>
      <c r="D246" s="47">
        <v>300000.0</v>
      </c>
      <c r="E246" s="56"/>
      <c r="F246" s="56"/>
      <c r="G246" s="50">
        <f t="shared" si="2"/>
        <v>1276.595745</v>
      </c>
      <c r="H246" s="57">
        <v>0.0</v>
      </c>
      <c r="I246" s="57">
        <v>0.0</v>
      </c>
      <c r="J246" s="51">
        <f t="shared" si="5"/>
        <v>0</v>
      </c>
      <c r="K246" s="52">
        <f>(J246*G246*2)</f>
        <v>0</v>
      </c>
      <c r="L246" s="52"/>
      <c r="M246" s="52"/>
      <c r="N246" s="52">
        <f t="shared" si="81"/>
        <v>0</v>
      </c>
      <c r="O246" s="53">
        <f t="shared" si="8"/>
        <v>0</v>
      </c>
      <c r="P246" s="54"/>
    </row>
    <row r="247" ht="30.0" hidden="1" customHeight="1">
      <c r="A247" s="44">
        <v>45906.0</v>
      </c>
      <c r="B247" s="45" t="str">
        <f t="shared" si="1"/>
        <v>السبت</v>
      </c>
      <c r="C247" s="46" t="s">
        <v>28</v>
      </c>
      <c r="D247" s="47">
        <v>300000.0</v>
      </c>
      <c r="E247" s="56"/>
      <c r="F247" s="56"/>
      <c r="G247" s="50">
        <f t="shared" si="2"/>
        <v>1276.595745</v>
      </c>
      <c r="H247" s="57">
        <v>0.0</v>
      </c>
      <c r="I247" s="51">
        <f t="shared" ref="I247:I252" si="93">MAX(0,(MOD(F247-E247,1)*24)-H247)</f>
        <v>0</v>
      </c>
      <c r="J247" s="51">
        <f t="shared" si="5"/>
        <v>0</v>
      </c>
      <c r="K247" s="52">
        <f t="shared" ref="K247:K252" si="94">(H247*G247)+(I247*G247*1.5)+(J247*G247*2)</f>
        <v>0</v>
      </c>
      <c r="L247" s="52"/>
      <c r="M247" s="52"/>
      <c r="N247" s="52">
        <f t="shared" si="81"/>
        <v>0</v>
      </c>
      <c r="O247" s="53">
        <f t="shared" si="8"/>
        <v>0</v>
      </c>
      <c r="P247" s="54"/>
    </row>
    <row r="248" ht="30.0" hidden="1" customHeight="1">
      <c r="A248" s="44">
        <v>45907.0</v>
      </c>
      <c r="B248" s="45" t="str">
        <f t="shared" si="1"/>
        <v>الأحد</v>
      </c>
      <c r="C248" s="46" t="s">
        <v>28</v>
      </c>
      <c r="D248" s="47">
        <v>300000.0</v>
      </c>
      <c r="E248" s="56"/>
      <c r="F248" s="56"/>
      <c r="G248" s="50">
        <f t="shared" si="2"/>
        <v>1276.595745</v>
      </c>
      <c r="H248" s="57">
        <v>0.0</v>
      </c>
      <c r="I248" s="51">
        <f t="shared" si="93"/>
        <v>0</v>
      </c>
      <c r="J248" s="51">
        <f t="shared" si="5"/>
        <v>0</v>
      </c>
      <c r="K248" s="52">
        <f t="shared" si="94"/>
        <v>0</v>
      </c>
      <c r="L248" s="52"/>
      <c r="M248" s="52"/>
      <c r="N248" s="52">
        <f t="shared" si="81"/>
        <v>0</v>
      </c>
      <c r="O248" s="53">
        <f t="shared" si="8"/>
        <v>0</v>
      </c>
      <c r="P248" s="54"/>
    </row>
    <row r="249" ht="30.0" hidden="1" customHeight="1">
      <c r="A249" s="44">
        <v>45908.0</v>
      </c>
      <c r="B249" s="45" t="str">
        <f t="shared" si="1"/>
        <v>الاثنين</v>
      </c>
      <c r="C249" s="46" t="s">
        <v>28</v>
      </c>
      <c r="D249" s="47">
        <v>300000.0</v>
      </c>
      <c r="E249" s="56"/>
      <c r="F249" s="56"/>
      <c r="G249" s="50">
        <f t="shared" si="2"/>
        <v>1276.595745</v>
      </c>
      <c r="H249" s="57">
        <v>0.0</v>
      </c>
      <c r="I249" s="51">
        <f t="shared" si="93"/>
        <v>0</v>
      </c>
      <c r="J249" s="51">
        <f t="shared" si="5"/>
        <v>0</v>
      </c>
      <c r="K249" s="52">
        <f t="shared" si="94"/>
        <v>0</v>
      </c>
      <c r="L249" s="52"/>
      <c r="M249" s="52"/>
      <c r="N249" s="52">
        <f t="shared" si="81"/>
        <v>0</v>
      </c>
      <c r="O249" s="53">
        <f t="shared" si="8"/>
        <v>0</v>
      </c>
      <c r="P249" s="54"/>
    </row>
    <row r="250" ht="30.0" hidden="1" customHeight="1">
      <c r="A250" s="44">
        <v>45909.0</v>
      </c>
      <c r="B250" s="45" t="str">
        <f t="shared" si="1"/>
        <v>الثلاثاء</v>
      </c>
      <c r="C250" s="46" t="s">
        <v>28</v>
      </c>
      <c r="D250" s="47">
        <v>300000.0</v>
      </c>
      <c r="E250" s="56"/>
      <c r="F250" s="56"/>
      <c r="G250" s="50">
        <f t="shared" si="2"/>
        <v>1276.595745</v>
      </c>
      <c r="H250" s="57">
        <v>0.0</v>
      </c>
      <c r="I250" s="51">
        <f t="shared" si="93"/>
        <v>0</v>
      </c>
      <c r="J250" s="51">
        <f t="shared" si="5"/>
        <v>0</v>
      </c>
      <c r="K250" s="52">
        <f t="shared" si="94"/>
        <v>0</v>
      </c>
      <c r="L250" s="52"/>
      <c r="M250" s="52"/>
      <c r="N250" s="52">
        <f t="shared" si="81"/>
        <v>0</v>
      </c>
      <c r="O250" s="53">
        <f t="shared" si="8"/>
        <v>0</v>
      </c>
      <c r="P250" s="54"/>
    </row>
    <row r="251" ht="30.0" hidden="1" customHeight="1">
      <c r="A251" s="44">
        <v>45910.0</v>
      </c>
      <c r="B251" s="45" t="str">
        <f t="shared" si="1"/>
        <v>الأربعاء</v>
      </c>
      <c r="C251" s="46" t="s">
        <v>28</v>
      </c>
      <c r="D251" s="47">
        <v>300000.0</v>
      </c>
      <c r="E251" s="56"/>
      <c r="F251" s="56"/>
      <c r="G251" s="50">
        <f t="shared" si="2"/>
        <v>1276.595745</v>
      </c>
      <c r="H251" s="57">
        <v>0.0</v>
      </c>
      <c r="I251" s="51">
        <f t="shared" si="93"/>
        <v>0</v>
      </c>
      <c r="J251" s="51">
        <f t="shared" si="5"/>
        <v>0</v>
      </c>
      <c r="K251" s="52">
        <f t="shared" si="94"/>
        <v>0</v>
      </c>
      <c r="L251" s="52"/>
      <c r="M251" s="52"/>
      <c r="N251" s="52">
        <f t="shared" si="81"/>
        <v>0</v>
      </c>
      <c r="O251" s="53">
        <f t="shared" si="8"/>
        <v>0</v>
      </c>
      <c r="P251" s="54"/>
    </row>
    <row r="252" ht="30.0" hidden="1" customHeight="1">
      <c r="A252" s="44">
        <v>45911.0</v>
      </c>
      <c r="B252" s="45" t="str">
        <f t="shared" si="1"/>
        <v>الخميس</v>
      </c>
      <c r="C252" s="46" t="s">
        <v>28</v>
      </c>
      <c r="D252" s="47">
        <v>300000.0</v>
      </c>
      <c r="E252" s="56"/>
      <c r="F252" s="56"/>
      <c r="G252" s="50">
        <f t="shared" si="2"/>
        <v>1276.595745</v>
      </c>
      <c r="H252" s="57">
        <v>0.0</v>
      </c>
      <c r="I252" s="51">
        <f t="shared" si="93"/>
        <v>0</v>
      </c>
      <c r="J252" s="51">
        <f t="shared" si="5"/>
        <v>0</v>
      </c>
      <c r="K252" s="52">
        <f t="shared" si="94"/>
        <v>0</v>
      </c>
      <c r="L252" s="52"/>
      <c r="M252" s="52"/>
      <c r="N252" s="52">
        <f t="shared" si="81"/>
        <v>0</v>
      </c>
      <c r="O252" s="53">
        <f t="shared" si="8"/>
        <v>0</v>
      </c>
      <c r="P252" s="54"/>
    </row>
    <row r="253" ht="30.0" hidden="1" customHeight="1">
      <c r="A253" s="44">
        <v>45912.0</v>
      </c>
      <c r="B253" s="45" t="str">
        <f t="shared" si="1"/>
        <v>الجمعة</v>
      </c>
      <c r="C253" s="46" t="s">
        <v>28</v>
      </c>
      <c r="D253" s="47">
        <v>300000.0</v>
      </c>
      <c r="E253" s="56"/>
      <c r="F253" s="56"/>
      <c r="G253" s="50">
        <f t="shared" si="2"/>
        <v>1276.595745</v>
      </c>
      <c r="H253" s="57">
        <v>0.0</v>
      </c>
      <c r="I253" s="57">
        <v>0.0</v>
      </c>
      <c r="J253" s="51">
        <f t="shared" si="5"/>
        <v>0</v>
      </c>
      <c r="K253" s="52">
        <f>(J253*G253*2)</f>
        <v>0</v>
      </c>
      <c r="L253" s="52"/>
      <c r="M253" s="52"/>
      <c r="N253" s="52">
        <f t="shared" si="81"/>
        <v>0</v>
      </c>
      <c r="O253" s="53">
        <f t="shared" si="8"/>
        <v>0</v>
      </c>
      <c r="P253" s="54"/>
    </row>
    <row r="254" ht="30.0" hidden="1" customHeight="1">
      <c r="A254" s="44">
        <v>45913.0</v>
      </c>
      <c r="B254" s="45" t="str">
        <f t="shared" si="1"/>
        <v>السبت</v>
      </c>
      <c r="C254" s="46" t="s">
        <v>28</v>
      </c>
      <c r="D254" s="47">
        <v>300000.0</v>
      </c>
      <c r="E254" s="56"/>
      <c r="F254" s="56"/>
      <c r="G254" s="50">
        <f t="shared" si="2"/>
        <v>1276.595745</v>
      </c>
      <c r="H254" s="57">
        <v>0.0</v>
      </c>
      <c r="I254" s="51">
        <f t="shared" ref="I254:I259" si="95">MAX(0,(MOD(F254-E254,1)*24)-H254)</f>
        <v>0</v>
      </c>
      <c r="J254" s="51">
        <f t="shared" si="5"/>
        <v>0</v>
      </c>
      <c r="K254" s="52">
        <f t="shared" ref="K254:K259" si="96">(H254*G254)+(I254*G254*1.5)+(J254*G254*2)</f>
        <v>0</v>
      </c>
      <c r="L254" s="52"/>
      <c r="M254" s="52"/>
      <c r="N254" s="52">
        <f t="shared" si="81"/>
        <v>0</v>
      </c>
      <c r="O254" s="53">
        <f t="shared" si="8"/>
        <v>0</v>
      </c>
      <c r="P254" s="54"/>
    </row>
    <row r="255" ht="30.0" hidden="1" customHeight="1">
      <c r="A255" s="44">
        <v>45914.0</v>
      </c>
      <c r="B255" s="45" t="str">
        <f t="shared" si="1"/>
        <v>الأحد</v>
      </c>
      <c r="C255" s="46" t="s">
        <v>28</v>
      </c>
      <c r="D255" s="47">
        <v>300000.0</v>
      </c>
      <c r="E255" s="56"/>
      <c r="F255" s="56"/>
      <c r="G255" s="50">
        <f t="shared" si="2"/>
        <v>1276.595745</v>
      </c>
      <c r="H255" s="57">
        <v>0.0</v>
      </c>
      <c r="I255" s="51">
        <f t="shared" si="95"/>
        <v>0</v>
      </c>
      <c r="J255" s="51">
        <f t="shared" si="5"/>
        <v>0</v>
      </c>
      <c r="K255" s="52">
        <f t="shared" si="96"/>
        <v>0</v>
      </c>
      <c r="L255" s="52"/>
      <c r="M255" s="52"/>
      <c r="N255" s="52">
        <f t="shared" si="81"/>
        <v>0</v>
      </c>
      <c r="O255" s="53">
        <f t="shared" si="8"/>
        <v>0</v>
      </c>
      <c r="P255" s="54"/>
    </row>
    <row r="256" ht="30.0" hidden="1" customHeight="1">
      <c r="A256" s="44">
        <v>45915.0</v>
      </c>
      <c r="B256" s="45" t="str">
        <f t="shared" si="1"/>
        <v>الاثنين</v>
      </c>
      <c r="C256" s="46" t="s">
        <v>28</v>
      </c>
      <c r="D256" s="47">
        <v>300000.0</v>
      </c>
      <c r="E256" s="56"/>
      <c r="F256" s="56"/>
      <c r="G256" s="50">
        <f t="shared" si="2"/>
        <v>1276.595745</v>
      </c>
      <c r="H256" s="57">
        <v>0.0</v>
      </c>
      <c r="I256" s="51">
        <f t="shared" si="95"/>
        <v>0</v>
      </c>
      <c r="J256" s="51">
        <f t="shared" si="5"/>
        <v>0</v>
      </c>
      <c r="K256" s="52">
        <f t="shared" si="96"/>
        <v>0</v>
      </c>
      <c r="L256" s="52"/>
      <c r="M256" s="52"/>
      <c r="N256" s="52">
        <f t="shared" si="81"/>
        <v>0</v>
      </c>
      <c r="O256" s="53">
        <f t="shared" si="8"/>
        <v>0</v>
      </c>
      <c r="P256" s="54"/>
    </row>
    <row r="257" ht="30.0" hidden="1" customHeight="1">
      <c r="A257" s="44">
        <v>45916.0</v>
      </c>
      <c r="B257" s="45" t="str">
        <f t="shared" si="1"/>
        <v>الثلاثاء</v>
      </c>
      <c r="C257" s="46" t="s">
        <v>28</v>
      </c>
      <c r="D257" s="47">
        <v>300000.0</v>
      </c>
      <c r="E257" s="56"/>
      <c r="F257" s="56"/>
      <c r="G257" s="50">
        <f t="shared" si="2"/>
        <v>1276.595745</v>
      </c>
      <c r="H257" s="57">
        <v>0.0</v>
      </c>
      <c r="I257" s="51">
        <f t="shared" si="95"/>
        <v>0</v>
      </c>
      <c r="J257" s="51">
        <f t="shared" si="5"/>
        <v>0</v>
      </c>
      <c r="K257" s="52">
        <f t="shared" si="96"/>
        <v>0</v>
      </c>
      <c r="L257" s="52"/>
      <c r="M257" s="52"/>
      <c r="N257" s="52">
        <f t="shared" si="81"/>
        <v>0</v>
      </c>
      <c r="O257" s="53">
        <f t="shared" si="8"/>
        <v>0</v>
      </c>
      <c r="P257" s="54"/>
    </row>
    <row r="258" ht="30.0" hidden="1" customHeight="1">
      <c r="A258" s="44">
        <v>45917.0</v>
      </c>
      <c r="B258" s="45" t="str">
        <f t="shared" si="1"/>
        <v>الأربعاء</v>
      </c>
      <c r="C258" s="46" t="s">
        <v>28</v>
      </c>
      <c r="D258" s="47">
        <v>300000.0</v>
      </c>
      <c r="E258" s="56"/>
      <c r="F258" s="56"/>
      <c r="G258" s="50">
        <f t="shared" si="2"/>
        <v>1276.595745</v>
      </c>
      <c r="H258" s="57">
        <v>0.0</v>
      </c>
      <c r="I258" s="51">
        <f t="shared" si="95"/>
        <v>0</v>
      </c>
      <c r="J258" s="51">
        <f t="shared" si="5"/>
        <v>0</v>
      </c>
      <c r="K258" s="52">
        <f t="shared" si="96"/>
        <v>0</v>
      </c>
      <c r="L258" s="52"/>
      <c r="M258" s="52"/>
      <c r="N258" s="52">
        <f t="shared" si="81"/>
        <v>0</v>
      </c>
      <c r="O258" s="53">
        <f t="shared" si="8"/>
        <v>0</v>
      </c>
      <c r="P258" s="54"/>
    </row>
    <row r="259" ht="30.0" hidden="1" customHeight="1">
      <c r="A259" s="44">
        <v>45918.0</v>
      </c>
      <c r="B259" s="45" t="str">
        <f t="shared" si="1"/>
        <v>الخميس</v>
      </c>
      <c r="C259" s="46" t="s">
        <v>28</v>
      </c>
      <c r="D259" s="47">
        <v>300000.0</v>
      </c>
      <c r="E259" s="56"/>
      <c r="F259" s="56"/>
      <c r="G259" s="50">
        <f t="shared" si="2"/>
        <v>1276.595745</v>
      </c>
      <c r="H259" s="57">
        <v>0.0</v>
      </c>
      <c r="I259" s="51">
        <f t="shared" si="95"/>
        <v>0</v>
      </c>
      <c r="J259" s="51">
        <f t="shared" si="5"/>
        <v>0</v>
      </c>
      <c r="K259" s="52">
        <f t="shared" si="96"/>
        <v>0</v>
      </c>
      <c r="L259" s="52"/>
      <c r="M259" s="52"/>
      <c r="N259" s="52">
        <f t="shared" si="81"/>
        <v>0</v>
      </c>
      <c r="O259" s="53">
        <f t="shared" si="8"/>
        <v>0</v>
      </c>
      <c r="P259" s="54"/>
    </row>
    <row r="260" ht="30.0" hidden="1" customHeight="1">
      <c r="A260" s="44">
        <v>45919.0</v>
      </c>
      <c r="B260" s="45" t="str">
        <f t="shared" si="1"/>
        <v>الجمعة</v>
      </c>
      <c r="C260" s="46" t="s">
        <v>28</v>
      </c>
      <c r="D260" s="47">
        <v>300000.0</v>
      </c>
      <c r="E260" s="56"/>
      <c r="F260" s="56"/>
      <c r="G260" s="50">
        <f t="shared" si="2"/>
        <v>1276.595745</v>
      </c>
      <c r="H260" s="57">
        <v>0.0</v>
      </c>
      <c r="I260" s="57">
        <v>0.0</v>
      </c>
      <c r="J260" s="51">
        <f t="shared" si="5"/>
        <v>0</v>
      </c>
      <c r="K260" s="59">
        <v>25000.0</v>
      </c>
      <c r="L260" s="52"/>
      <c r="M260" s="52"/>
      <c r="N260" s="52">
        <f t="shared" si="81"/>
        <v>0</v>
      </c>
      <c r="O260" s="53">
        <f t="shared" si="8"/>
        <v>25000</v>
      </c>
      <c r="P260" s="46" t="s">
        <v>29</v>
      </c>
    </row>
    <row r="261" ht="30.0" hidden="1" customHeight="1">
      <c r="A261" s="44">
        <v>45920.0</v>
      </c>
      <c r="B261" s="45" t="str">
        <f t="shared" si="1"/>
        <v>السبت</v>
      </c>
      <c r="C261" s="46" t="s">
        <v>28</v>
      </c>
      <c r="D261" s="47">
        <v>300000.0</v>
      </c>
      <c r="E261" s="56"/>
      <c r="F261" s="56"/>
      <c r="G261" s="50">
        <f t="shared" si="2"/>
        <v>1276.595745</v>
      </c>
      <c r="H261" s="57">
        <v>0.0</v>
      </c>
      <c r="I261" s="51">
        <f t="shared" ref="I261:I266" si="97">MAX(0,(MOD(F261-E261,1)*24)-H261)</f>
        <v>0</v>
      </c>
      <c r="J261" s="51">
        <f t="shared" si="5"/>
        <v>0</v>
      </c>
      <c r="K261" s="52">
        <f t="shared" ref="K261:K266" si="98">(H261*G261)+(I261*G261*1.5)+(J261*G261*2)</f>
        <v>0</v>
      </c>
      <c r="L261" s="52"/>
      <c r="M261" s="52"/>
      <c r="N261" s="52">
        <f t="shared" si="81"/>
        <v>0</v>
      </c>
      <c r="O261" s="53">
        <f t="shared" si="8"/>
        <v>0</v>
      </c>
      <c r="P261" s="54"/>
    </row>
    <row r="262" ht="30.0" hidden="1" customHeight="1">
      <c r="A262" s="44">
        <v>45921.0</v>
      </c>
      <c r="B262" s="45" t="str">
        <f t="shared" si="1"/>
        <v>الأحد</v>
      </c>
      <c r="C262" s="46" t="s">
        <v>28</v>
      </c>
      <c r="D262" s="47">
        <v>300000.0</v>
      </c>
      <c r="E262" s="56"/>
      <c r="F262" s="56"/>
      <c r="G262" s="50">
        <f t="shared" si="2"/>
        <v>1276.595745</v>
      </c>
      <c r="H262" s="57">
        <v>0.0</v>
      </c>
      <c r="I262" s="51">
        <f t="shared" si="97"/>
        <v>0</v>
      </c>
      <c r="J262" s="51">
        <f t="shared" si="5"/>
        <v>0</v>
      </c>
      <c r="K262" s="52">
        <f t="shared" si="98"/>
        <v>0</v>
      </c>
      <c r="L262" s="52"/>
      <c r="M262" s="52"/>
      <c r="N262" s="52">
        <f t="shared" si="81"/>
        <v>0</v>
      </c>
      <c r="O262" s="53">
        <f t="shared" si="8"/>
        <v>0</v>
      </c>
      <c r="P262" s="54"/>
    </row>
    <row r="263" ht="30.0" hidden="1" customHeight="1">
      <c r="A263" s="44">
        <v>45922.0</v>
      </c>
      <c r="B263" s="45" t="str">
        <f t="shared" si="1"/>
        <v>الاثنين</v>
      </c>
      <c r="C263" s="46" t="s">
        <v>28</v>
      </c>
      <c r="D263" s="47">
        <v>300000.0</v>
      </c>
      <c r="E263" s="56"/>
      <c r="F263" s="56"/>
      <c r="G263" s="50">
        <f t="shared" si="2"/>
        <v>1276.595745</v>
      </c>
      <c r="H263" s="57">
        <v>0.0</v>
      </c>
      <c r="I263" s="51">
        <f t="shared" si="97"/>
        <v>0</v>
      </c>
      <c r="J263" s="51">
        <f t="shared" si="5"/>
        <v>0</v>
      </c>
      <c r="K263" s="52">
        <f t="shared" si="98"/>
        <v>0</v>
      </c>
      <c r="L263" s="52"/>
      <c r="M263" s="52"/>
      <c r="N263" s="52">
        <f t="shared" si="81"/>
        <v>0</v>
      </c>
      <c r="O263" s="53">
        <f t="shared" si="8"/>
        <v>0</v>
      </c>
      <c r="P263" s="54"/>
    </row>
    <row r="264" ht="30.0" hidden="1" customHeight="1">
      <c r="A264" s="44">
        <v>45923.0</v>
      </c>
      <c r="B264" s="45" t="str">
        <f t="shared" si="1"/>
        <v>الثلاثاء</v>
      </c>
      <c r="C264" s="46" t="s">
        <v>28</v>
      </c>
      <c r="D264" s="47">
        <v>300000.0</v>
      </c>
      <c r="E264" s="56">
        <v>0.375</v>
      </c>
      <c r="F264" s="49">
        <v>0.7590277777777777</v>
      </c>
      <c r="G264" s="50">
        <f t="shared" si="2"/>
        <v>1276.595745</v>
      </c>
      <c r="H264" s="51">
        <f>MIN(9,MAX(0,(MIN(F264,TIME(18,0,0))-MAX(E264,TIME(9,0,0)))*24))</f>
        <v>9</v>
      </c>
      <c r="I264" s="51">
        <f t="shared" si="97"/>
        <v>0.2166666667</v>
      </c>
      <c r="J264" s="51">
        <f t="shared" si="5"/>
        <v>0</v>
      </c>
      <c r="K264" s="52">
        <f t="shared" si="98"/>
        <v>11904.25532</v>
      </c>
      <c r="L264" s="52"/>
      <c r="M264" s="52"/>
      <c r="N264" s="52">
        <f t="shared" si="81"/>
        <v>0</v>
      </c>
      <c r="O264" s="53">
        <f t="shared" si="8"/>
        <v>11904.25532</v>
      </c>
      <c r="P264" s="54"/>
    </row>
    <row r="265" ht="30.0" hidden="1" customHeight="1">
      <c r="A265" s="44">
        <v>45924.0</v>
      </c>
      <c r="B265" s="45" t="str">
        <f t="shared" si="1"/>
        <v>الأربعاء</v>
      </c>
      <c r="C265" s="46" t="s">
        <v>28</v>
      </c>
      <c r="D265" s="47">
        <v>300000.0</v>
      </c>
      <c r="E265" s="56"/>
      <c r="F265" s="56"/>
      <c r="G265" s="50">
        <f t="shared" si="2"/>
        <v>1276.595745</v>
      </c>
      <c r="H265" s="57">
        <v>0.0</v>
      </c>
      <c r="I265" s="51">
        <f t="shared" si="97"/>
        <v>0</v>
      </c>
      <c r="J265" s="51">
        <f t="shared" si="5"/>
        <v>0</v>
      </c>
      <c r="K265" s="52">
        <f t="shared" si="98"/>
        <v>0</v>
      </c>
      <c r="L265" s="52"/>
      <c r="M265" s="52"/>
      <c r="N265" s="52">
        <f t="shared" si="81"/>
        <v>0</v>
      </c>
      <c r="O265" s="53">
        <f t="shared" si="8"/>
        <v>0</v>
      </c>
      <c r="P265" s="54"/>
    </row>
    <row r="266" ht="30.0" hidden="1" customHeight="1">
      <c r="A266" s="44">
        <v>45925.0</v>
      </c>
      <c r="B266" s="45" t="str">
        <f t="shared" si="1"/>
        <v>الخميس</v>
      </c>
      <c r="C266" s="46" t="s">
        <v>28</v>
      </c>
      <c r="D266" s="47">
        <v>300000.0</v>
      </c>
      <c r="E266" s="56">
        <v>0.37777777777777777</v>
      </c>
      <c r="F266" s="49">
        <v>0.7625</v>
      </c>
      <c r="G266" s="50">
        <f t="shared" si="2"/>
        <v>1276.595745</v>
      </c>
      <c r="H266" s="51">
        <f>MIN(9,MAX(0,(MIN(F266,TIME(18,0,0))-MAX(E266,TIME(9,0,0)))*24))</f>
        <v>8.933333333</v>
      </c>
      <c r="I266" s="51">
        <f t="shared" si="97"/>
        <v>0.3</v>
      </c>
      <c r="J266" s="51">
        <f t="shared" si="5"/>
        <v>0</v>
      </c>
      <c r="K266" s="52">
        <f t="shared" si="98"/>
        <v>11978.7234</v>
      </c>
      <c r="L266" s="52"/>
      <c r="M266" s="52"/>
      <c r="N266" s="52">
        <f t="shared" si="81"/>
        <v>85.10638298</v>
      </c>
      <c r="O266" s="53">
        <f t="shared" si="8"/>
        <v>11893.61702</v>
      </c>
      <c r="P266" s="54"/>
    </row>
    <row r="267" ht="30.0" hidden="1" customHeight="1">
      <c r="A267" s="44">
        <v>45926.0</v>
      </c>
      <c r="B267" s="45" t="str">
        <f t="shared" si="1"/>
        <v>الجمعة</v>
      </c>
      <c r="C267" s="46" t="s">
        <v>28</v>
      </c>
      <c r="D267" s="47">
        <v>300000.0</v>
      </c>
      <c r="E267" s="56"/>
      <c r="F267" s="56"/>
      <c r="G267" s="50">
        <f t="shared" si="2"/>
        <v>1276.595745</v>
      </c>
      <c r="H267" s="57">
        <v>0.0</v>
      </c>
      <c r="I267" s="57">
        <v>0.0</v>
      </c>
      <c r="J267" s="51">
        <f t="shared" si="5"/>
        <v>0</v>
      </c>
      <c r="K267" s="52">
        <f>(J267*G267*2)</f>
        <v>0</v>
      </c>
      <c r="L267" s="52"/>
      <c r="M267" s="52"/>
      <c r="N267" s="52">
        <f t="shared" si="81"/>
        <v>0</v>
      </c>
      <c r="O267" s="53">
        <f t="shared" si="8"/>
        <v>0</v>
      </c>
      <c r="P267" s="54"/>
    </row>
    <row r="268" ht="30.0" hidden="1" customHeight="1">
      <c r="A268" s="44">
        <v>45927.0</v>
      </c>
      <c r="B268" s="45" t="str">
        <f t="shared" si="1"/>
        <v>السبت</v>
      </c>
      <c r="C268" s="46" t="s">
        <v>28</v>
      </c>
      <c r="D268" s="47">
        <v>300000.0</v>
      </c>
      <c r="E268" s="56">
        <v>0.37777777777777777</v>
      </c>
      <c r="F268" s="49">
        <v>0.7604166666666666</v>
      </c>
      <c r="G268" s="50">
        <f t="shared" si="2"/>
        <v>1276.595745</v>
      </c>
      <c r="H268" s="51">
        <f t="shared" ref="H268:H275" si="99">MIN(9,MAX(0,(MIN(F268,TIME(18,0,0))-MAX(E268,TIME(9,0,0)))*24))</f>
        <v>8.933333333</v>
      </c>
      <c r="I268" s="51">
        <f t="shared" ref="I268:I282" si="100">MAX(0,(MOD(F268-E268,1)*24)-H268)</f>
        <v>0.25</v>
      </c>
      <c r="J268" s="51">
        <f t="shared" si="5"/>
        <v>0</v>
      </c>
      <c r="K268" s="52">
        <f t="shared" ref="K268:K275" si="101">(H268*G268)+(I268*G268*1.5)+(J268*G268*2)</f>
        <v>11882.97872</v>
      </c>
      <c r="L268" s="52"/>
      <c r="M268" s="59">
        <v>10000.0</v>
      </c>
      <c r="N268" s="52">
        <f t="shared" si="81"/>
        <v>85.10638298</v>
      </c>
      <c r="O268" s="53">
        <f t="shared" si="8"/>
        <v>1797.87234</v>
      </c>
      <c r="P268" s="54"/>
    </row>
    <row r="269" ht="30.0" hidden="1" customHeight="1">
      <c r="A269" s="44">
        <v>45928.0</v>
      </c>
      <c r="B269" s="45" t="str">
        <f t="shared" si="1"/>
        <v>الأحد</v>
      </c>
      <c r="C269" s="46" t="s">
        <v>28</v>
      </c>
      <c r="D269" s="47">
        <v>300000.0</v>
      </c>
      <c r="E269" s="49">
        <v>0.37916666666666665</v>
      </c>
      <c r="F269" s="49">
        <v>0.7569444444444444</v>
      </c>
      <c r="G269" s="50">
        <f t="shared" si="2"/>
        <v>1276.595745</v>
      </c>
      <c r="H269" s="51">
        <f t="shared" si="99"/>
        <v>8.9</v>
      </c>
      <c r="I269" s="51">
        <f t="shared" si="100"/>
        <v>0.1666666667</v>
      </c>
      <c r="J269" s="51">
        <f t="shared" si="5"/>
        <v>0</v>
      </c>
      <c r="K269" s="52">
        <f t="shared" si="101"/>
        <v>11680.85106</v>
      </c>
      <c r="L269" s="52"/>
      <c r="M269" s="59">
        <v>25000.0</v>
      </c>
      <c r="N269" s="52">
        <f t="shared" si="81"/>
        <v>127.6595745</v>
      </c>
      <c r="O269" s="53">
        <f t="shared" si="8"/>
        <v>-13446.80851</v>
      </c>
      <c r="P269" s="54"/>
    </row>
    <row r="270" ht="30.0" hidden="1" customHeight="1">
      <c r="A270" s="44">
        <v>45929.0</v>
      </c>
      <c r="B270" s="45" t="str">
        <f t="shared" si="1"/>
        <v>الاثنين</v>
      </c>
      <c r="C270" s="46" t="s">
        <v>28</v>
      </c>
      <c r="D270" s="47">
        <v>300000.0</v>
      </c>
      <c r="E270" s="56"/>
      <c r="F270" s="56"/>
      <c r="G270" s="50">
        <f t="shared" si="2"/>
        <v>1276.595745</v>
      </c>
      <c r="H270" s="51">
        <f t="shared" si="99"/>
        <v>9</v>
      </c>
      <c r="I270" s="51">
        <f t="shared" si="100"/>
        <v>0</v>
      </c>
      <c r="J270" s="51">
        <f t="shared" si="5"/>
        <v>0</v>
      </c>
      <c r="K270" s="52">
        <f t="shared" si="101"/>
        <v>11489.3617</v>
      </c>
      <c r="L270" s="52"/>
      <c r="M270" s="59">
        <v>25000.0</v>
      </c>
      <c r="N270" s="52">
        <f t="shared" si="81"/>
        <v>0</v>
      </c>
      <c r="O270" s="53">
        <f t="shared" si="8"/>
        <v>-13510.6383</v>
      </c>
      <c r="P270" s="54"/>
    </row>
    <row r="271" ht="30.0" hidden="1" customHeight="1">
      <c r="A271" s="44">
        <v>45930.0</v>
      </c>
      <c r="B271" s="45" t="str">
        <f t="shared" si="1"/>
        <v>الثلاثاء</v>
      </c>
      <c r="C271" s="46" t="s">
        <v>28</v>
      </c>
      <c r="D271" s="47">
        <v>300000.0</v>
      </c>
      <c r="E271" s="49">
        <v>0.40694444444444444</v>
      </c>
      <c r="F271" s="49">
        <v>0.7576388888888889</v>
      </c>
      <c r="G271" s="50">
        <f t="shared" si="2"/>
        <v>1276.595745</v>
      </c>
      <c r="H271" s="51">
        <f t="shared" si="99"/>
        <v>8.233333333</v>
      </c>
      <c r="I271" s="51">
        <f t="shared" si="100"/>
        <v>0.1833333333</v>
      </c>
      <c r="J271" s="51">
        <f t="shared" si="5"/>
        <v>0</v>
      </c>
      <c r="K271" s="52">
        <f t="shared" si="101"/>
        <v>10861.70213</v>
      </c>
      <c r="L271" s="52"/>
      <c r="M271" s="59">
        <v>25000.0</v>
      </c>
      <c r="N271" s="52">
        <f t="shared" si="81"/>
        <v>978.7234043</v>
      </c>
      <c r="O271" s="53">
        <f t="shared" si="8"/>
        <v>-15117.02128</v>
      </c>
      <c r="P271" s="54"/>
    </row>
    <row r="272" ht="26.25" hidden="1" customHeight="1">
      <c r="A272" s="44">
        <v>45901.0</v>
      </c>
      <c r="B272" s="45" t="str">
        <f t="shared" si="1"/>
        <v>الاثنين</v>
      </c>
      <c r="C272" s="46" t="s">
        <v>30</v>
      </c>
      <c r="D272" s="61">
        <v>400000.0</v>
      </c>
      <c r="E272" s="62">
        <v>0.375</v>
      </c>
      <c r="F272" s="62">
        <v>0.875</v>
      </c>
      <c r="G272" s="50">
        <f t="shared" si="2"/>
        <v>1702.12766</v>
      </c>
      <c r="H272" s="51">
        <f t="shared" si="99"/>
        <v>9</v>
      </c>
      <c r="I272" s="51">
        <f t="shared" si="100"/>
        <v>3</v>
      </c>
      <c r="J272" s="51">
        <f t="shared" si="5"/>
        <v>0</v>
      </c>
      <c r="K272" s="52">
        <f t="shared" si="101"/>
        <v>22978.7234</v>
      </c>
      <c r="L272" s="52"/>
      <c r="M272" s="52"/>
      <c r="N272" s="52">
        <f t="shared" si="81"/>
        <v>0</v>
      </c>
      <c r="O272" s="53">
        <f t="shared" si="8"/>
        <v>22978.7234</v>
      </c>
      <c r="P272" s="54"/>
    </row>
    <row r="273" ht="26.25" hidden="1" customHeight="1">
      <c r="A273" s="44">
        <v>45902.0</v>
      </c>
      <c r="B273" s="45" t="str">
        <f t="shared" si="1"/>
        <v>الثلاثاء</v>
      </c>
      <c r="C273" s="46" t="s">
        <v>30</v>
      </c>
      <c r="D273" s="61">
        <v>400000.0</v>
      </c>
      <c r="E273" s="56">
        <v>0.375</v>
      </c>
      <c r="F273" s="56">
        <v>0.75</v>
      </c>
      <c r="G273" s="50">
        <f t="shared" si="2"/>
        <v>1702.12766</v>
      </c>
      <c r="H273" s="51">
        <f t="shared" si="99"/>
        <v>9</v>
      </c>
      <c r="I273" s="51">
        <f t="shared" si="100"/>
        <v>0</v>
      </c>
      <c r="J273" s="51">
        <f t="shared" si="5"/>
        <v>0</v>
      </c>
      <c r="K273" s="52">
        <f t="shared" si="101"/>
        <v>15319.14894</v>
      </c>
      <c r="L273" s="52"/>
      <c r="M273" s="52"/>
      <c r="N273" s="52">
        <f t="shared" si="81"/>
        <v>0</v>
      </c>
      <c r="O273" s="53">
        <f t="shared" si="8"/>
        <v>15319.14894</v>
      </c>
      <c r="P273" s="54"/>
    </row>
    <row r="274" ht="26.25" hidden="1" customHeight="1">
      <c r="A274" s="44">
        <v>45903.0</v>
      </c>
      <c r="B274" s="45" t="str">
        <f t="shared" si="1"/>
        <v>الأربعاء</v>
      </c>
      <c r="C274" s="46" t="s">
        <v>30</v>
      </c>
      <c r="D274" s="61">
        <v>400000.0</v>
      </c>
      <c r="E274" s="56">
        <v>0.3902777777777778</v>
      </c>
      <c r="F274" s="56">
        <v>0.7791666666666667</v>
      </c>
      <c r="G274" s="50">
        <f t="shared" si="2"/>
        <v>1702.12766</v>
      </c>
      <c r="H274" s="51">
        <f t="shared" si="99"/>
        <v>8.633333333</v>
      </c>
      <c r="I274" s="51">
        <f t="shared" si="100"/>
        <v>0.7</v>
      </c>
      <c r="J274" s="51">
        <f t="shared" si="5"/>
        <v>0</v>
      </c>
      <c r="K274" s="52">
        <f t="shared" si="101"/>
        <v>16482.2695</v>
      </c>
      <c r="L274" s="52"/>
      <c r="M274" s="52"/>
      <c r="N274" s="52">
        <f t="shared" si="81"/>
        <v>624.1134752</v>
      </c>
      <c r="O274" s="53">
        <f t="shared" si="8"/>
        <v>15858.15603</v>
      </c>
      <c r="P274" s="54"/>
    </row>
    <row r="275" ht="26.25" hidden="1" customHeight="1">
      <c r="A275" s="44">
        <v>45904.0</v>
      </c>
      <c r="B275" s="45" t="str">
        <f t="shared" si="1"/>
        <v>الخميس</v>
      </c>
      <c r="C275" s="46" t="s">
        <v>30</v>
      </c>
      <c r="D275" s="61">
        <v>400000.0</v>
      </c>
      <c r="E275" s="56">
        <v>0.375</v>
      </c>
      <c r="F275" s="56">
        <v>0.7541666666666667</v>
      </c>
      <c r="G275" s="50">
        <f t="shared" si="2"/>
        <v>1702.12766</v>
      </c>
      <c r="H275" s="51">
        <f t="shared" si="99"/>
        <v>9</v>
      </c>
      <c r="I275" s="51">
        <f t="shared" si="100"/>
        <v>0.1</v>
      </c>
      <c r="J275" s="51">
        <f t="shared" si="5"/>
        <v>0</v>
      </c>
      <c r="K275" s="52">
        <f t="shared" si="101"/>
        <v>15574.46809</v>
      </c>
      <c r="L275" s="52"/>
      <c r="M275" s="52"/>
      <c r="N275" s="52">
        <f t="shared" si="81"/>
        <v>0</v>
      </c>
      <c r="O275" s="53">
        <f t="shared" si="8"/>
        <v>15574.46809</v>
      </c>
      <c r="P275" s="54"/>
    </row>
    <row r="276" ht="26.25" hidden="1" customHeight="1">
      <c r="A276" s="44">
        <v>45905.0</v>
      </c>
      <c r="B276" s="45" t="str">
        <f t="shared" si="1"/>
        <v>الجمعة</v>
      </c>
      <c r="C276" s="46" t="s">
        <v>30</v>
      </c>
      <c r="D276" s="61">
        <v>400000.0</v>
      </c>
      <c r="E276" s="62"/>
      <c r="F276" s="62"/>
      <c r="G276" s="50">
        <f t="shared" si="2"/>
        <v>1702.12766</v>
      </c>
      <c r="H276" s="57">
        <v>0.0</v>
      </c>
      <c r="I276" s="51">
        <f t="shared" si="100"/>
        <v>0</v>
      </c>
      <c r="J276" s="51">
        <f t="shared" si="5"/>
        <v>0</v>
      </c>
      <c r="K276" s="52">
        <f>(J276*G276*2)</f>
        <v>0</v>
      </c>
      <c r="L276" s="52"/>
      <c r="M276" s="52"/>
      <c r="N276" s="52">
        <f t="shared" si="81"/>
        <v>0</v>
      </c>
      <c r="O276" s="53">
        <f t="shared" si="8"/>
        <v>0</v>
      </c>
      <c r="P276" s="54"/>
    </row>
    <row r="277" ht="26.25" hidden="1" customHeight="1">
      <c r="A277" s="44">
        <v>45906.0</v>
      </c>
      <c r="B277" s="45" t="str">
        <f t="shared" si="1"/>
        <v>السبت</v>
      </c>
      <c r="C277" s="46" t="s">
        <v>30</v>
      </c>
      <c r="D277" s="61">
        <v>400000.0</v>
      </c>
      <c r="E277" s="56">
        <v>0.38819444444444445</v>
      </c>
      <c r="F277" s="56">
        <v>0.8618055555555556</v>
      </c>
      <c r="G277" s="50">
        <f t="shared" si="2"/>
        <v>1702.12766</v>
      </c>
      <c r="H277" s="51">
        <f t="shared" ref="H277:H283" si="102">MIN(9,MAX(0,(MIN(F277,TIME(18,0,0))-MAX(E277,TIME(9,0,0)))*24))</f>
        <v>8.683333333</v>
      </c>
      <c r="I277" s="51">
        <f t="shared" si="100"/>
        <v>2.683333333</v>
      </c>
      <c r="J277" s="51">
        <f t="shared" si="5"/>
        <v>0</v>
      </c>
      <c r="K277" s="52">
        <f t="shared" ref="K277:K282" si="103">(H277*G277)+(I277*G277*1.5)+(J277*G277*2)</f>
        <v>21631.20567</v>
      </c>
      <c r="L277" s="52"/>
      <c r="M277" s="52"/>
      <c r="N277" s="52">
        <f t="shared" si="81"/>
        <v>539.0070922</v>
      </c>
      <c r="O277" s="53">
        <f t="shared" si="8"/>
        <v>21092.19858</v>
      </c>
      <c r="P277" s="54"/>
    </row>
    <row r="278" ht="26.25" hidden="1" customHeight="1">
      <c r="A278" s="44">
        <v>45907.0</v>
      </c>
      <c r="B278" s="45" t="str">
        <f t="shared" si="1"/>
        <v>الأحد</v>
      </c>
      <c r="C278" s="46" t="s">
        <v>30</v>
      </c>
      <c r="D278" s="61">
        <v>400000.0</v>
      </c>
      <c r="E278" s="56">
        <v>0.4097222222222222</v>
      </c>
      <c r="F278" s="56">
        <v>0.7333333333333333</v>
      </c>
      <c r="G278" s="50">
        <f t="shared" si="2"/>
        <v>1702.12766</v>
      </c>
      <c r="H278" s="51">
        <f t="shared" si="102"/>
        <v>7.766666667</v>
      </c>
      <c r="I278" s="51">
        <f t="shared" si="100"/>
        <v>0</v>
      </c>
      <c r="J278" s="51">
        <f t="shared" si="5"/>
        <v>0</v>
      </c>
      <c r="K278" s="52">
        <f t="shared" si="103"/>
        <v>13219.85816</v>
      </c>
      <c r="L278" s="52"/>
      <c r="M278" s="52"/>
      <c r="N278" s="52">
        <f t="shared" si="81"/>
        <v>1418.439716</v>
      </c>
      <c r="O278" s="53">
        <f t="shared" si="8"/>
        <v>11801.41844</v>
      </c>
      <c r="P278" s="54"/>
    </row>
    <row r="279" ht="26.25" hidden="1" customHeight="1">
      <c r="A279" s="44">
        <v>45908.0</v>
      </c>
      <c r="B279" s="45" t="str">
        <f t="shared" si="1"/>
        <v>الاثنين</v>
      </c>
      <c r="C279" s="46" t="s">
        <v>30</v>
      </c>
      <c r="D279" s="61">
        <v>400000.0</v>
      </c>
      <c r="E279" s="56">
        <v>0.375</v>
      </c>
      <c r="F279" s="56">
        <v>0.75</v>
      </c>
      <c r="G279" s="50">
        <f t="shared" si="2"/>
        <v>1702.12766</v>
      </c>
      <c r="H279" s="51">
        <f t="shared" si="102"/>
        <v>9</v>
      </c>
      <c r="I279" s="51">
        <f t="shared" si="100"/>
        <v>0</v>
      </c>
      <c r="J279" s="51">
        <f t="shared" si="5"/>
        <v>0</v>
      </c>
      <c r="K279" s="52">
        <f t="shared" si="103"/>
        <v>15319.14894</v>
      </c>
      <c r="L279" s="52"/>
      <c r="M279" s="52"/>
      <c r="N279" s="52">
        <f t="shared" si="81"/>
        <v>0</v>
      </c>
      <c r="O279" s="53">
        <f t="shared" si="8"/>
        <v>15319.14894</v>
      </c>
      <c r="P279" s="54"/>
    </row>
    <row r="280" ht="26.25" hidden="1" customHeight="1">
      <c r="A280" s="44">
        <v>45909.0</v>
      </c>
      <c r="B280" s="45" t="str">
        <f t="shared" si="1"/>
        <v>الثلاثاء</v>
      </c>
      <c r="C280" s="46" t="s">
        <v>30</v>
      </c>
      <c r="D280" s="61">
        <v>400000.0</v>
      </c>
      <c r="E280" s="56">
        <v>0.3729166666666667</v>
      </c>
      <c r="F280" s="56">
        <v>0.9097222222222222</v>
      </c>
      <c r="G280" s="50">
        <f t="shared" si="2"/>
        <v>1702.12766</v>
      </c>
      <c r="H280" s="51">
        <f t="shared" si="102"/>
        <v>9</v>
      </c>
      <c r="I280" s="51">
        <f t="shared" si="100"/>
        <v>3.883333333</v>
      </c>
      <c r="J280" s="51">
        <f t="shared" si="5"/>
        <v>0</v>
      </c>
      <c r="K280" s="52">
        <f t="shared" si="103"/>
        <v>25234.04255</v>
      </c>
      <c r="L280" s="52"/>
      <c r="M280" s="52"/>
      <c r="N280" s="52">
        <f t="shared" si="81"/>
        <v>0</v>
      </c>
      <c r="O280" s="53">
        <f t="shared" si="8"/>
        <v>25234.04255</v>
      </c>
      <c r="P280" s="54"/>
    </row>
    <row r="281" ht="26.25" hidden="1" customHeight="1">
      <c r="A281" s="44">
        <v>45910.0</v>
      </c>
      <c r="B281" s="45" t="str">
        <f t="shared" si="1"/>
        <v>الأربعاء</v>
      </c>
      <c r="C281" s="46" t="s">
        <v>30</v>
      </c>
      <c r="D281" s="61">
        <v>400000.0</v>
      </c>
      <c r="E281" s="56">
        <v>0.39375</v>
      </c>
      <c r="F281" s="56">
        <v>0.9993055555555556</v>
      </c>
      <c r="G281" s="50">
        <f t="shared" si="2"/>
        <v>1702.12766</v>
      </c>
      <c r="H281" s="51">
        <f t="shared" si="102"/>
        <v>8.55</v>
      </c>
      <c r="I281" s="51">
        <f t="shared" si="100"/>
        <v>5.983333333</v>
      </c>
      <c r="J281" s="51">
        <f t="shared" si="5"/>
        <v>0</v>
      </c>
      <c r="K281" s="52">
        <f t="shared" si="103"/>
        <v>29829.78723</v>
      </c>
      <c r="L281" s="52"/>
      <c r="M281" s="59">
        <v>5000.0</v>
      </c>
      <c r="N281" s="52">
        <f t="shared" si="81"/>
        <v>765.9574468</v>
      </c>
      <c r="O281" s="53">
        <f t="shared" si="8"/>
        <v>24063.82979</v>
      </c>
      <c r="P281" s="54"/>
    </row>
    <row r="282" ht="26.25" hidden="1" customHeight="1">
      <c r="A282" s="44">
        <v>45911.0</v>
      </c>
      <c r="B282" s="45" t="str">
        <f t="shared" si="1"/>
        <v>الخميس</v>
      </c>
      <c r="C282" s="46" t="s">
        <v>30</v>
      </c>
      <c r="D282" s="61">
        <v>400000.0</v>
      </c>
      <c r="E282" s="56">
        <v>0.48055555555555557</v>
      </c>
      <c r="F282" s="56">
        <v>0.9993055555555556</v>
      </c>
      <c r="G282" s="50">
        <f t="shared" si="2"/>
        <v>1702.12766</v>
      </c>
      <c r="H282" s="51">
        <f t="shared" si="102"/>
        <v>6.466666667</v>
      </c>
      <c r="I282" s="51">
        <f t="shared" si="100"/>
        <v>5.983333333</v>
      </c>
      <c r="J282" s="51">
        <f t="shared" si="5"/>
        <v>0</v>
      </c>
      <c r="K282" s="52">
        <f t="shared" si="103"/>
        <v>26283.68794</v>
      </c>
      <c r="L282" s="52"/>
      <c r="M282" s="59">
        <v>200000.0</v>
      </c>
      <c r="N282" s="52">
        <f t="shared" si="81"/>
        <v>4312.056738</v>
      </c>
      <c r="O282" s="53">
        <f t="shared" si="8"/>
        <v>-178028.3688</v>
      </c>
      <c r="P282" s="54"/>
    </row>
    <row r="283" ht="26.25" hidden="1" customHeight="1">
      <c r="A283" s="44">
        <v>45912.0</v>
      </c>
      <c r="B283" s="45" t="str">
        <f t="shared" si="1"/>
        <v>الجمعة</v>
      </c>
      <c r="C283" s="46" t="s">
        <v>30</v>
      </c>
      <c r="D283" s="61">
        <v>400000.0</v>
      </c>
      <c r="E283" s="56">
        <v>0.14583333333333334</v>
      </c>
      <c r="F283" s="56">
        <v>0.7916666666666666</v>
      </c>
      <c r="G283" s="50">
        <f t="shared" si="2"/>
        <v>1702.12766</v>
      </c>
      <c r="H283" s="51">
        <f t="shared" si="102"/>
        <v>9</v>
      </c>
      <c r="I283" s="57">
        <v>0.0</v>
      </c>
      <c r="J283" s="51">
        <f t="shared" si="5"/>
        <v>15.5</v>
      </c>
      <c r="K283" s="52">
        <f>(J283*G283*2)</f>
        <v>52765.95745</v>
      </c>
      <c r="L283" s="52"/>
      <c r="M283" s="52"/>
      <c r="N283" s="52">
        <f t="shared" si="81"/>
        <v>0</v>
      </c>
      <c r="O283" s="53">
        <f t="shared" si="8"/>
        <v>52765.95745</v>
      </c>
      <c r="P283" s="54"/>
    </row>
    <row r="284" ht="26.25" hidden="1" customHeight="1">
      <c r="A284" s="44">
        <v>45913.0</v>
      </c>
      <c r="B284" s="45" t="str">
        <f t="shared" si="1"/>
        <v>السبت</v>
      </c>
      <c r="C284" s="46" t="s">
        <v>30</v>
      </c>
      <c r="D284" s="61">
        <v>400000.0</v>
      </c>
      <c r="E284" s="62"/>
      <c r="F284" s="62"/>
      <c r="G284" s="50">
        <f t="shared" si="2"/>
        <v>1702.12766</v>
      </c>
      <c r="H284" s="57">
        <v>0.0</v>
      </c>
      <c r="I284" s="51">
        <f t="shared" ref="I284:I289" si="104">MAX(0,(MOD(F284-E284,1)*24)-H284)</f>
        <v>0</v>
      </c>
      <c r="J284" s="51">
        <f t="shared" si="5"/>
        <v>0</v>
      </c>
      <c r="K284" s="52">
        <f t="shared" ref="K284:K289" si="105">(H284*G284)+(I284*G284*1.5)+(J284*G284*2)</f>
        <v>0</v>
      </c>
      <c r="L284" s="52"/>
      <c r="M284" s="52"/>
      <c r="N284" s="52">
        <f t="shared" si="81"/>
        <v>0</v>
      </c>
      <c r="O284" s="53">
        <f t="shared" si="8"/>
        <v>0</v>
      </c>
      <c r="P284" s="54"/>
    </row>
    <row r="285" ht="26.25" hidden="1" customHeight="1">
      <c r="A285" s="44">
        <v>45914.0</v>
      </c>
      <c r="B285" s="45" t="str">
        <f t="shared" si="1"/>
        <v>الأحد</v>
      </c>
      <c r="C285" s="46" t="s">
        <v>30</v>
      </c>
      <c r="D285" s="61">
        <v>400000.0</v>
      </c>
      <c r="E285" s="62"/>
      <c r="F285" s="62"/>
      <c r="G285" s="50">
        <f t="shared" si="2"/>
        <v>1702.12766</v>
      </c>
      <c r="H285" s="57">
        <v>0.0</v>
      </c>
      <c r="I285" s="51">
        <f t="shared" si="104"/>
        <v>0</v>
      </c>
      <c r="J285" s="51">
        <f t="shared" si="5"/>
        <v>0</v>
      </c>
      <c r="K285" s="52">
        <f t="shared" si="105"/>
        <v>0</v>
      </c>
      <c r="L285" s="52"/>
      <c r="M285" s="52"/>
      <c r="N285" s="52">
        <f t="shared" si="81"/>
        <v>0</v>
      </c>
      <c r="O285" s="53">
        <f t="shared" si="8"/>
        <v>0</v>
      </c>
      <c r="P285" s="54"/>
    </row>
    <row r="286" ht="26.25" hidden="1" customHeight="1">
      <c r="A286" s="44">
        <v>45915.0</v>
      </c>
      <c r="B286" s="45" t="str">
        <f t="shared" si="1"/>
        <v>الاثنين</v>
      </c>
      <c r="C286" s="46" t="s">
        <v>30</v>
      </c>
      <c r="D286" s="61">
        <v>400000.0</v>
      </c>
      <c r="E286" s="62">
        <v>0.375</v>
      </c>
      <c r="F286" s="62">
        <v>0.9333333333333333</v>
      </c>
      <c r="G286" s="50">
        <f t="shared" si="2"/>
        <v>1702.12766</v>
      </c>
      <c r="H286" s="51">
        <f t="shared" ref="H286:H288" si="106">MIN(9,MAX(0,(MIN(F286,TIME(18,0,0))-MAX(E286,TIME(9,0,0)))*24))</f>
        <v>9</v>
      </c>
      <c r="I286" s="51">
        <f t="shared" si="104"/>
        <v>4.4</v>
      </c>
      <c r="J286" s="51">
        <f t="shared" si="5"/>
        <v>0</v>
      </c>
      <c r="K286" s="52">
        <f t="shared" si="105"/>
        <v>26553.19149</v>
      </c>
      <c r="L286" s="52"/>
      <c r="M286" s="52"/>
      <c r="N286" s="52">
        <f t="shared" si="81"/>
        <v>0</v>
      </c>
      <c r="O286" s="53">
        <f t="shared" si="8"/>
        <v>26553.19149</v>
      </c>
      <c r="P286" s="54"/>
    </row>
    <row r="287" ht="26.25" hidden="1" customHeight="1">
      <c r="A287" s="44">
        <v>45916.0</v>
      </c>
      <c r="B287" s="45" t="str">
        <f t="shared" si="1"/>
        <v>الثلاثاء</v>
      </c>
      <c r="C287" s="46" t="s">
        <v>30</v>
      </c>
      <c r="D287" s="61">
        <v>400000.0</v>
      </c>
      <c r="E287" s="62">
        <v>0.36527777777777776</v>
      </c>
      <c r="F287" s="62">
        <v>0.8902777777777777</v>
      </c>
      <c r="G287" s="50">
        <f t="shared" si="2"/>
        <v>1702.12766</v>
      </c>
      <c r="H287" s="51">
        <f t="shared" si="106"/>
        <v>9</v>
      </c>
      <c r="I287" s="51">
        <f t="shared" si="104"/>
        <v>3.6</v>
      </c>
      <c r="J287" s="51">
        <f t="shared" si="5"/>
        <v>0</v>
      </c>
      <c r="K287" s="52">
        <f t="shared" si="105"/>
        <v>24510.6383</v>
      </c>
      <c r="L287" s="52"/>
      <c r="M287" s="52"/>
      <c r="N287" s="52">
        <f t="shared" si="81"/>
        <v>0</v>
      </c>
      <c r="O287" s="53">
        <f t="shared" si="8"/>
        <v>24510.6383</v>
      </c>
      <c r="P287" s="54"/>
    </row>
    <row r="288" ht="26.25" hidden="1" customHeight="1">
      <c r="A288" s="44">
        <v>45917.0</v>
      </c>
      <c r="B288" s="45" t="str">
        <f t="shared" si="1"/>
        <v>الأربعاء</v>
      </c>
      <c r="C288" s="46" t="s">
        <v>30</v>
      </c>
      <c r="D288" s="61">
        <v>400000.0</v>
      </c>
      <c r="E288" s="62">
        <v>0.3729166666666667</v>
      </c>
      <c r="F288" s="62">
        <v>0.04791666666666667</v>
      </c>
      <c r="G288" s="50">
        <f t="shared" si="2"/>
        <v>1702.12766</v>
      </c>
      <c r="H288" s="51">
        <f t="shared" si="106"/>
        <v>0</v>
      </c>
      <c r="I288" s="51">
        <f t="shared" si="104"/>
        <v>16.2</v>
      </c>
      <c r="J288" s="51">
        <f t="shared" si="5"/>
        <v>0</v>
      </c>
      <c r="K288" s="52">
        <f t="shared" si="105"/>
        <v>41361.70213</v>
      </c>
      <c r="L288" s="52"/>
      <c r="M288" s="52"/>
      <c r="N288" s="52">
        <f t="shared" si="81"/>
        <v>0</v>
      </c>
      <c r="O288" s="53">
        <f t="shared" si="8"/>
        <v>41361.70213</v>
      </c>
      <c r="P288" s="54"/>
    </row>
    <row r="289" ht="26.25" hidden="1" customHeight="1">
      <c r="A289" s="44">
        <v>45918.0</v>
      </c>
      <c r="B289" s="45" t="str">
        <f t="shared" si="1"/>
        <v>الخميس</v>
      </c>
      <c r="C289" s="46" t="s">
        <v>30</v>
      </c>
      <c r="D289" s="61">
        <v>400000.0</v>
      </c>
      <c r="E289" s="62"/>
      <c r="F289" s="62"/>
      <c r="G289" s="50">
        <f t="shared" si="2"/>
        <v>1702.12766</v>
      </c>
      <c r="H289" s="57">
        <v>0.0</v>
      </c>
      <c r="I289" s="51">
        <f t="shared" si="104"/>
        <v>0</v>
      </c>
      <c r="J289" s="51">
        <f t="shared" si="5"/>
        <v>0</v>
      </c>
      <c r="K289" s="52">
        <f t="shared" si="105"/>
        <v>0</v>
      </c>
      <c r="L289" s="52"/>
      <c r="M289" s="59">
        <v>50000.0</v>
      </c>
      <c r="N289" s="52">
        <f t="shared" si="81"/>
        <v>0</v>
      </c>
      <c r="O289" s="53">
        <f t="shared" si="8"/>
        <v>-50000</v>
      </c>
      <c r="P289" s="54"/>
    </row>
    <row r="290" ht="26.25" hidden="1" customHeight="1">
      <c r="A290" s="44">
        <v>45919.0</v>
      </c>
      <c r="B290" s="45" t="str">
        <f t="shared" si="1"/>
        <v>الجمعة</v>
      </c>
      <c r="C290" s="46" t="s">
        <v>30</v>
      </c>
      <c r="D290" s="61">
        <v>400000.0</v>
      </c>
      <c r="E290" s="62">
        <v>0.5576388888888889</v>
      </c>
      <c r="F290" s="62">
        <v>0.8375</v>
      </c>
      <c r="G290" s="50">
        <f t="shared" si="2"/>
        <v>1702.12766</v>
      </c>
      <c r="H290" s="51">
        <f t="shared" ref="H290:H296" si="107">MIN(9,MAX(0,(MIN(F290,TIME(18,0,0))-MAX(E290,TIME(9,0,0)))*24))</f>
        <v>4.616666667</v>
      </c>
      <c r="I290" s="57">
        <v>0.0</v>
      </c>
      <c r="J290" s="51">
        <f t="shared" si="5"/>
        <v>6.716666667</v>
      </c>
      <c r="K290" s="52">
        <f>(J290*G290*2)</f>
        <v>22865.24823</v>
      </c>
      <c r="L290" s="52"/>
      <c r="M290" s="52"/>
      <c r="N290" s="52">
        <f t="shared" si="81"/>
        <v>0</v>
      </c>
      <c r="O290" s="53">
        <f t="shared" si="8"/>
        <v>22865.24823</v>
      </c>
      <c r="P290" s="54"/>
    </row>
    <row r="291" ht="26.25" hidden="1" customHeight="1">
      <c r="A291" s="44">
        <v>45920.0</v>
      </c>
      <c r="B291" s="45" t="str">
        <f t="shared" si="1"/>
        <v>السبت</v>
      </c>
      <c r="C291" s="46" t="s">
        <v>30</v>
      </c>
      <c r="D291" s="61">
        <v>400000.0</v>
      </c>
      <c r="E291" s="62">
        <v>0.375</v>
      </c>
      <c r="F291" s="62">
        <v>0.75</v>
      </c>
      <c r="G291" s="50">
        <f t="shared" si="2"/>
        <v>1702.12766</v>
      </c>
      <c r="H291" s="51">
        <f t="shared" si="107"/>
        <v>9</v>
      </c>
      <c r="I291" s="51">
        <f t="shared" ref="I291:I331" si="108">MAX(0,(MOD(F291-E291,1)*24)-H291)</f>
        <v>0</v>
      </c>
      <c r="J291" s="51">
        <f t="shared" si="5"/>
        <v>0</v>
      </c>
      <c r="K291" s="52">
        <f t="shared" ref="K291:K296" si="109">(H291*G291)+(I291*G291*1.5)+(J291*G291*2)</f>
        <v>15319.14894</v>
      </c>
      <c r="L291" s="52"/>
      <c r="M291" s="52"/>
      <c r="N291" s="52">
        <f t="shared" si="81"/>
        <v>0</v>
      </c>
      <c r="O291" s="53">
        <f t="shared" si="8"/>
        <v>15319.14894</v>
      </c>
      <c r="P291" s="54"/>
    </row>
    <row r="292" ht="26.25" hidden="1" customHeight="1">
      <c r="A292" s="44">
        <v>45921.0</v>
      </c>
      <c r="B292" s="45" t="str">
        <f t="shared" si="1"/>
        <v>الأحد</v>
      </c>
      <c r="C292" s="46" t="s">
        <v>30</v>
      </c>
      <c r="D292" s="61">
        <v>400000.0</v>
      </c>
      <c r="E292" s="62">
        <v>0.40625</v>
      </c>
      <c r="F292" s="62">
        <v>0.7541666666666667</v>
      </c>
      <c r="G292" s="50">
        <f t="shared" si="2"/>
        <v>1702.12766</v>
      </c>
      <c r="H292" s="51">
        <f t="shared" si="107"/>
        <v>8.25</v>
      </c>
      <c r="I292" s="51">
        <f t="shared" si="108"/>
        <v>0.1</v>
      </c>
      <c r="J292" s="51">
        <f t="shared" si="5"/>
        <v>0</v>
      </c>
      <c r="K292" s="52">
        <f t="shared" si="109"/>
        <v>14297.87234</v>
      </c>
      <c r="L292" s="52"/>
      <c r="M292" s="52"/>
      <c r="N292" s="52">
        <f t="shared" si="81"/>
        <v>1276.595745</v>
      </c>
      <c r="O292" s="53">
        <f t="shared" si="8"/>
        <v>13021.2766</v>
      </c>
      <c r="P292" s="46" t="s">
        <v>19</v>
      </c>
    </row>
    <row r="293" ht="26.25" hidden="1" customHeight="1">
      <c r="A293" s="44">
        <v>45922.0</v>
      </c>
      <c r="B293" s="45" t="str">
        <f t="shared" si="1"/>
        <v>الاثنين</v>
      </c>
      <c r="C293" s="46" t="s">
        <v>30</v>
      </c>
      <c r="D293" s="61">
        <v>400000.0</v>
      </c>
      <c r="E293" s="62">
        <v>0.39375</v>
      </c>
      <c r="F293" s="62">
        <v>0.7493055555555556</v>
      </c>
      <c r="G293" s="50">
        <f t="shared" si="2"/>
        <v>1702.12766</v>
      </c>
      <c r="H293" s="51">
        <f t="shared" si="107"/>
        <v>8.533333333</v>
      </c>
      <c r="I293" s="51">
        <f t="shared" si="108"/>
        <v>0</v>
      </c>
      <c r="J293" s="51">
        <f t="shared" si="5"/>
        <v>0</v>
      </c>
      <c r="K293" s="52">
        <f t="shared" si="109"/>
        <v>14524.8227</v>
      </c>
      <c r="L293" s="52"/>
      <c r="M293" s="52"/>
      <c r="N293" s="52">
        <f t="shared" si="81"/>
        <v>765.9574468</v>
      </c>
      <c r="O293" s="53">
        <f t="shared" si="8"/>
        <v>13758.86525</v>
      </c>
      <c r="P293" s="54"/>
    </row>
    <row r="294" ht="26.25" hidden="1" customHeight="1">
      <c r="A294" s="44">
        <v>45923.0</v>
      </c>
      <c r="B294" s="45" t="str">
        <f t="shared" si="1"/>
        <v>الثلاثاء</v>
      </c>
      <c r="C294" s="46" t="s">
        <v>30</v>
      </c>
      <c r="D294" s="61">
        <v>400000.0</v>
      </c>
      <c r="E294" s="62">
        <v>0.44930555555555557</v>
      </c>
      <c r="F294" s="62">
        <v>0.8048611111111111</v>
      </c>
      <c r="G294" s="50">
        <f t="shared" si="2"/>
        <v>1702.12766</v>
      </c>
      <c r="H294" s="51">
        <f t="shared" si="107"/>
        <v>7.216666667</v>
      </c>
      <c r="I294" s="51">
        <f t="shared" si="108"/>
        <v>1.316666667</v>
      </c>
      <c r="J294" s="51">
        <f t="shared" si="5"/>
        <v>0</v>
      </c>
      <c r="K294" s="52">
        <f t="shared" si="109"/>
        <v>15645.39007</v>
      </c>
      <c r="L294" s="52"/>
      <c r="M294" s="59">
        <v>15000.0</v>
      </c>
      <c r="N294" s="52">
        <f t="shared" si="81"/>
        <v>3035.460993</v>
      </c>
      <c r="O294" s="53">
        <f t="shared" si="8"/>
        <v>-2390.070922</v>
      </c>
      <c r="P294" s="54"/>
    </row>
    <row r="295" ht="26.25" hidden="1" customHeight="1">
      <c r="A295" s="44">
        <v>45924.0</v>
      </c>
      <c r="B295" s="45" t="str">
        <f t="shared" si="1"/>
        <v>الأربعاء</v>
      </c>
      <c r="C295" s="46" t="s">
        <v>30</v>
      </c>
      <c r="D295" s="61">
        <v>400000.0</v>
      </c>
      <c r="E295" s="62">
        <v>0.3875</v>
      </c>
      <c r="F295" s="62">
        <v>0.75</v>
      </c>
      <c r="G295" s="50">
        <f t="shared" si="2"/>
        <v>1702.12766</v>
      </c>
      <c r="H295" s="51">
        <f t="shared" si="107"/>
        <v>8.7</v>
      </c>
      <c r="I295" s="51">
        <f t="shared" si="108"/>
        <v>0</v>
      </c>
      <c r="J295" s="51">
        <f t="shared" si="5"/>
        <v>0</v>
      </c>
      <c r="K295" s="52">
        <f t="shared" si="109"/>
        <v>14808.51064</v>
      </c>
      <c r="L295" s="52"/>
      <c r="M295" s="52"/>
      <c r="N295" s="52">
        <f t="shared" si="81"/>
        <v>510.6382979</v>
      </c>
      <c r="O295" s="53">
        <f t="shared" si="8"/>
        <v>14297.87234</v>
      </c>
      <c r="P295" s="54"/>
    </row>
    <row r="296" ht="26.25" hidden="1" customHeight="1">
      <c r="A296" s="44">
        <v>45925.0</v>
      </c>
      <c r="B296" s="45" t="str">
        <f t="shared" si="1"/>
        <v>الخميس</v>
      </c>
      <c r="C296" s="46" t="s">
        <v>30</v>
      </c>
      <c r="D296" s="61">
        <v>400000.0</v>
      </c>
      <c r="E296" s="62">
        <v>0.4166666666666667</v>
      </c>
      <c r="F296" s="62">
        <v>0.7597222222222222</v>
      </c>
      <c r="G296" s="50">
        <f t="shared" si="2"/>
        <v>1702.12766</v>
      </c>
      <c r="H296" s="51">
        <f t="shared" si="107"/>
        <v>8</v>
      </c>
      <c r="I296" s="51">
        <f t="shared" si="108"/>
        <v>0.2333333333</v>
      </c>
      <c r="J296" s="51">
        <f t="shared" si="5"/>
        <v>0</v>
      </c>
      <c r="K296" s="52">
        <f t="shared" si="109"/>
        <v>14212.76596</v>
      </c>
      <c r="L296" s="52"/>
      <c r="M296" s="59">
        <v>25000.0</v>
      </c>
      <c r="N296" s="52">
        <f t="shared" si="81"/>
        <v>1702.12766</v>
      </c>
      <c r="O296" s="53">
        <f t="shared" si="8"/>
        <v>-12489.3617</v>
      </c>
      <c r="P296" s="54"/>
    </row>
    <row r="297" ht="26.25" hidden="1" customHeight="1">
      <c r="A297" s="44">
        <v>45926.0</v>
      </c>
      <c r="B297" s="45" t="str">
        <f t="shared" si="1"/>
        <v>الجمعة</v>
      </c>
      <c r="C297" s="46" t="s">
        <v>30</v>
      </c>
      <c r="D297" s="61">
        <v>400000.0</v>
      </c>
      <c r="E297" s="62"/>
      <c r="F297" s="62"/>
      <c r="G297" s="50">
        <f t="shared" si="2"/>
        <v>1702.12766</v>
      </c>
      <c r="H297" s="57">
        <v>0.0</v>
      </c>
      <c r="I297" s="51">
        <f t="shared" si="108"/>
        <v>0</v>
      </c>
      <c r="J297" s="51">
        <f t="shared" si="5"/>
        <v>0</v>
      </c>
      <c r="K297" s="52">
        <f>(J297*G297*2)</f>
        <v>0</v>
      </c>
      <c r="L297" s="52"/>
      <c r="M297" s="52"/>
      <c r="N297" s="52">
        <f t="shared" si="81"/>
        <v>0</v>
      </c>
      <c r="O297" s="53">
        <f t="shared" si="8"/>
        <v>0</v>
      </c>
      <c r="P297" s="54"/>
    </row>
    <row r="298" ht="26.25" hidden="1" customHeight="1">
      <c r="A298" s="44">
        <v>45927.0</v>
      </c>
      <c r="B298" s="45" t="str">
        <f t="shared" si="1"/>
        <v>السبت</v>
      </c>
      <c r="C298" s="46" t="s">
        <v>30</v>
      </c>
      <c r="D298" s="61">
        <v>400000.0</v>
      </c>
      <c r="E298" s="62">
        <v>0.4166666666666667</v>
      </c>
      <c r="F298" s="62">
        <v>0.7541666666666667</v>
      </c>
      <c r="G298" s="50">
        <f t="shared" si="2"/>
        <v>1702.12766</v>
      </c>
      <c r="H298" s="51">
        <f>MIN(9,MAX(0,(MIN(F298,TIME(18,0,0))-MAX(E298,TIME(9,0,0)))*24))</f>
        <v>8</v>
      </c>
      <c r="I298" s="51">
        <f t="shared" si="108"/>
        <v>0.1</v>
      </c>
      <c r="J298" s="51">
        <f t="shared" si="5"/>
        <v>0</v>
      </c>
      <c r="K298" s="52">
        <f t="shared" ref="K298:K331" si="110">(H298*G298)+(I298*G298*1.5)+(J298*G298*2)</f>
        <v>13872.34043</v>
      </c>
      <c r="L298" s="52"/>
      <c r="M298" s="59">
        <v>85000.0</v>
      </c>
      <c r="N298" s="52">
        <f t="shared" si="81"/>
        <v>1702.12766</v>
      </c>
      <c r="O298" s="53">
        <f t="shared" si="8"/>
        <v>-72829.78723</v>
      </c>
      <c r="P298" s="54"/>
    </row>
    <row r="299" ht="26.25" hidden="1" customHeight="1">
      <c r="A299" s="44">
        <v>45928.0</v>
      </c>
      <c r="B299" s="45" t="str">
        <f t="shared" si="1"/>
        <v>الأحد</v>
      </c>
      <c r="C299" s="46" t="s">
        <v>30</v>
      </c>
      <c r="D299" s="61">
        <v>400000.0</v>
      </c>
      <c r="E299" s="62"/>
      <c r="F299" s="56"/>
      <c r="G299" s="50">
        <f t="shared" si="2"/>
        <v>1702.12766</v>
      </c>
      <c r="H299" s="57">
        <v>0.0</v>
      </c>
      <c r="I299" s="51">
        <f t="shared" si="108"/>
        <v>0</v>
      </c>
      <c r="J299" s="51">
        <f t="shared" si="5"/>
        <v>0</v>
      </c>
      <c r="K299" s="52">
        <f t="shared" si="110"/>
        <v>0</v>
      </c>
      <c r="L299" s="52"/>
      <c r="M299" s="52"/>
      <c r="N299" s="52">
        <f t="shared" si="81"/>
        <v>0</v>
      </c>
      <c r="O299" s="53">
        <f t="shared" si="8"/>
        <v>0</v>
      </c>
      <c r="P299" s="54"/>
    </row>
    <row r="300" ht="26.25" hidden="1" customHeight="1">
      <c r="A300" s="44">
        <v>45929.0</v>
      </c>
      <c r="B300" s="45" t="str">
        <f t="shared" si="1"/>
        <v>الاثنين</v>
      </c>
      <c r="C300" s="46" t="s">
        <v>30</v>
      </c>
      <c r="D300" s="61">
        <v>400000.0</v>
      </c>
      <c r="E300" s="62"/>
      <c r="F300" s="56"/>
      <c r="G300" s="50">
        <f t="shared" si="2"/>
        <v>1702.12766</v>
      </c>
      <c r="H300" s="57">
        <v>0.0</v>
      </c>
      <c r="I300" s="51">
        <f t="shared" si="108"/>
        <v>0</v>
      </c>
      <c r="J300" s="51">
        <f t="shared" si="5"/>
        <v>0</v>
      </c>
      <c r="K300" s="52">
        <f t="shared" si="110"/>
        <v>0</v>
      </c>
      <c r="L300" s="52"/>
      <c r="M300" s="52"/>
      <c r="N300" s="52">
        <f t="shared" si="81"/>
        <v>0</v>
      </c>
      <c r="O300" s="53">
        <f t="shared" si="8"/>
        <v>0</v>
      </c>
      <c r="P300" s="54"/>
    </row>
    <row r="301" ht="26.25" hidden="1" customHeight="1">
      <c r="A301" s="44">
        <v>45930.0</v>
      </c>
      <c r="B301" s="45" t="str">
        <f t="shared" si="1"/>
        <v>الثلاثاء</v>
      </c>
      <c r="C301" s="46" t="s">
        <v>30</v>
      </c>
      <c r="D301" s="61">
        <v>400000.0</v>
      </c>
      <c r="E301" s="62"/>
      <c r="F301" s="56"/>
      <c r="G301" s="50">
        <f t="shared" si="2"/>
        <v>1702.12766</v>
      </c>
      <c r="H301" s="57">
        <v>0.0</v>
      </c>
      <c r="I301" s="51">
        <f t="shared" si="108"/>
        <v>0</v>
      </c>
      <c r="J301" s="51">
        <f t="shared" si="5"/>
        <v>0</v>
      </c>
      <c r="K301" s="52">
        <f t="shared" si="110"/>
        <v>0</v>
      </c>
      <c r="L301" s="52"/>
      <c r="M301" s="52"/>
      <c r="N301" s="52">
        <f t="shared" si="81"/>
        <v>0</v>
      </c>
      <c r="O301" s="53">
        <f t="shared" si="8"/>
        <v>0</v>
      </c>
      <c r="P301" s="54"/>
    </row>
    <row r="302" ht="26.25" hidden="1" customHeight="1">
      <c r="A302" s="44">
        <v>45901.0</v>
      </c>
      <c r="B302" s="45" t="str">
        <f t="shared" si="1"/>
        <v>الاثنين</v>
      </c>
      <c r="C302" s="63" t="s">
        <v>31</v>
      </c>
      <c r="D302" s="47">
        <v>700000.0</v>
      </c>
      <c r="E302" s="64">
        <v>0.39375</v>
      </c>
      <c r="F302" s="49">
        <v>0.7409722222222223</v>
      </c>
      <c r="G302" s="50">
        <f t="shared" si="2"/>
        <v>2978.723404</v>
      </c>
      <c r="H302" s="57">
        <f t="shared" ref="H302:H305" si="111">MIN(9,MAX(0,(MIN(F302,TIME(18,0,0))-MAX(E302,TIME(9,0,0)))*24))</f>
        <v>8.333333333</v>
      </c>
      <c r="I302" s="51">
        <f t="shared" si="108"/>
        <v>0</v>
      </c>
      <c r="J302" s="51">
        <f t="shared" si="5"/>
        <v>0</v>
      </c>
      <c r="K302" s="52">
        <f t="shared" si="110"/>
        <v>24822.69504</v>
      </c>
      <c r="L302" s="52"/>
      <c r="M302" s="52"/>
      <c r="N302" s="52">
        <f t="shared" si="81"/>
        <v>1340.425532</v>
      </c>
      <c r="O302" s="53">
        <f t="shared" si="8"/>
        <v>23482.2695</v>
      </c>
      <c r="P302" s="54"/>
    </row>
    <row r="303" ht="26.25" hidden="1" customHeight="1">
      <c r="A303" s="44">
        <v>45902.0</v>
      </c>
      <c r="B303" s="45" t="str">
        <f t="shared" si="1"/>
        <v>الثلاثاء</v>
      </c>
      <c r="C303" s="63" t="s">
        <v>31</v>
      </c>
      <c r="D303" s="47">
        <v>700000.0</v>
      </c>
      <c r="E303" s="64">
        <v>0.42083333333333334</v>
      </c>
      <c r="F303" s="49">
        <v>0.6520833333333333</v>
      </c>
      <c r="G303" s="50">
        <f t="shared" si="2"/>
        <v>2978.723404</v>
      </c>
      <c r="H303" s="57">
        <f t="shared" si="111"/>
        <v>5.55</v>
      </c>
      <c r="I303" s="51">
        <f t="shared" si="108"/>
        <v>0</v>
      </c>
      <c r="J303" s="51">
        <f t="shared" si="5"/>
        <v>0</v>
      </c>
      <c r="K303" s="52">
        <f t="shared" si="110"/>
        <v>16531.91489</v>
      </c>
      <c r="L303" s="52"/>
      <c r="M303" s="52"/>
      <c r="N303" s="52">
        <f t="shared" si="81"/>
        <v>3276.595745</v>
      </c>
      <c r="O303" s="53">
        <f t="shared" si="8"/>
        <v>13255.31915</v>
      </c>
      <c r="P303" s="54"/>
    </row>
    <row r="304" ht="26.25" hidden="1" customHeight="1">
      <c r="A304" s="44">
        <v>45903.0</v>
      </c>
      <c r="B304" s="45" t="str">
        <f t="shared" si="1"/>
        <v>الأربعاء</v>
      </c>
      <c r="C304" s="63" t="s">
        <v>31</v>
      </c>
      <c r="D304" s="47">
        <v>700000.0</v>
      </c>
      <c r="E304" s="64">
        <v>0.4097222222222222</v>
      </c>
      <c r="F304" s="49">
        <v>0.75</v>
      </c>
      <c r="G304" s="50">
        <f t="shared" si="2"/>
        <v>2978.723404</v>
      </c>
      <c r="H304" s="57">
        <f t="shared" si="111"/>
        <v>8.166666667</v>
      </c>
      <c r="I304" s="51">
        <f t="shared" si="108"/>
        <v>0</v>
      </c>
      <c r="J304" s="51">
        <f t="shared" si="5"/>
        <v>0</v>
      </c>
      <c r="K304" s="52">
        <f t="shared" si="110"/>
        <v>24326.24113</v>
      </c>
      <c r="L304" s="52"/>
      <c r="M304" s="52"/>
      <c r="N304" s="52">
        <f t="shared" si="81"/>
        <v>2482.269504</v>
      </c>
      <c r="O304" s="53">
        <f t="shared" si="8"/>
        <v>21843.97163</v>
      </c>
      <c r="P304" s="54"/>
    </row>
    <row r="305" ht="26.25" hidden="1" customHeight="1">
      <c r="A305" s="44">
        <v>45904.0</v>
      </c>
      <c r="B305" s="45" t="str">
        <f t="shared" si="1"/>
        <v>الخميس</v>
      </c>
      <c r="C305" s="63" t="s">
        <v>31</v>
      </c>
      <c r="D305" s="47">
        <v>700000.0</v>
      </c>
      <c r="E305" s="64">
        <v>0.4409722222222222</v>
      </c>
      <c r="F305" s="49">
        <v>0.75</v>
      </c>
      <c r="G305" s="50">
        <f t="shared" si="2"/>
        <v>2978.723404</v>
      </c>
      <c r="H305" s="57">
        <f t="shared" si="111"/>
        <v>7.416666667</v>
      </c>
      <c r="I305" s="51">
        <f t="shared" si="108"/>
        <v>0</v>
      </c>
      <c r="J305" s="51">
        <f t="shared" si="5"/>
        <v>0</v>
      </c>
      <c r="K305" s="52">
        <f t="shared" si="110"/>
        <v>22092.19858</v>
      </c>
      <c r="L305" s="52"/>
      <c r="M305" s="52"/>
      <c r="N305" s="52">
        <f t="shared" si="81"/>
        <v>4716.312057</v>
      </c>
      <c r="O305" s="53">
        <f t="shared" si="8"/>
        <v>17375.88652</v>
      </c>
      <c r="P305" s="54"/>
    </row>
    <row r="306" ht="26.25" hidden="1" customHeight="1">
      <c r="A306" s="44">
        <v>45905.0</v>
      </c>
      <c r="B306" s="45" t="str">
        <f t="shared" si="1"/>
        <v>الجمعة</v>
      </c>
      <c r="C306" s="63" t="s">
        <v>31</v>
      </c>
      <c r="D306" s="47">
        <v>700000.0</v>
      </c>
      <c r="E306" s="62"/>
      <c r="F306" s="56"/>
      <c r="G306" s="50">
        <f t="shared" si="2"/>
        <v>2978.723404</v>
      </c>
      <c r="H306" s="57">
        <v>0.0</v>
      </c>
      <c r="I306" s="51">
        <f t="shared" si="108"/>
        <v>0</v>
      </c>
      <c r="J306" s="51">
        <f t="shared" si="5"/>
        <v>0</v>
      </c>
      <c r="K306" s="52">
        <f t="shared" si="110"/>
        <v>0</v>
      </c>
      <c r="L306" s="52"/>
      <c r="M306" s="52"/>
      <c r="N306" s="52">
        <f t="shared" si="81"/>
        <v>0</v>
      </c>
      <c r="O306" s="53">
        <f t="shared" si="8"/>
        <v>0</v>
      </c>
      <c r="P306" s="54"/>
    </row>
    <row r="307" ht="26.25" hidden="1" customHeight="1">
      <c r="A307" s="44">
        <v>45906.0</v>
      </c>
      <c r="B307" s="45" t="str">
        <f t="shared" si="1"/>
        <v>السبت</v>
      </c>
      <c r="C307" s="63" t="s">
        <v>31</v>
      </c>
      <c r="D307" s="47">
        <v>700000.0</v>
      </c>
      <c r="E307" s="64">
        <v>0.46597222222222223</v>
      </c>
      <c r="F307" s="49">
        <v>0.75</v>
      </c>
      <c r="G307" s="50">
        <f t="shared" si="2"/>
        <v>2978.723404</v>
      </c>
      <c r="H307" s="57">
        <f t="shared" ref="H307:H310" si="112">MIN(9,MAX(0,(MIN(F307,TIME(18,0,0))-MAX(E307,TIME(9,0,0)))*24))</f>
        <v>6.816666667</v>
      </c>
      <c r="I307" s="51">
        <f t="shared" si="108"/>
        <v>0</v>
      </c>
      <c r="J307" s="51">
        <f t="shared" si="5"/>
        <v>0</v>
      </c>
      <c r="K307" s="52">
        <f t="shared" si="110"/>
        <v>20304.96454</v>
      </c>
      <c r="L307" s="52"/>
      <c r="M307" s="52"/>
      <c r="N307" s="52">
        <f t="shared" si="81"/>
        <v>6503.546099</v>
      </c>
      <c r="O307" s="53">
        <f t="shared" si="8"/>
        <v>13801.41844</v>
      </c>
      <c r="P307" s="54"/>
    </row>
    <row r="308" ht="26.25" hidden="1" customHeight="1">
      <c r="A308" s="44">
        <v>45907.0</v>
      </c>
      <c r="B308" s="45" t="str">
        <f t="shared" si="1"/>
        <v>الأحد</v>
      </c>
      <c r="C308" s="63" t="s">
        <v>31</v>
      </c>
      <c r="D308" s="47">
        <v>700000.0</v>
      </c>
      <c r="E308" s="64">
        <v>0.43680555555555556</v>
      </c>
      <c r="F308" s="49">
        <v>0.8083333333333333</v>
      </c>
      <c r="G308" s="50">
        <f t="shared" si="2"/>
        <v>2978.723404</v>
      </c>
      <c r="H308" s="57">
        <f t="shared" si="112"/>
        <v>7.516666667</v>
      </c>
      <c r="I308" s="51">
        <f t="shared" si="108"/>
        <v>1.4</v>
      </c>
      <c r="J308" s="51">
        <f t="shared" si="5"/>
        <v>0</v>
      </c>
      <c r="K308" s="52">
        <f t="shared" si="110"/>
        <v>28645.39007</v>
      </c>
      <c r="L308" s="52"/>
      <c r="M308" s="52"/>
      <c r="N308" s="52">
        <f t="shared" si="81"/>
        <v>4418.439716</v>
      </c>
      <c r="O308" s="53">
        <f t="shared" si="8"/>
        <v>24226.95035</v>
      </c>
      <c r="P308" s="54"/>
    </row>
    <row r="309" ht="26.25" hidden="1" customHeight="1">
      <c r="A309" s="44">
        <v>45908.0</v>
      </c>
      <c r="B309" s="45" t="str">
        <f t="shared" si="1"/>
        <v>الاثنين</v>
      </c>
      <c r="C309" s="63" t="s">
        <v>31</v>
      </c>
      <c r="D309" s="47">
        <v>700000.0</v>
      </c>
      <c r="E309" s="64">
        <v>0.40902777777777777</v>
      </c>
      <c r="F309" s="49">
        <v>0.7784722222222222</v>
      </c>
      <c r="G309" s="50">
        <f t="shared" si="2"/>
        <v>2978.723404</v>
      </c>
      <c r="H309" s="57">
        <f t="shared" si="112"/>
        <v>8.183333333</v>
      </c>
      <c r="I309" s="51">
        <f t="shared" si="108"/>
        <v>0.6833333333</v>
      </c>
      <c r="J309" s="51">
        <f t="shared" si="5"/>
        <v>0</v>
      </c>
      <c r="K309" s="52">
        <f t="shared" si="110"/>
        <v>27429.07801</v>
      </c>
      <c r="L309" s="52"/>
      <c r="M309" s="52"/>
      <c r="N309" s="52">
        <f t="shared" si="81"/>
        <v>2432.624113</v>
      </c>
      <c r="O309" s="53">
        <f t="shared" si="8"/>
        <v>24996.4539</v>
      </c>
      <c r="P309" s="54"/>
    </row>
    <row r="310" ht="26.25" hidden="1" customHeight="1">
      <c r="A310" s="44">
        <v>45909.0</v>
      </c>
      <c r="B310" s="45" t="str">
        <f t="shared" si="1"/>
        <v>الثلاثاء</v>
      </c>
      <c r="C310" s="63" t="s">
        <v>31</v>
      </c>
      <c r="D310" s="47">
        <v>700000.0</v>
      </c>
      <c r="E310" s="64">
        <v>0.4354166666666667</v>
      </c>
      <c r="F310" s="49">
        <v>0.75</v>
      </c>
      <c r="G310" s="50">
        <f t="shared" si="2"/>
        <v>2978.723404</v>
      </c>
      <c r="H310" s="57">
        <f t="shared" si="112"/>
        <v>7.55</v>
      </c>
      <c r="I310" s="51">
        <f t="shared" si="108"/>
        <v>0</v>
      </c>
      <c r="J310" s="51">
        <f t="shared" si="5"/>
        <v>0</v>
      </c>
      <c r="K310" s="52">
        <f t="shared" si="110"/>
        <v>22489.3617</v>
      </c>
      <c r="L310" s="52"/>
      <c r="M310" s="52"/>
      <c r="N310" s="52">
        <f t="shared" si="81"/>
        <v>4319.148936</v>
      </c>
      <c r="O310" s="53">
        <f t="shared" si="8"/>
        <v>18170.21277</v>
      </c>
      <c r="P310" s="54"/>
    </row>
    <row r="311" ht="26.25" hidden="1" customHeight="1">
      <c r="A311" s="44">
        <v>45910.0</v>
      </c>
      <c r="B311" s="45" t="str">
        <f t="shared" si="1"/>
        <v>الأربعاء</v>
      </c>
      <c r="C311" s="63" t="s">
        <v>31</v>
      </c>
      <c r="D311" s="47">
        <v>700000.0</v>
      </c>
      <c r="E311" s="62"/>
      <c r="F311" s="56"/>
      <c r="G311" s="50">
        <f t="shared" si="2"/>
        <v>2978.723404</v>
      </c>
      <c r="H311" s="57">
        <v>0.0</v>
      </c>
      <c r="I311" s="51">
        <f t="shared" si="108"/>
        <v>0</v>
      </c>
      <c r="J311" s="51">
        <f t="shared" si="5"/>
        <v>0</v>
      </c>
      <c r="K311" s="52">
        <f t="shared" si="110"/>
        <v>0</v>
      </c>
      <c r="L311" s="52"/>
      <c r="M311" s="52"/>
      <c r="N311" s="52">
        <f t="shared" si="81"/>
        <v>0</v>
      </c>
      <c r="O311" s="53">
        <f t="shared" si="8"/>
        <v>0</v>
      </c>
      <c r="P311" s="54"/>
    </row>
    <row r="312" ht="26.25" hidden="1" customHeight="1">
      <c r="A312" s="44">
        <v>45911.0</v>
      </c>
      <c r="B312" s="45" t="str">
        <f t="shared" si="1"/>
        <v>الخميس</v>
      </c>
      <c r="C312" s="63" t="s">
        <v>31</v>
      </c>
      <c r="D312" s="47">
        <v>700000.0</v>
      </c>
      <c r="E312" s="62"/>
      <c r="F312" s="56"/>
      <c r="G312" s="50">
        <f t="shared" si="2"/>
        <v>2978.723404</v>
      </c>
      <c r="H312" s="57">
        <v>0.0</v>
      </c>
      <c r="I312" s="51">
        <f t="shared" si="108"/>
        <v>0</v>
      </c>
      <c r="J312" s="51">
        <f t="shared" si="5"/>
        <v>0</v>
      </c>
      <c r="K312" s="52">
        <f t="shared" si="110"/>
        <v>0</v>
      </c>
      <c r="L312" s="52"/>
      <c r="M312" s="52"/>
      <c r="N312" s="52">
        <f t="shared" si="81"/>
        <v>0</v>
      </c>
      <c r="O312" s="53">
        <f t="shared" si="8"/>
        <v>0</v>
      </c>
      <c r="P312" s="54"/>
    </row>
    <row r="313" ht="26.25" hidden="1" customHeight="1">
      <c r="A313" s="44">
        <v>45912.0</v>
      </c>
      <c r="B313" s="45" t="str">
        <f t="shared" si="1"/>
        <v>الجمعة</v>
      </c>
      <c r="C313" s="63" t="s">
        <v>31</v>
      </c>
      <c r="D313" s="47">
        <v>700000.0</v>
      </c>
      <c r="E313" s="62"/>
      <c r="F313" s="56"/>
      <c r="G313" s="50">
        <f t="shared" si="2"/>
        <v>2978.723404</v>
      </c>
      <c r="H313" s="57">
        <v>0.0</v>
      </c>
      <c r="I313" s="51">
        <f t="shared" si="108"/>
        <v>0</v>
      </c>
      <c r="J313" s="51">
        <f t="shared" si="5"/>
        <v>0</v>
      </c>
      <c r="K313" s="52">
        <f t="shared" si="110"/>
        <v>0</v>
      </c>
      <c r="L313" s="52"/>
      <c r="M313" s="52"/>
      <c r="N313" s="52">
        <f t="shared" si="81"/>
        <v>0</v>
      </c>
      <c r="O313" s="53">
        <f t="shared" si="8"/>
        <v>0</v>
      </c>
      <c r="P313" s="54"/>
    </row>
    <row r="314" ht="26.25" hidden="1" customHeight="1">
      <c r="A314" s="44">
        <v>45913.0</v>
      </c>
      <c r="B314" s="45" t="str">
        <f t="shared" si="1"/>
        <v>السبت</v>
      </c>
      <c r="C314" s="63" t="s">
        <v>31</v>
      </c>
      <c r="D314" s="47">
        <v>700000.0</v>
      </c>
      <c r="E314" s="62"/>
      <c r="F314" s="56"/>
      <c r="G314" s="50">
        <f t="shared" si="2"/>
        <v>2978.723404</v>
      </c>
      <c r="H314" s="57">
        <v>0.0</v>
      </c>
      <c r="I314" s="51">
        <f t="shared" si="108"/>
        <v>0</v>
      </c>
      <c r="J314" s="51">
        <f t="shared" si="5"/>
        <v>0</v>
      </c>
      <c r="K314" s="52">
        <f t="shared" si="110"/>
        <v>0</v>
      </c>
      <c r="L314" s="52"/>
      <c r="M314" s="52"/>
      <c r="N314" s="52">
        <f t="shared" si="81"/>
        <v>0</v>
      </c>
      <c r="O314" s="53">
        <f t="shared" si="8"/>
        <v>0</v>
      </c>
      <c r="P314" s="54"/>
    </row>
    <row r="315" ht="26.25" hidden="1" customHeight="1">
      <c r="A315" s="44">
        <v>45914.0</v>
      </c>
      <c r="B315" s="45" t="str">
        <f t="shared" si="1"/>
        <v>الأحد</v>
      </c>
      <c r="C315" s="63" t="s">
        <v>31</v>
      </c>
      <c r="D315" s="47">
        <v>700000.0</v>
      </c>
      <c r="E315" s="64">
        <v>0.3263888888888889</v>
      </c>
      <c r="F315" s="49">
        <v>0.75</v>
      </c>
      <c r="G315" s="50">
        <f t="shared" si="2"/>
        <v>2978.723404</v>
      </c>
      <c r="H315" s="57">
        <f t="shared" ref="H315:H322" si="113">MIN(9,MAX(0,(MIN(F315,TIME(18,0,0))-MAX(E315,TIME(9,0,0)))*24))</f>
        <v>9</v>
      </c>
      <c r="I315" s="51">
        <f t="shared" si="108"/>
        <v>1.166666667</v>
      </c>
      <c r="J315" s="51">
        <f t="shared" si="5"/>
        <v>0</v>
      </c>
      <c r="K315" s="52">
        <f t="shared" si="110"/>
        <v>32021.2766</v>
      </c>
      <c r="L315" s="52"/>
      <c r="M315" s="52"/>
      <c r="N315" s="52">
        <f t="shared" si="81"/>
        <v>0</v>
      </c>
      <c r="O315" s="53">
        <f t="shared" si="8"/>
        <v>32021.2766</v>
      </c>
      <c r="P315" s="54"/>
    </row>
    <row r="316" ht="26.25" hidden="1" customHeight="1">
      <c r="A316" s="44">
        <v>45915.0</v>
      </c>
      <c r="B316" s="45" t="str">
        <f t="shared" si="1"/>
        <v>الاثنين</v>
      </c>
      <c r="C316" s="63" t="s">
        <v>31</v>
      </c>
      <c r="D316" s="47">
        <v>700000.0</v>
      </c>
      <c r="E316" s="64">
        <v>0.3416666666666667</v>
      </c>
      <c r="F316" s="49">
        <v>0.7583333333333333</v>
      </c>
      <c r="G316" s="50">
        <f t="shared" si="2"/>
        <v>2978.723404</v>
      </c>
      <c r="H316" s="57">
        <f t="shared" si="113"/>
        <v>9</v>
      </c>
      <c r="I316" s="51">
        <f t="shared" si="108"/>
        <v>1</v>
      </c>
      <c r="J316" s="51">
        <f t="shared" si="5"/>
        <v>0</v>
      </c>
      <c r="K316" s="52">
        <f t="shared" si="110"/>
        <v>31276.59574</v>
      </c>
      <c r="L316" s="52"/>
      <c r="M316" s="52"/>
      <c r="N316" s="52">
        <f t="shared" si="81"/>
        <v>0</v>
      </c>
      <c r="O316" s="53">
        <f t="shared" si="8"/>
        <v>31276.59574</v>
      </c>
      <c r="P316" s="54"/>
    </row>
    <row r="317" ht="26.25" hidden="1" customHeight="1">
      <c r="A317" s="44">
        <v>45916.0</v>
      </c>
      <c r="B317" s="45" t="str">
        <f t="shared" si="1"/>
        <v>الثلاثاء</v>
      </c>
      <c r="C317" s="63" t="s">
        <v>31</v>
      </c>
      <c r="D317" s="47">
        <v>700000.0</v>
      </c>
      <c r="E317" s="64">
        <v>0.3416666666666667</v>
      </c>
      <c r="F317" s="49">
        <v>0.7166666666666667</v>
      </c>
      <c r="G317" s="50">
        <f t="shared" si="2"/>
        <v>2978.723404</v>
      </c>
      <c r="H317" s="57">
        <f t="shared" si="113"/>
        <v>8.2</v>
      </c>
      <c r="I317" s="51">
        <f t="shared" si="108"/>
        <v>0.8</v>
      </c>
      <c r="J317" s="51">
        <f t="shared" si="5"/>
        <v>0</v>
      </c>
      <c r="K317" s="52">
        <f t="shared" si="110"/>
        <v>28000</v>
      </c>
      <c r="L317" s="52"/>
      <c r="M317" s="52"/>
      <c r="N317" s="52">
        <f t="shared" si="81"/>
        <v>0</v>
      </c>
      <c r="O317" s="53">
        <f t="shared" si="8"/>
        <v>28000</v>
      </c>
      <c r="P317" s="54"/>
    </row>
    <row r="318" ht="26.25" hidden="1" customHeight="1">
      <c r="A318" s="44">
        <v>45917.0</v>
      </c>
      <c r="B318" s="45" t="str">
        <f t="shared" si="1"/>
        <v>الأربعاء</v>
      </c>
      <c r="C318" s="63" t="s">
        <v>31</v>
      </c>
      <c r="D318" s="47">
        <v>700000.0</v>
      </c>
      <c r="E318" s="64">
        <v>0.34444444444444444</v>
      </c>
      <c r="F318" s="49">
        <v>0.75</v>
      </c>
      <c r="G318" s="50">
        <f t="shared" si="2"/>
        <v>2978.723404</v>
      </c>
      <c r="H318" s="57">
        <f t="shared" si="113"/>
        <v>9</v>
      </c>
      <c r="I318" s="51">
        <f t="shared" si="108"/>
        <v>0.7333333333</v>
      </c>
      <c r="J318" s="51">
        <f t="shared" si="5"/>
        <v>0</v>
      </c>
      <c r="K318" s="52">
        <f t="shared" si="110"/>
        <v>30085.10638</v>
      </c>
      <c r="L318" s="52"/>
      <c r="M318" s="52"/>
      <c r="N318" s="52">
        <f t="shared" si="81"/>
        <v>0</v>
      </c>
      <c r="O318" s="53">
        <f t="shared" si="8"/>
        <v>30085.10638</v>
      </c>
      <c r="P318" s="54"/>
    </row>
    <row r="319" ht="26.25" hidden="1" customHeight="1">
      <c r="A319" s="44">
        <v>45918.0</v>
      </c>
      <c r="B319" s="45" t="str">
        <f t="shared" si="1"/>
        <v>الخميس</v>
      </c>
      <c r="C319" s="63" t="s">
        <v>31</v>
      </c>
      <c r="D319" s="47">
        <v>700000.0</v>
      </c>
      <c r="E319" s="64">
        <v>0.44305555555555554</v>
      </c>
      <c r="F319" s="49">
        <v>0.75</v>
      </c>
      <c r="G319" s="50">
        <f t="shared" si="2"/>
        <v>2978.723404</v>
      </c>
      <c r="H319" s="57">
        <f t="shared" si="113"/>
        <v>7.366666667</v>
      </c>
      <c r="I319" s="51">
        <f t="shared" si="108"/>
        <v>0</v>
      </c>
      <c r="J319" s="51">
        <f t="shared" si="5"/>
        <v>0</v>
      </c>
      <c r="K319" s="52">
        <f t="shared" si="110"/>
        <v>21943.26241</v>
      </c>
      <c r="L319" s="52"/>
      <c r="M319" s="52"/>
      <c r="N319" s="52">
        <f t="shared" si="81"/>
        <v>4865.248227</v>
      </c>
      <c r="O319" s="53">
        <f t="shared" si="8"/>
        <v>17078.01418</v>
      </c>
      <c r="P319" s="54"/>
    </row>
    <row r="320" ht="26.25" hidden="1" customHeight="1">
      <c r="A320" s="44">
        <v>45919.0</v>
      </c>
      <c r="B320" s="45" t="str">
        <f t="shared" si="1"/>
        <v>الجمعة</v>
      </c>
      <c r="C320" s="63" t="s">
        <v>31</v>
      </c>
      <c r="D320" s="47">
        <v>700000.0</v>
      </c>
      <c r="E320" s="64">
        <v>0.48194444444444445</v>
      </c>
      <c r="F320" s="49">
        <v>0.75</v>
      </c>
      <c r="G320" s="50">
        <f t="shared" si="2"/>
        <v>2978.723404</v>
      </c>
      <c r="H320" s="57">
        <f t="shared" si="113"/>
        <v>6.433333333</v>
      </c>
      <c r="I320" s="51">
        <f t="shared" si="108"/>
        <v>0</v>
      </c>
      <c r="J320" s="51">
        <f t="shared" si="5"/>
        <v>6.433333333</v>
      </c>
      <c r="K320" s="52">
        <f t="shared" si="110"/>
        <v>57489.3617</v>
      </c>
      <c r="L320" s="52"/>
      <c r="M320" s="52"/>
      <c r="N320" s="52">
        <f t="shared" si="81"/>
        <v>0</v>
      </c>
      <c r="O320" s="53">
        <f t="shared" si="8"/>
        <v>57489.3617</v>
      </c>
      <c r="P320" s="54"/>
    </row>
    <row r="321" ht="26.25" hidden="1" customHeight="1">
      <c r="A321" s="44">
        <v>45920.0</v>
      </c>
      <c r="B321" s="45" t="str">
        <f t="shared" si="1"/>
        <v>السبت</v>
      </c>
      <c r="C321" s="63" t="s">
        <v>31</v>
      </c>
      <c r="D321" s="47">
        <v>700000.0</v>
      </c>
      <c r="E321" s="64">
        <v>0.2902777777777778</v>
      </c>
      <c r="F321" s="49">
        <v>0.75</v>
      </c>
      <c r="G321" s="50">
        <f t="shared" si="2"/>
        <v>2978.723404</v>
      </c>
      <c r="H321" s="57">
        <f t="shared" si="113"/>
        <v>9</v>
      </c>
      <c r="I321" s="51">
        <f t="shared" si="108"/>
        <v>2.033333333</v>
      </c>
      <c r="J321" s="51">
        <f t="shared" si="5"/>
        <v>0</v>
      </c>
      <c r="K321" s="52">
        <f t="shared" si="110"/>
        <v>35893.61702</v>
      </c>
      <c r="L321" s="52"/>
      <c r="M321" s="52"/>
      <c r="N321" s="52">
        <f t="shared" si="81"/>
        <v>0</v>
      </c>
      <c r="O321" s="53">
        <f t="shared" si="8"/>
        <v>35893.61702</v>
      </c>
      <c r="P321" s="54"/>
    </row>
    <row r="322" ht="26.25" hidden="1" customHeight="1">
      <c r="A322" s="44">
        <v>45921.0</v>
      </c>
      <c r="B322" s="45" t="str">
        <f t="shared" si="1"/>
        <v>الأحد</v>
      </c>
      <c r="C322" s="63" t="s">
        <v>31</v>
      </c>
      <c r="D322" s="47">
        <v>700000.0</v>
      </c>
      <c r="E322" s="64">
        <v>0.4166666666666667</v>
      </c>
      <c r="F322" s="49">
        <v>0.5</v>
      </c>
      <c r="G322" s="50">
        <f t="shared" si="2"/>
        <v>2978.723404</v>
      </c>
      <c r="H322" s="57">
        <f t="shared" si="113"/>
        <v>2</v>
      </c>
      <c r="I322" s="51">
        <f t="shared" si="108"/>
        <v>0</v>
      </c>
      <c r="J322" s="51">
        <f t="shared" si="5"/>
        <v>0</v>
      </c>
      <c r="K322" s="52">
        <f t="shared" si="110"/>
        <v>5957.446809</v>
      </c>
      <c r="L322" s="52"/>
      <c r="M322" s="52"/>
      <c r="N322" s="52">
        <f t="shared" si="81"/>
        <v>2978.723404</v>
      </c>
      <c r="O322" s="53">
        <f t="shared" si="8"/>
        <v>2978.723404</v>
      </c>
      <c r="P322" s="54"/>
    </row>
    <row r="323" ht="26.25" hidden="1" customHeight="1">
      <c r="A323" s="44">
        <v>45922.0</v>
      </c>
      <c r="B323" s="45" t="str">
        <f t="shared" si="1"/>
        <v>الاثنين</v>
      </c>
      <c r="C323" s="63" t="s">
        <v>31</v>
      </c>
      <c r="D323" s="47">
        <v>700000.0</v>
      </c>
      <c r="E323" s="62"/>
      <c r="F323" s="56"/>
      <c r="G323" s="50">
        <f t="shared" si="2"/>
        <v>2978.723404</v>
      </c>
      <c r="H323" s="57">
        <v>0.0</v>
      </c>
      <c r="I323" s="51">
        <f t="shared" si="108"/>
        <v>0</v>
      </c>
      <c r="J323" s="51">
        <f t="shared" si="5"/>
        <v>0</v>
      </c>
      <c r="K323" s="52">
        <f t="shared" si="110"/>
        <v>0</v>
      </c>
      <c r="L323" s="52"/>
      <c r="M323" s="52"/>
      <c r="N323" s="52">
        <f t="shared" si="81"/>
        <v>0</v>
      </c>
      <c r="O323" s="53">
        <f t="shared" si="8"/>
        <v>0</v>
      </c>
      <c r="P323" s="54"/>
    </row>
    <row r="324" ht="26.25" hidden="1" customHeight="1">
      <c r="A324" s="44">
        <v>45923.0</v>
      </c>
      <c r="B324" s="45" t="str">
        <f t="shared" si="1"/>
        <v>الثلاثاء</v>
      </c>
      <c r="C324" s="63" t="s">
        <v>31</v>
      </c>
      <c r="D324" s="47">
        <v>700000.0</v>
      </c>
      <c r="E324" s="62"/>
      <c r="F324" s="56"/>
      <c r="G324" s="50">
        <f t="shared" si="2"/>
        <v>2978.723404</v>
      </c>
      <c r="H324" s="57">
        <v>0.0</v>
      </c>
      <c r="I324" s="51">
        <f t="shared" si="108"/>
        <v>0</v>
      </c>
      <c r="J324" s="51">
        <f t="shared" si="5"/>
        <v>0</v>
      </c>
      <c r="K324" s="52">
        <f t="shared" si="110"/>
        <v>0</v>
      </c>
      <c r="L324" s="52"/>
      <c r="M324" s="52"/>
      <c r="N324" s="52">
        <f t="shared" si="81"/>
        <v>0</v>
      </c>
      <c r="O324" s="53">
        <f t="shared" si="8"/>
        <v>0</v>
      </c>
      <c r="P324" s="54"/>
    </row>
    <row r="325" ht="26.25" hidden="1" customHeight="1">
      <c r="A325" s="44">
        <v>45924.0</v>
      </c>
      <c r="B325" s="45" t="str">
        <f t="shared" si="1"/>
        <v>الأربعاء</v>
      </c>
      <c r="C325" s="63" t="s">
        <v>31</v>
      </c>
      <c r="D325" s="47">
        <v>700000.0</v>
      </c>
      <c r="E325" s="62"/>
      <c r="F325" s="56"/>
      <c r="G325" s="50">
        <f t="shared" si="2"/>
        <v>2978.723404</v>
      </c>
      <c r="H325" s="57">
        <v>0.0</v>
      </c>
      <c r="I325" s="51">
        <f t="shared" si="108"/>
        <v>0</v>
      </c>
      <c r="J325" s="51">
        <f t="shared" si="5"/>
        <v>0</v>
      </c>
      <c r="K325" s="52">
        <f t="shared" si="110"/>
        <v>0</v>
      </c>
      <c r="L325" s="52"/>
      <c r="M325" s="52"/>
      <c r="N325" s="52">
        <f t="shared" si="81"/>
        <v>0</v>
      </c>
      <c r="O325" s="53">
        <f t="shared" si="8"/>
        <v>0</v>
      </c>
      <c r="P325" s="54"/>
    </row>
    <row r="326" ht="26.25" hidden="1" customHeight="1">
      <c r="A326" s="44">
        <v>45925.0</v>
      </c>
      <c r="B326" s="45" t="str">
        <f t="shared" si="1"/>
        <v>الخميس</v>
      </c>
      <c r="C326" s="63" t="s">
        <v>31</v>
      </c>
      <c r="D326" s="47">
        <v>700000.0</v>
      </c>
      <c r="E326" s="62"/>
      <c r="F326" s="56"/>
      <c r="G326" s="50">
        <f t="shared" si="2"/>
        <v>2978.723404</v>
      </c>
      <c r="H326" s="57">
        <v>0.0</v>
      </c>
      <c r="I326" s="51">
        <f t="shared" si="108"/>
        <v>0</v>
      </c>
      <c r="J326" s="51">
        <f t="shared" si="5"/>
        <v>0</v>
      </c>
      <c r="K326" s="52">
        <f t="shared" si="110"/>
        <v>0</v>
      </c>
      <c r="L326" s="52"/>
      <c r="M326" s="52"/>
      <c r="N326" s="52">
        <f t="shared" si="81"/>
        <v>0</v>
      </c>
      <c r="O326" s="53">
        <f t="shared" si="8"/>
        <v>0</v>
      </c>
      <c r="P326" s="54"/>
    </row>
    <row r="327" ht="26.25" hidden="1" customHeight="1">
      <c r="A327" s="44">
        <v>45926.0</v>
      </c>
      <c r="B327" s="45" t="str">
        <f t="shared" si="1"/>
        <v>الجمعة</v>
      </c>
      <c r="C327" s="63" t="s">
        <v>31</v>
      </c>
      <c r="D327" s="47">
        <v>700000.0</v>
      </c>
      <c r="E327" s="62"/>
      <c r="F327" s="56"/>
      <c r="G327" s="50">
        <f t="shared" si="2"/>
        <v>2978.723404</v>
      </c>
      <c r="H327" s="57">
        <v>0.0</v>
      </c>
      <c r="I327" s="51">
        <f t="shared" si="108"/>
        <v>0</v>
      </c>
      <c r="J327" s="51">
        <f t="shared" si="5"/>
        <v>0</v>
      </c>
      <c r="K327" s="52">
        <f t="shared" si="110"/>
        <v>0</v>
      </c>
      <c r="L327" s="52"/>
      <c r="M327" s="52"/>
      <c r="N327" s="52">
        <f t="shared" si="81"/>
        <v>0</v>
      </c>
      <c r="O327" s="53">
        <f t="shared" si="8"/>
        <v>0</v>
      </c>
      <c r="P327" s="54"/>
    </row>
    <row r="328" ht="26.25" hidden="1" customHeight="1">
      <c r="A328" s="44">
        <v>45927.0</v>
      </c>
      <c r="B328" s="45" t="str">
        <f t="shared" si="1"/>
        <v>السبت</v>
      </c>
      <c r="C328" s="63" t="s">
        <v>31</v>
      </c>
      <c r="D328" s="47">
        <v>700000.0</v>
      </c>
      <c r="E328" s="62"/>
      <c r="F328" s="56"/>
      <c r="G328" s="50">
        <f t="shared" si="2"/>
        <v>2978.723404</v>
      </c>
      <c r="H328" s="57">
        <v>0.0</v>
      </c>
      <c r="I328" s="51">
        <f t="shared" si="108"/>
        <v>0</v>
      </c>
      <c r="J328" s="51">
        <f t="shared" si="5"/>
        <v>0</v>
      </c>
      <c r="K328" s="52">
        <f t="shared" si="110"/>
        <v>0</v>
      </c>
      <c r="L328" s="52"/>
      <c r="M328" s="52"/>
      <c r="N328" s="52">
        <f t="shared" si="81"/>
        <v>0</v>
      </c>
      <c r="O328" s="53">
        <f t="shared" si="8"/>
        <v>0</v>
      </c>
      <c r="P328" s="54"/>
    </row>
    <row r="329" ht="26.25" hidden="1" customHeight="1">
      <c r="A329" s="44">
        <v>45928.0</v>
      </c>
      <c r="B329" s="45" t="str">
        <f t="shared" si="1"/>
        <v>الأحد</v>
      </c>
      <c r="C329" s="63" t="s">
        <v>31</v>
      </c>
      <c r="D329" s="47">
        <v>700000.0</v>
      </c>
      <c r="E329" s="62"/>
      <c r="F329" s="56"/>
      <c r="G329" s="50">
        <f t="shared" si="2"/>
        <v>2978.723404</v>
      </c>
      <c r="H329" s="57">
        <v>0.0</v>
      </c>
      <c r="I329" s="51">
        <f t="shared" si="108"/>
        <v>0</v>
      </c>
      <c r="J329" s="51">
        <f t="shared" si="5"/>
        <v>0</v>
      </c>
      <c r="K329" s="52">
        <f t="shared" si="110"/>
        <v>0</v>
      </c>
      <c r="L329" s="52"/>
      <c r="M329" s="52"/>
      <c r="N329" s="52">
        <f t="shared" si="81"/>
        <v>0</v>
      </c>
      <c r="O329" s="53">
        <f t="shared" si="8"/>
        <v>0</v>
      </c>
      <c r="P329" s="54"/>
    </row>
    <row r="330" ht="26.25" hidden="1" customHeight="1">
      <c r="A330" s="44">
        <v>45929.0</v>
      </c>
      <c r="B330" s="45" t="str">
        <f t="shared" si="1"/>
        <v>الاثنين</v>
      </c>
      <c r="C330" s="63" t="s">
        <v>31</v>
      </c>
      <c r="D330" s="47">
        <v>700000.0</v>
      </c>
      <c r="E330" s="64">
        <v>0.3770833333333333</v>
      </c>
      <c r="F330" s="49">
        <v>0.6666666666666666</v>
      </c>
      <c r="G330" s="50">
        <f t="shared" si="2"/>
        <v>2978.723404</v>
      </c>
      <c r="H330" s="57">
        <f t="shared" ref="H330:H331" si="114">MIN(9,MAX(0,(MIN(F330,TIME(18,0,0))-MAX(E330,TIME(9,0,0)))*24))</f>
        <v>6.95</v>
      </c>
      <c r="I330" s="51">
        <f t="shared" si="108"/>
        <v>0</v>
      </c>
      <c r="J330" s="51">
        <f t="shared" si="5"/>
        <v>0</v>
      </c>
      <c r="K330" s="52">
        <f t="shared" si="110"/>
        <v>20702.12766</v>
      </c>
      <c r="L330" s="52"/>
      <c r="M330" s="52"/>
      <c r="N330" s="52">
        <f t="shared" si="81"/>
        <v>148.9361702</v>
      </c>
      <c r="O330" s="53">
        <f t="shared" si="8"/>
        <v>20553.19149</v>
      </c>
      <c r="P330" s="54"/>
    </row>
    <row r="331" ht="26.25" hidden="1" customHeight="1">
      <c r="A331" s="44">
        <v>45930.0</v>
      </c>
      <c r="B331" s="45" t="str">
        <f t="shared" si="1"/>
        <v>الثلاثاء</v>
      </c>
      <c r="C331" s="63" t="s">
        <v>31</v>
      </c>
      <c r="D331" s="47">
        <v>700000.0</v>
      </c>
      <c r="E331" s="64">
        <v>0.3798611111111111</v>
      </c>
      <c r="F331" s="49">
        <v>0.7020833333333333</v>
      </c>
      <c r="G331" s="50">
        <f t="shared" si="2"/>
        <v>2978.723404</v>
      </c>
      <c r="H331" s="57">
        <f t="shared" si="114"/>
        <v>7.733333333</v>
      </c>
      <c r="I331" s="51">
        <f t="shared" si="108"/>
        <v>0</v>
      </c>
      <c r="J331" s="51">
        <f t="shared" si="5"/>
        <v>0</v>
      </c>
      <c r="K331" s="52">
        <f t="shared" si="110"/>
        <v>23035.46099</v>
      </c>
      <c r="L331" s="52"/>
      <c r="M331" s="52"/>
      <c r="N331" s="52">
        <f t="shared" si="81"/>
        <v>347.5177305</v>
      </c>
      <c r="O331" s="53">
        <f t="shared" si="8"/>
        <v>22687.94326</v>
      </c>
      <c r="P331" s="54"/>
    </row>
    <row r="332" ht="26.25" hidden="1" customHeight="1">
      <c r="A332" s="44">
        <v>45931.0</v>
      </c>
      <c r="B332" s="45" t="str">
        <f t="shared" si="1"/>
        <v>الأربعاء</v>
      </c>
      <c r="C332" s="63" t="s">
        <v>16</v>
      </c>
      <c r="D332" s="47">
        <v>650000.0</v>
      </c>
      <c r="E332" s="64"/>
      <c r="F332" s="49"/>
      <c r="G332" s="50"/>
      <c r="H332" s="57"/>
      <c r="I332" s="51"/>
      <c r="J332" s="51"/>
      <c r="K332" s="52"/>
      <c r="L332" s="52"/>
      <c r="M332" s="52"/>
      <c r="N332" s="52"/>
      <c r="O332" s="53"/>
      <c r="P332" s="54"/>
    </row>
    <row r="333" ht="26.25" hidden="1" customHeight="1">
      <c r="A333" s="44">
        <v>45932.0</v>
      </c>
      <c r="B333" s="45"/>
      <c r="C333" s="63"/>
      <c r="D333" s="47"/>
      <c r="E333" s="64"/>
      <c r="F333" s="49"/>
      <c r="G333" s="50"/>
      <c r="H333" s="57"/>
      <c r="I333" s="51"/>
      <c r="J333" s="51"/>
      <c r="K333" s="52"/>
      <c r="L333" s="52"/>
      <c r="M333" s="52"/>
      <c r="N333" s="52"/>
      <c r="O333" s="53"/>
      <c r="P333" s="54"/>
    </row>
    <row r="334" ht="26.25" hidden="1" customHeight="1">
      <c r="A334" s="44">
        <v>45933.0</v>
      </c>
      <c r="B334" s="45"/>
      <c r="C334" s="63"/>
      <c r="D334" s="47"/>
      <c r="E334" s="64"/>
      <c r="F334" s="49"/>
      <c r="G334" s="50"/>
      <c r="H334" s="57"/>
      <c r="I334" s="51"/>
      <c r="J334" s="51"/>
      <c r="K334" s="52"/>
      <c r="L334" s="52"/>
      <c r="M334" s="52"/>
      <c r="N334" s="52"/>
      <c r="O334" s="53"/>
      <c r="P334" s="54"/>
    </row>
    <row r="335" ht="26.25" hidden="1" customHeight="1">
      <c r="A335" s="44">
        <v>45934.0</v>
      </c>
      <c r="B335" s="45"/>
      <c r="C335" s="63"/>
      <c r="D335" s="47"/>
      <c r="E335" s="64"/>
      <c r="F335" s="49"/>
      <c r="G335" s="50"/>
      <c r="H335" s="57"/>
      <c r="I335" s="51"/>
      <c r="J335" s="51"/>
      <c r="K335" s="52"/>
      <c r="L335" s="52"/>
      <c r="M335" s="52"/>
      <c r="N335" s="52"/>
      <c r="O335" s="53"/>
      <c r="P335" s="54"/>
    </row>
    <row r="336" ht="26.25" hidden="1" customHeight="1">
      <c r="A336" s="44">
        <v>45935.0</v>
      </c>
      <c r="B336" s="45"/>
      <c r="C336" s="63"/>
      <c r="D336" s="47"/>
      <c r="E336" s="64"/>
      <c r="F336" s="49"/>
      <c r="G336" s="50"/>
      <c r="H336" s="57"/>
      <c r="I336" s="51"/>
      <c r="J336" s="51"/>
      <c r="K336" s="52"/>
      <c r="L336" s="52"/>
      <c r="M336" s="52"/>
      <c r="N336" s="52"/>
      <c r="O336" s="53"/>
      <c r="P336" s="54"/>
    </row>
    <row r="337" ht="26.25" hidden="1" customHeight="1">
      <c r="A337" s="44">
        <v>45936.0</v>
      </c>
      <c r="B337" s="45"/>
      <c r="C337" s="63"/>
      <c r="D337" s="47"/>
      <c r="E337" s="64"/>
      <c r="F337" s="49"/>
      <c r="G337" s="50"/>
      <c r="H337" s="57"/>
      <c r="I337" s="51"/>
      <c r="J337" s="51"/>
      <c r="K337" s="52"/>
      <c r="L337" s="52"/>
      <c r="M337" s="52"/>
      <c r="N337" s="52"/>
      <c r="O337" s="53"/>
      <c r="P337" s="54"/>
    </row>
    <row r="338" ht="26.25" hidden="1" customHeight="1">
      <c r="A338" s="44">
        <v>45937.0</v>
      </c>
      <c r="B338" s="45"/>
      <c r="C338" s="63"/>
      <c r="D338" s="47"/>
      <c r="E338" s="64"/>
      <c r="F338" s="49"/>
      <c r="G338" s="50"/>
      <c r="H338" s="57"/>
      <c r="I338" s="51"/>
      <c r="J338" s="51"/>
      <c r="K338" s="52"/>
      <c r="L338" s="52"/>
      <c r="M338" s="52"/>
      <c r="N338" s="52"/>
      <c r="O338" s="53"/>
      <c r="P338" s="54"/>
    </row>
    <row r="339" ht="26.25" hidden="1" customHeight="1">
      <c r="A339" s="44">
        <v>45938.0</v>
      </c>
      <c r="B339" s="45"/>
      <c r="C339" s="63"/>
      <c r="D339" s="47"/>
      <c r="E339" s="64"/>
      <c r="F339" s="49"/>
      <c r="G339" s="50"/>
      <c r="H339" s="57"/>
      <c r="I339" s="51"/>
      <c r="J339" s="51"/>
      <c r="K339" s="52"/>
      <c r="L339" s="52"/>
      <c r="M339" s="52"/>
      <c r="N339" s="52"/>
      <c r="O339" s="53"/>
      <c r="P339" s="54"/>
    </row>
    <row r="340" ht="26.25" hidden="1" customHeight="1">
      <c r="A340" s="44">
        <v>45939.0</v>
      </c>
      <c r="B340" s="45"/>
      <c r="C340" s="63"/>
      <c r="D340" s="47"/>
      <c r="E340" s="64"/>
      <c r="F340" s="49"/>
      <c r="G340" s="50"/>
      <c r="H340" s="57"/>
      <c r="I340" s="51"/>
      <c r="J340" s="51"/>
      <c r="K340" s="52"/>
      <c r="L340" s="52"/>
      <c r="M340" s="52"/>
      <c r="N340" s="52"/>
      <c r="O340" s="53"/>
      <c r="P340" s="54"/>
    </row>
    <row r="341" ht="26.25" hidden="1" customHeight="1">
      <c r="A341" s="44">
        <v>45940.0</v>
      </c>
      <c r="B341" s="45"/>
      <c r="C341" s="63"/>
      <c r="D341" s="47"/>
      <c r="E341" s="64"/>
      <c r="F341" s="49"/>
      <c r="G341" s="50"/>
      <c r="H341" s="57"/>
      <c r="I341" s="51"/>
      <c r="J341" s="51"/>
      <c r="K341" s="52"/>
      <c r="L341" s="52"/>
      <c r="M341" s="52"/>
      <c r="N341" s="52"/>
      <c r="O341" s="53"/>
      <c r="P341" s="54"/>
    </row>
    <row r="342" ht="26.25" hidden="1" customHeight="1">
      <c r="A342" s="44">
        <v>45941.0</v>
      </c>
      <c r="B342" s="45"/>
      <c r="C342" s="63"/>
      <c r="D342" s="47"/>
      <c r="E342" s="64"/>
      <c r="F342" s="49"/>
      <c r="G342" s="50"/>
      <c r="H342" s="57"/>
      <c r="I342" s="51"/>
      <c r="J342" s="51"/>
      <c r="K342" s="52"/>
      <c r="L342" s="52"/>
      <c r="M342" s="52"/>
      <c r="N342" s="52"/>
      <c r="O342" s="53"/>
      <c r="P342" s="54"/>
    </row>
    <row r="343" ht="26.25" hidden="1" customHeight="1">
      <c r="A343" s="44">
        <v>45942.0</v>
      </c>
      <c r="B343" s="45"/>
      <c r="C343" s="63"/>
      <c r="D343" s="47"/>
      <c r="E343" s="64"/>
      <c r="F343" s="49"/>
      <c r="G343" s="50"/>
      <c r="H343" s="57"/>
      <c r="I343" s="51"/>
      <c r="J343" s="51"/>
      <c r="K343" s="52"/>
      <c r="L343" s="52"/>
      <c r="M343" s="52"/>
      <c r="N343" s="52"/>
      <c r="O343" s="53"/>
      <c r="P343" s="54"/>
    </row>
    <row r="344" ht="26.25" hidden="1" customHeight="1">
      <c r="A344" s="44">
        <v>45943.0</v>
      </c>
      <c r="B344" s="45"/>
      <c r="C344" s="63"/>
      <c r="D344" s="47"/>
      <c r="E344" s="64"/>
      <c r="F344" s="49"/>
      <c r="G344" s="50"/>
      <c r="H344" s="57"/>
      <c r="I344" s="51"/>
      <c r="J344" s="51"/>
      <c r="K344" s="52"/>
      <c r="L344" s="52"/>
      <c r="M344" s="52"/>
      <c r="N344" s="52"/>
      <c r="O344" s="53"/>
      <c r="P344" s="54"/>
    </row>
    <row r="345" ht="26.25" hidden="1" customHeight="1">
      <c r="A345" s="44">
        <v>45944.0</v>
      </c>
      <c r="B345" s="45"/>
      <c r="C345" s="63"/>
      <c r="D345" s="47"/>
      <c r="E345" s="64"/>
      <c r="F345" s="49"/>
      <c r="G345" s="50"/>
      <c r="H345" s="57"/>
      <c r="I345" s="51"/>
      <c r="J345" s="51"/>
      <c r="K345" s="52"/>
      <c r="L345" s="52"/>
      <c r="M345" s="52"/>
      <c r="N345" s="52"/>
      <c r="O345" s="53"/>
      <c r="P345" s="54"/>
    </row>
    <row r="346" ht="26.25" hidden="1" customHeight="1">
      <c r="A346" s="44">
        <v>45945.0</v>
      </c>
      <c r="B346" s="45"/>
      <c r="C346" s="63"/>
      <c r="D346" s="47"/>
      <c r="E346" s="64"/>
      <c r="F346" s="49"/>
      <c r="G346" s="50"/>
      <c r="H346" s="57"/>
      <c r="I346" s="51"/>
      <c r="J346" s="51"/>
      <c r="K346" s="52"/>
      <c r="L346" s="52"/>
      <c r="M346" s="52"/>
      <c r="N346" s="52"/>
      <c r="O346" s="53"/>
      <c r="P346" s="54"/>
    </row>
    <row r="347" ht="26.25" hidden="1" customHeight="1">
      <c r="A347" s="44">
        <v>45946.0</v>
      </c>
      <c r="B347" s="45"/>
      <c r="C347" s="63"/>
      <c r="D347" s="47"/>
      <c r="E347" s="64"/>
      <c r="F347" s="49"/>
      <c r="G347" s="50"/>
      <c r="H347" s="57"/>
      <c r="I347" s="51"/>
      <c r="J347" s="51"/>
      <c r="K347" s="52"/>
      <c r="L347" s="52"/>
      <c r="M347" s="52"/>
      <c r="N347" s="52"/>
      <c r="O347" s="53"/>
      <c r="P347" s="54"/>
    </row>
    <row r="348" ht="26.25" hidden="1" customHeight="1">
      <c r="A348" s="44">
        <v>45947.0</v>
      </c>
      <c r="B348" s="45"/>
      <c r="C348" s="63"/>
      <c r="D348" s="47"/>
      <c r="E348" s="64"/>
      <c r="F348" s="49"/>
      <c r="G348" s="50"/>
      <c r="H348" s="57"/>
      <c r="I348" s="51"/>
      <c r="J348" s="51"/>
      <c r="K348" s="52"/>
      <c r="L348" s="52"/>
      <c r="M348" s="52"/>
      <c r="N348" s="52"/>
      <c r="O348" s="53"/>
      <c r="P348" s="54"/>
    </row>
    <row r="349" ht="26.25" hidden="1" customHeight="1">
      <c r="A349" s="44">
        <v>45948.0</v>
      </c>
      <c r="B349" s="45"/>
      <c r="C349" s="63"/>
      <c r="D349" s="47"/>
      <c r="E349" s="64"/>
      <c r="F349" s="49"/>
      <c r="G349" s="50"/>
      <c r="H349" s="57"/>
      <c r="I349" s="51"/>
      <c r="J349" s="51"/>
      <c r="K349" s="52"/>
      <c r="L349" s="52"/>
      <c r="M349" s="52"/>
      <c r="N349" s="52"/>
      <c r="O349" s="53"/>
      <c r="P349" s="54"/>
    </row>
    <row r="350" ht="26.25" hidden="1" customHeight="1">
      <c r="A350" s="44">
        <v>45949.0</v>
      </c>
      <c r="B350" s="45"/>
      <c r="C350" s="63"/>
      <c r="D350" s="47"/>
      <c r="E350" s="64"/>
      <c r="F350" s="49"/>
      <c r="G350" s="50"/>
      <c r="H350" s="57"/>
      <c r="I350" s="51"/>
      <c r="J350" s="51"/>
      <c r="K350" s="52"/>
      <c r="L350" s="52"/>
      <c r="M350" s="52"/>
      <c r="N350" s="52"/>
      <c r="O350" s="53"/>
      <c r="P350" s="54"/>
    </row>
    <row r="351" ht="26.25" hidden="1" customHeight="1">
      <c r="A351" s="44">
        <v>45950.0</v>
      </c>
      <c r="B351" s="45"/>
      <c r="C351" s="63"/>
      <c r="D351" s="47"/>
      <c r="E351" s="64"/>
      <c r="F351" s="49"/>
      <c r="G351" s="50"/>
      <c r="H351" s="57"/>
      <c r="I351" s="51"/>
      <c r="J351" s="51"/>
      <c r="K351" s="52"/>
      <c r="L351" s="52"/>
      <c r="M351" s="52"/>
      <c r="N351" s="52"/>
      <c r="O351" s="53"/>
      <c r="P351" s="54"/>
    </row>
    <row r="352" ht="26.25" hidden="1" customHeight="1">
      <c r="A352" s="44">
        <v>45951.0</v>
      </c>
      <c r="B352" s="45"/>
      <c r="C352" s="63"/>
      <c r="D352" s="47"/>
      <c r="E352" s="64"/>
      <c r="F352" s="49"/>
      <c r="G352" s="50"/>
      <c r="H352" s="57"/>
      <c r="I352" s="51"/>
      <c r="J352" s="51"/>
      <c r="K352" s="52"/>
      <c r="L352" s="52"/>
      <c r="M352" s="52"/>
      <c r="N352" s="52"/>
      <c r="O352" s="53"/>
      <c r="P352" s="54"/>
    </row>
    <row r="353" ht="26.25" hidden="1" customHeight="1">
      <c r="A353" s="44">
        <v>45952.0</v>
      </c>
      <c r="B353" s="45"/>
      <c r="C353" s="63"/>
      <c r="D353" s="47"/>
      <c r="E353" s="64"/>
      <c r="F353" s="49"/>
      <c r="G353" s="50"/>
      <c r="H353" s="57"/>
      <c r="I353" s="51"/>
      <c r="J353" s="51"/>
      <c r="K353" s="52"/>
      <c r="L353" s="52"/>
      <c r="M353" s="52"/>
      <c r="N353" s="52"/>
      <c r="O353" s="53"/>
      <c r="P353" s="54"/>
    </row>
    <row r="354" ht="26.25" hidden="1" customHeight="1">
      <c r="A354" s="44">
        <v>45953.0</v>
      </c>
      <c r="B354" s="45"/>
      <c r="C354" s="63"/>
      <c r="D354" s="47"/>
      <c r="E354" s="64"/>
      <c r="F354" s="49"/>
      <c r="G354" s="50"/>
      <c r="H354" s="57"/>
      <c r="I354" s="51"/>
      <c r="J354" s="51"/>
      <c r="K354" s="52"/>
      <c r="L354" s="52"/>
      <c r="M354" s="52"/>
      <c r="N354" s="52"/>
      <c r="O354" s="53"/>
      <c r="P354" s="54"/>
    </row>
    <row r="355" ht="26.25" hidden="1" customHeight="1">
      <c r="A355" s="44">
        <v>45954.0</v>
      </c>
      <c r="B355" s="45"/>
      <c r="C355" s="63"/>
      <c r="D355" s="47"/>
      <c r="E355" s="64"/>
      <c r="F355" s="49"/>
      <c r="G355" s="50"/>
      <c r="H355" s="57"/>
      <c r="I355" s="51"/>
      <c r="J355" s="51"/>
      <c r="K355" s="52"/>
      <c r="L355" s="52"/>
      <c r="M355" s="52"/>
      <c r="N355" s="52"/>
      <c r="O355" s="53"/>
      <c r="P355" s="54"/>
    </row>
    <row r="356" ht="26.25" hidden="1" customHeight="1">
      <c r="A356" s="44">
        <v>45955.0</v>
      </c>
      <c r="B356" s="45"/>
      <c r="C356" s="63"/>
      <c r="D356" s="47"/>
      <c r="E356" s="64"/>
      <c r="F356" s="49"/>
      <c r="G356" s="50"/>
      <c r="H356" s="57"/>
      <c r="I356" s="51"/>
      <c r="J356" s="51"/>
      <c r="K356" s="52"/>
      <c r="L356" s="52"/>
      <c r="M356" s="52"/>
      <c r="N356" s="52"/>
      <c r="O356" s="53"/>
      <c r="P356" s="54"/>
    </row>
    <row r="357" ht="26.25" hidden="1" customHeight="1">
      <c r="A357" s="44">
        <v>45956.0</v>
      </c>
      <c r="B357" s="45"/>
      <c r="C357" s="63"/>
      <c r="D357" s="47"/>
      <c r="E357" s="64"/>
      <c r="F357" s="49"/>
      <c r="G357" s="50"/>
      <c r="H357" s="57"/>
      <c r="I357" s="51"/>
      <c r="J357" s="51"/>
      <c r="K357" s="52"/>
      <c r="L357" s="52"/>
      <c r="M357" s="52"/>
      <c r="N357" s="52"/>
      <c r="O357" s="53"/>
      <c r="P357" s="54"/>
    </row>
    <row r="358" ht="26.25" hidden="1" customHeight="1">
      <c r="A358" s="44">
        <v>45957.0</v>
      </c>
      <c r="B358" s="45"/>
      <c r="C358" s="63"/>
      <c r="D358" s="47"/>
      <c r="E358" s="64"/>
      <c r="F358" s="49"/>
      <c r="G358" s="50"/>
      <c r="H358" s="57"/>
      <c r="I358" s="51"/>
      <c r="J358" s="51"/>
      <c r="K358" s="52"/>
      <c r="L358" s="52"/>
      <c r="M358" s="52"/>
      <c r="N358" s="52"/>
      <c r="O358" s="53"/>
      <c r="P358" s="54"/>
    </row>
    <row r="359" ht="26.25" hidden="1" customHeight="1">
      <c r="A359" s="44">
        <v>45958.0</v>
      </c>
      <c r="B359" s="45"/>
      <c r="C359" s="63"/>
      <c r="D359" s="47"/>
      <c r="E359" s="64"/>
      <c r="F359" s="49"/>
      <c r="G359" s="50"/>
      <c r="H359" s="57"/>
      <c r="I359" s="51"/>
      <c r="J359" s="51"/>
      <c r="K359" s="52"/>
      <c r="L359" s="52"/>
      <c r="M359" s="52"/>
      <c r="N359" s="52"/>
      <c r="O359" s="53"/>
      <c r="P359" s="54"/>
    </row>
    <row r="360" ht="26.25" hidden="1" customHeight="1">
      <c r="A360" s="44">
        <v>45959.0</v>
      </c>
      <c r="B360" s="45"/>
      <c r="C360" s="63"/>
      <c r="D360" s="47"/>
      <c r="E360" s="64"/>
      <c r="F360" s="49"/>
      <c r="G360" s="50"/>
      <c r="H360" s="57"/>
      <c r="I360" s="51"/>
      <c r="J360" s="51"/>
      <c r="K360" s="52"/>
      <c r="L360" s="52"/>
      <c r="M360" s="52"/>
      <c r="N360" s="52"/>
      <c r="O360" s="53"/>
      <c r="P360" s="54"/>
    </row>
    <row r="361" ht="26.25" hidden="1" customHeight="1">
      <c r="A361" s="44">
        <v>45960.0</v>
      </c>
      <c r="B361" s="45"/>
      <c r="C361" s="63"/>
      <c r="D361" s="47"/>
      <c r="E361" s="64"/>
      <c r="F361" s="49"/>
      <c r="G361" s="50"/>
      <c r="H361" s="57"/>
      <c r="I361" s="51"/>
      <c r="J361" s="51"/>
      <c r="K361" s="52"/>
      <c r="L361" s="52"/>
      <c r="M361" s="52"/>
      <c r="N361" s="52"/>
      <c r="O361" s="53"/>
      <c r="P361" s="54"/>
    </row>
    <row r="362" ht="26.25" hidden="1" customHeight="1">
      <c r="A362" s="44">
        <v>45961.0</v>
      </c>
      <c r="B362" s="45"/>
      <c r="C362" s="63"/>
      <c r="D362" s="47"/>
      <c r="E362" s="64"/>
      <c r="F362" s="49"/>
      <c r="G362" s="50"/>
      <c r="H362" s="57"/>
      <c r="I362" s="51"/>
      <c r="J362" s="51"/>
      <c r="K362" s="52"/>
      <c r="L362" s="52"/>
      <c r="M362" s="52"/>
      <c r="N362" s="52"/>
      <c r="O362" s="53"/>
      <c r="P362" s="54"/>
    </row>
    <row r="363" ht="26.25" hidden="1" customHeight="1">
      <c r="A363" s="44"/>
      <c r="B363" s="45"/>
      <c r="C363" s="63"/>
      <c r="D363" s="47"/>
      <c r="E363" s="64"/>
      <c r="F363" s="49"/>
      <c r="G363" s="50"/>
      <c r="H363" s="57"/>
      <c r="I363" s="51"/>
      <c r="J363" s="51"/>
      <c r="K363" s="52"/>
      <c r="L363" s="52"/>
      <c r="M363" s="52"/>
      <c r="N363" s="52"/>
      <c r="O363" s="53"/>
      <c r="P363" s="54"/>
    </row>
    <row r="364" ht="26.25" hidden="1" customHeight="1">
      <c r="A364" s="44"/>
      <c r="B364" s="45"/>
      <c r="C364" s="63"/>
      <c r="D364" s="47"/>
      <c r="E364" s="64"/>
      <c r="F364" s="49"/>
      <c r="G364" s="50"/>
      <c r="H364" s="57"/>
      <c r="I364" s="51"/>
      <c r="J364" s="51"/>
      <c r="K364" s="52"/>
      <c r="L364" s="52"/>
      <c r="M364" s="52"/>
      <c r="N364" s="52"/>
      <c r="O364" s="53"/>
      <c r="P364" s="54"/>
    </row>
    <row r="365" ht="26.25" hidden="1" customHeight="1">
      <c r="A365" s="44"/>
      <c r="B365" s="45"/>
      <c r="C365" s="63"/>
      <c r="D365" s="47"/>
      <c r="E365" s="64"/>
      <c r="F365" s="49"/>
      <c r="G365" s="50"/>
      <c r="H365" s="57"/>
      <c r="I365" s="51"/>
      <c r="J365" s="51"/>
      <c r="K365" s="52"/>
      <c r="L365" s="52"/>
      <c r="M365" s="52"/>
      <c r="N365" s="52"/>
      <c r="O365" s="53"/>
      <c r="P365" s="54"/>
    </row>
    <row r="366" ht="26.25" hidden="1" customHeight="1">
      <c r="A366" s="44"/>
      <c r="B366" s="45"/>
      <c r="C366" s="63"/>
      <c r="D366" s="47"/>
      <c r="E366" s="64"/>
      <c r="F366" s="49"/>
      <c r="G366" s="50"/>
      <c r="H366" s="57"/>
      <c r="I366" s="51"/>
      <c r="J366" s="51"/>
      <c r="K366" s="52"/>
      <c r="L366" s="52"/>
      <c r="M366" s="52"/>
      <c r="N366" s="52"/>
      <c r="O366" s="53"/>
      <c r="P366" s="54"/>
    </row>
    <row r="367" ht="26.25" hidden="1" customHeight="1">
      <c r="A367" s="44"/>
      <c r="B367" s="45"/>
      <c r="C367" s="63"/>
      <c r="D367" s="47"/>
      <c r="E367" s="64"/>
      <c r="F367" s="49"/>
      <c r="G367" s="50"/>
      <c r="H367" s="57"/>
      <c r="I367" s="51"/>
      <c r="J367" s="51"/>
      <c r="K367" s="52"/>
      <c r="L367" s="52"/>
      <c r="M367" s="52"/>
      <c r="N367" s="52"/>
      <c r="O367" s="53"/>
      <c r="P367" s="54"/>
    </row>
    <row r="368" ht="26.25" hidden="1" customHeight="1">
      <c r="A368" s="44"/>
      <c r="B368" s="45"/>
      <c r="C368" s="63"/>
      <c r="D368" s="47"/>
      <c r="E368" s="64"/>
      <c r="F368" s="49"/>
      <c r="G368" s="50"/>
      <c r="H368" s="57"/>
      <c r="I368" s="51"/>
      <c r="J368" s="51"/>
      <c r="K368" s="52"/>
      <c r="L368" s="52"/>
      <c r="M368" s="52"/>
      <c r="N368" s="52"/>
      <c r="O368" s="53"/>
      <c r="P368" s="54"/>
    </row>
    <row r="369" ht="26.25" hidden="1" customHeight="1">
      <c r="A369" s="44"/>
      <c r="B369" s="45"/>
      <c r="C369" s="63"/>
      <c r="D369" s="47"/>
      <c r="E369" s="64"/>
      <c r="F369" s="49"/>
      <c r="G369" s="50"/>
      <c r="H369" s="57"/>
      <c r="I369" s="51"/>
      <c r="J369" s="51"/>
      <c r="K369" s="52"/>
      <c r="L369" s="52"/>
      <c r="M369" s="52"/>
      <c r="N369" s="52"/>
      <c r="O369" s="53"/>
      <c r="P369" s="54"/>
    </row>
    <row r="370" ht="26.25" hidden="1" customHeight="1">
      <c r="A370" s="44"/>
      <c r="B370" s="45"/>
      <c r="C370" s="63"/>
      <c r="D370" s="47"/>
      <c r="E370" s="64"/>
      <c r="F370" s="49"/>
      <c r="G370" s="50"/>
      <c r="H370" s="57"/>
      <c r="I370" s="51"/>
      <c r="J370" s="51"/>
      <c r="K370" s="52"/>
      <c r="L370" s="52"/>
      <c r="M370" s="52"/>
      <c r="N370" s="52"/>
      <c r="O370" s="53"/>
      <c r="P370" s="54"/>
    </row>
    <row r="371" ht="26.25" hidden="1" customHeight="1">
      <c r="A371" s="44"/>
      <c r="B371" s="45"/>
      <c r="C371" s="63"/>
      <c r="D371" s="47"/>
      <c r="E371" s="64"/>
      <c r="F371" s="49"/>
      <c r="G371" s="50"/>
      <c r="H371" s="57"/>
      <c r="I371" s="51"/>
      <c r="J371" s="51"/>
      <c r="K371" s="52"/>
      <c r="L371" s="52"/>
      <c r="M371" s="52"/>
      <c r="N371" s="52"/>
      <c r="O371" s="53"/>
      <c r="P371" s="54"/>
    </row>
    <row r="372" ht="26.25" hidden="1" customHeight="1">
      <c r="A372" s="44"/>
      <c r="B372" s="45"/>
      <c r="C372" s="63"/>
      <c r="D372" s="47"/>
      <c r="E372" s="64"/>
      <c r="F372" s="49"/>
      <c r="G372" s="50"/>
      <c r="H372" s="57"/>
      <c r="I372" s="51"/>
      <c r="J372" s="51"/>
      <c r="K372" s="52"/>
      <c r="L372" s="52"/>
      <c r="M372" s="52"/>
      <c r="N372" s="52"/>
      <c r="O372" s="53"/>
      <c r="P372" s="54"/>
    </row>
    <row r="373" ht="26.25" hidden="1" customHeight="1">
      <c r="A373" s="44"/>
      <c r="B373" s="45"/>
      <c r="C373" s="63"/>
      <c r="D373" s="47"/>
      <c r="E373" s="64"/>
      <c r="F373" s="49"/>
      <c r="G373" s="50"/>
      <c r="H373" s="57"/>
      <c r="I373" s="51"/>
      <c r="J373" s="51"/>
      <c r="K373" s="52"/>
      <c r="L373" s="52"/>
      <c r="M373" s="52"/>
      <c r="N373" s="52"/>
      <c r="O373" s="53"/>
      <c r="P373" s="54"/>
    </row>
    <row r="374" ht="26.25" hidden="1" customHeight="1">
      <c r="A374" s="44"/>
      <c r="B374" s="45"/>
      <c r="C374" s="63"/>
      <c r="D374" s="47"/>
      <c r="E374" s="64"/>
      <c r="F374" s="49"/>
      <c r="G374" s="50"/>
      <c r="H374" s="57"/>
      <c r="I374" s="51"/>
      <c r="J374" s="51"/>
      <c r="K374" s="52"/>
      <c r="L374" s="52"/>
      <c r="M374" s="52"/>
      <c r="N374" s="52"/>
      <c r="O374" s="53"/>
      <c r="P374" s="54"/>
    </row>
    <row r="375" ht="26.25" hidden="1" customHeight="1">
      <c r="A375" s="44"/>
      <c r="B375" s="45"/>
      <c r="C375" s="63"/>
      <c r="D375" s="47"/>
      <c r="E375" s="64"/>
      <c r="F375" s="49"/>
      <c r="G375" s="50"/>
      <c r="H375" s="57"/>
      <c r="I375" s="51"/>
      <c r="J375" s="51"/>
      <c r="K375" s="52"/>
      <c r="L375" s="52"/>
      <c r="M375" s="52"/>
      <c r="N375" s="52"/>
      <c r="O375" s="53"/>
      <c r="P375" s="54"/>
    </row>
    <row r="376" ht="26.25" hidden="1" customHeight="1">
      <c r="A376" s="44"/>
      <c r="B376" s="45"/>
      <c r="C376" s="63"/>
      <c r="D376" s="47"/>
      <c r="E376" s="64"/>
      <c r="F376" s="49"/>
      <c r="G376" s="50"/>
      <c r="H376" s="57"/>
      <c r="I376" s="51"/>
      <c r="J376" s="51"/>
      <c r="K376" s="52"/>
      <c r="L376" s="52"/>
      <c r="M376" s="52"/>
      <c r="N376" s="52"/>
      <c r="O376" s="53"/>
      <c r="P376" s="54"/>
    </row>
    <row r="377" ht="26.25" hidden="1" customHeight="1">
      <c r="A377" s="44"/>
      <c r="B377" s="45"/>
      <c r="C377" s="63"/>
      <c r="D377" s="47"/>
      <c r="E377" s="64"/>
      <c r="F377" s="49"/>
      <c r="G377" s="50"/>
      <c r="H377" s="57"/>
      <c r="I377" s="51"/>
      <c r="J377" s="51"/>
      <c r="K377" s="52"/>
      <c r="L377" s="52"/>
      <c r="M377" s="52"/>
      <c r="N377" s="52"/>
      <c r="O377" s="53"/>
      <c r="P377" s="54"/>
    </row>
    <row r="378" ht="26.25" hidden="1" customHeight="1">
      <c r="A378" s="44"/>
      <c r="B378" s="45"/>
      <c r="C378" s="63"/>
      <c r="D378" s="47"/>
      <c r="E378" s="64"/>
      <c r="F378" s="49"/>
      <c r="G378" s="50"/>
      <c r="H378" s="57"/>
      <c r="I378" s="51"/>
      <c r="J378" s="51"/>
      <c r="K378" s="52"/>
      <c r="L378" s="52"/>
      <c r="M378" s="52"/>
      <c r="N378" s="52"/>
      <c r="O378" s="53"/>
      <c r="P378" s="54"/>
    </row>
    <row r="379" ht="26.25" hidden="1" customHeight="1">
      <c r="A379" s="44"/>
      <c r="B379" s="45"/>
      <c r="C379" s="63"/>
      <c r="D379" s="47"/>
      <c r="E379" s="64"/>
      <c r="F379" s="49"/>
      <c r="G379" s="50"/>
      <c r="H379" s="57"/>
      <c r="I379" s="51"/>
      <c r="J379" s="51"/>
      <c r="K379" s="52"/>
      <c r="L379" s="52"/>
      <c r="M379" s="52"/>
      <c r="N379" s="52"/>
      <c r="O379" s="53"/>
      <c r="P379" s="54"/>
    </row>
    <row r="380" ht="26.25" hidden="1" customHeight="1">
      <c r="A380" s="44"/>
      <c r="B380" s="45"/>
      <c r="C380" s="63"/>
      <c r="D380" s="47"/>
      <c r="E380" s="64"/>
      <c r="F380" s="49"/>
      <c r="G380" s="50"/>
      <c r="H380" s="57"/>
      <c r="I380" s="51"/>
      <c r="J380" s="51"/>
      <c r="K380" s="52"/>
      <c r="L380" s="52"/>
      <c r="M380" s="52"/>
      <c r="N380" s="52"/>
      <c r="O380" s="53"/>
      <c r="P380" s="54"/>
    </row>
    <row r="381" ht="26.25" hidden="1" customHeight="1">
      <c r="A381" s="44"/>
      <c r="B381" s="45"/>
      <c r="C381" s="63"/>
      <c r="D381" s="47"/>
      <c r="E381" s="64"/>
      <c r="F381" s="49"/>
      <c r="G381" s="50"/>
      <c r="H381" s="57"/>
      <c r="I381" s="51"/>
      <c r="J381" s="51"/>
      <c r="K381" s="52"/>
      <c r="L381" s="52"/>
      <c r="M381" s="52"/>
      <c r="N381" s="52"/>
      <c r="O381" s="53"/>
      <c r="P381" s="54"/>
    </row>
    <row r="382" ht="26.25" hidden="1" customHeight="1">
      <c r="A382" s="44"/>
      <c r="B382" s="45"/>
      <c r="C382" s="63"/>
      <c r="D382" s="47"/>
      <c r="E382" s="64"/>
      <c r="F382" s="49"/>
      <c r="G382" s="50"/>
      <c r="H382" s="57"/>
      <c r="I382" s="51"/>
      <c r="J382" s="51"/>
      <c r="K382" s="52"/>
      <c r="L382" s="52"/>
      <c r="M382" s="52"/>
      <c r="N382" s="52"/>
      <c r="O382" s="53"/>
      <c r="P382" s="54"/>
    </row>
    <row r="383" ht="26.25" hidden="1" customHeight="1">
      <c r="A383" s="44"/>
      <c r="B383" s="45"/>
      <c r="C383" s="63"/>
      <c r="D383" s="47"/>
      <c r="E383" s="64"/>
      <c r="F383" s="49"/>
      <c r="G383" s="50"/>
      <c r="H383" s="57"/>
      <c r="I383" s="51"/>
      <c r="J383" s="51"/>
      <c r="K383" s="52"/>
      <c r="L383" s="52"/>
      <c r="M383" s="52"/>
      <c r="N383" s="52"/>
      <c r="O383" s="53"/>
      <c r="P383" s="54"/>
    </row>
    <row r="384" ht="26.25" hidden="1" customHeight="1">
      <c r="A384" s="44"/>
      <c r="B384" s="45"/>
      <c r="C384" s="63"/>
      <c r="D384" s="47"/>
      <c r="E384" s="64"/>
      <c r="F384" s="49"/>
      <c r="G384" s="50"/>
      <c r="H384" s="57"/>
      <c r="I384" s="51"/>
      <c r="J384" s="51"/>
      <c r="K384" s="52"/>
      <c r="L384" s="52"/>
      <c r="M384" s="52"/>
      <c r="N384" s="52"/>
      <c r="O384" s="53"/>
      <c r="P384" s="54"/>
    </row>
    <row r="385" ht="26.25" hidden="1" customHeight="1">
      <c r="A385" s="44"/>
      <c r="B385" s="45"/>
      <c r="C385" s="63"/>
      <c r="D385" s="47"/>
      <c r="E385" s="64"/>
      <c r="F385" s="49"/>
      <c r="G385" s="50"/>
      <c r="H385" s="57"/>
      <c r="I385" s="51"/>
      <c r="J385" s="51"/>
      <c r="K385" s="52"/>
      <c r="L385" s="52"/>
      <c r="M385" s="52"/>
      <c r="N385" s="52"/>
      <c r="O385" s="53"/>
      <c r="P385" s="54"/>
    </row>
    <row r="386" ht="26.25" hidden="1" customHeight="1">
      <c r="A386" s="44"/>
      <c r="B386" s="45"/>
      <c r="C386" s="63"/>
      <c r="D386" s="47"/>
      <c r="E386" s="64"/>
      <c r="F386" s="49"/>
      <c r="G386" s="50"/>
      <c r="H386" s="57"/>
      <c r="I386" s="51"/>
      <c r="J386" s="51"/>
      <c r="K386" s="52"/>
      <c r="L386" s="52"/>
      <c r="M386" s="52"/>
      <c r="N386" s="52"/>
      <c r="O386" s="53"/>
      <c r="P386" s="54"/>
    </row>
    <row r="387" ht="26.25" hidden="1" customHeight="1">
      <c r="A387" s="44"/>
      <c r="B387" s="45"/>
      <c r="C387" s="63"/>
      <c r="D387" s="47"/>
      <c r="E387" s="64"/>
      <c r="F387" s="49"/>
      <c r="G387" s="50"/>
      <c r="H387" s="57"/>
      <c r="I387" s="51"/>
      <c r="J387" s="51"/>
      <c r="K387" s="52"/>
      <c r="L387" s="52"/>
      <c r="M387" s="52"/>
      <c r="N387" s="52"/>
      <c r="O387" s="53"/>
      <c r="P387" s="54"/>
    </row>
    <row r="388" ht="26.25" hidden="1" customHeight="1">
      <c r="A388" s="44"/>
      <c r="B388" s="45"/>
      <c r="C388" s="63"/>
      <c r="D388" s="47"/>
      <c r="E388" s="64"/>
      <c r="F388" s="49"/>
      <c r="G388" s="50"/>
      <c r="H388" s="57"/>
      <c r="I388" s="51"/>
      <c r="J388" s="51"/>
      <c r="K388" s="52"/>
      <c r="L388" s="52"/>
      <c r="M388" s="52"/>
      <c r="N388" s="52"/>
      <c r="O388" s="53"/>
      <c r="P388" s="54"/>
    </row>
    <row r="389" ht="26.25" hidden="1" customHeight="1">
      <c r="A389" s="44"/>
      <c r="B389" s="45"/>
      <c r="C389" s="63"/>
      <c r="D389" s="47"/>
      <c r="E389" s="64"/>
      <c r="F389" s="49"/>
      <c r="G389" s="50"/>
      <c r="H389" s="57"/>
      <c r="I389" s="51"/>
      <c r="J389" s="51"/>
      <c r="K389" s="52"/>
      <c r="L389" s="52"/>
      <c r="M389" s="52"/>
      <c r="N389" s="52"/>
      <c r="O389" s="53"/>
      <c r="P389" s="54"/>
    </row>
    <row r="390" ht="26.25" hidden="1" customHeight="1">
      <c r="A390" s="44"/>
      <c r="B390" s="45"/>
      <c r="C390" s="63"/>
      <c r="D390" s="47"/>
      <c r="E390" s="64"/>
      <c r="F390" s="49"/>
      <c r="G390" s="50"/>
      <c r="H390" s="57"/>
      <c r="I390" s="51"/>
      <c r="J390" s="51"/>
      <c r="K390" s="52"/>
      <c r="L390" s="52"/>
      <c r="M390" s="52"/>
      <c r="N390" s="52"/>
      <c r="O390" s="53"/>
      <c r="P390" s="54"/>
    </row>
    <row r="391" ht="26.25" hidden="1" customHeight="1">
      <c r="A391" s="44"/>
      <c r="B391" s="45"/>
      <c r="C391" s="63"/>
      <c r="D391" s="47"/>
      <c r="E391" s="64"/>
      <c r="F391" s="49"/>
      <c r="G391" s="50"/>
      <c r="H391" s="57"/>
      <c r="I391" s="51"/>
      <c r="J391" s="51"/>
      <c r="K391" s="52"/>
      <c r="L391" s="52"/>
      <c r="M391" s="52"/>
      <c r="N391" s="52"/>
      <c r="O391" s="53"/>
      <c r="P391" s="54"/>
    </row>
    <row r="392" ht="26.25" hidden="1" customHeight="1">
      <c r="A392" s="44"/>
      <c r="B392" s="45"/>
      <c r="C392" s="63"/>
      <c r="D392" s="47"/>
      <c r="E392" s="64"/>
      <c r="F392" s="49"/>
      <c r="G392" s="50"/>
      <c r="H392" s="57"/>
      <c r="I392" s="51"/>
      <c r="J392" s="51"/>
      <c r="K392" s="52"/>
      <c r="L392" s="52"/>
      <c r="M392" s="52"/>
      <c r="N392" s="52"/>
      <c r="O392" s="53"/>
      <c r="P392" s="54"/>
    </row>
    <row r="393" ht="26.25" hidden="1" customHeight="1">
      <c r="A393" s="44"/>
      <c r="B393" s="45"/>
      <c r="C393" s="63"/>
      <c r="D393" s="47"/>
      <c r="E393" s="64"/>
      <c r="F393" s="49"/>
      <c r="G393" s="50"/>
      <c r="H393" s="57"/>
      <c r="I393" s="51"/>
      <c r="J393" s="51"/>
      <c r="K393" s="52"/>
      <c r="L393" s="52"/>
      <c r="M393" s="52"/>
      <c r="N393" s="52"/>
      <c r="O393" s="53"/>
      <c r="P393" s="54"/>
    </row>
    <row r="394" ht="26.25" hidden="1" customHeight="1">
      <c r="A394" s="44"/>
      <c r="B394" s="45"/>
      <c r="C394" s="63"/>
      <c r="D394" s="47"/>
      <c r="E394" s="64"/>
      <c r="F394" s="49"/>
      <c r="G394" s="50"/>
      <c r="H394" s="57"/>
      <c r="I394" s="51"/>
      <c r="J394" s="51"/>
      <c r="K394" s="52"/>
      <c r="L394" s="52"/>
      <c r="M394" s="52"/>
      <c r="N394" s="52"/>
      <c r="O394" s="53"/>
      <c r="P394" s="54"/>
    </row>
    <row r="395" ht="26.25" hidden="1" customHeight="1">
      <c r="A395" s="44"/>
      <c r="B395" s="45"/>
      <c r="C395" s="63"/>
      <c r="D395" s="47"/>
      <c r="E395" s="64"/>
      <c r="F395" s="49"/>
      <c r="G395" s="50"/>
      <c r="H395" s="57"/>
      <c r="I395" s="51"/>
      <c r="J395" s="51"/>
      <c r="K395" s="52"/>
      <c r="L395" s="52"/>
      <c r="M395" s="52"/>
      <c r="N395" s="52"/>
      <c r="O395" s="53"/>
      <c r="P395" s="54"/>
    </row>
    <row r="396" ht="26.25" hidden="1" customHeight="1">
      <c r="A396" s="44"/>
      <c r="B396" s="45"/>
      <c r="C396" s="63"/>
      <c r="D396" s="47"/>
      <c r="E396" s="64"/>
      <c r="F396" s="49"/>
      <c r="G396" s="50"/>
      <c r="H396" s="57"/>
      <c r="I396" s="51"/>
      <c r="J396" s="51"/>
      <c r="K396" s="52"/>
      <c r="L396" s="52"/>
      <c r="M396" s="52"/>
      <c r="N396" s="52"/>
      <c r="O396" s="53"/>
      <c r="P396" s="54"/>
    </row>
    <row r="397" ht="26.25" hidden="1" customHeight="1">
      <c r="A397" s="44"/>
      <c r="B397" s="45"/>
      <c r="C397" s="63"/>
      <c r="D397" s="47"/>
      <c r="E397" s="64"/>
      <c r="F397" s="49"/>
      <c r="G397" s="50"/>
      <c r="H397" s="57"/>
      <c r="I397" s="51"/>
      <c r="J397" s="51"/>
      <c r="K397" s="52"/>
      <c r="L397" s="52"/>
      <c r="M397" s="52"/>
      <c r="N397" s="52"/>
      <c r="O397" s="53"/>
      <c r="P397" s="54"/>
    </row>
    <row r="398" ht="26.25" hidden="1" customHeight="1">
      <c r="A398" s="44"/>
      <c r="B398" s="45"/>
      <c r="C398" s="63"/>
      <c r="D398" s="47"/>
      <c r="E398" s="64"/>
      <c r="F398" s="49"/>
      <c r="G398" s="50"/>
      <c r="H398" s="57"/>
      <c r="I398" s="51"/>
      <c r="J398" s="51"/>
      <c r="K398" s="52"/>
      <c r="L398" s="52"/>
      <c r="M398" s="52"/>
      <c r="N398" s="52"/>
      <c r="O398" s="53"/>
      <c r="P398" s="54"/>
    </row>
    <row r="399" ht="26.25" hidden="1" customHeight="1">
      <c r="A399" s="44"/>
      <c r="B399" s="45"/>
      <c r="C399" s="63"/>
      <c r="D399" s="47"/>
      <c r="E399" s="64"/>
      <c r="F399" s="49"/>
      <c r="G399" s="50"/>
      <c r="H399" s="57"/>
      <c r="I399" s="51"/>
      <c r="J399" s="51"/>
      <c r="K399" s="52"/>
      <c r="L399" s="52"/>
      <c r="M399" s="52"/>
      <c r="N399" s="52"/>
      <c r="O399" s="53"/>
      <c r="P399" s="54"/>
    </row>
    <row r="400" ht="26.25" hidden="1" customHeight="1">
      <c r="A400" s="44"/>
      <c r="B400" s="45"/>
      <c r="C400" s="63"/>
      <c r="D400" s="47"/>
      <c r="E400" s="64"/>
      <c r="F400" s="49"/>
      <c r="G400" s="50"/>
      <c r="H400" s="57"/>
      <c r="I400" s="51"/>
      <c r="J400" s="51"/>
      <c r="K400" s="52"/>
      <c r="L400" s="52"/>
      <c r="M400" s="52"/>
      <c r="N400" s="52"/>
      <c r="O400" s="53"/>
      <c r="P400" s="54"/>
    </row>
    <row r="401" ht="26.25" hidden="1" customHeight="1">
      <c r="A401" s="44"/>
      <c r="B401" s="45"/>
      <c r="C401" s="63"/>
      <c r="D401" s="47"/>
      <c r="E401" s="64"/>
      <c r="F401" s="49"/>
      <c r="G401" s="50"/>
      <c r="H401" s="57"/>
      <c r="I401" s="51"/>
      <c r="J401" s="51"/>
      <c r="K401" s="52"/>
      <c r="L401" s="52"/>
      <c r="M401" s="52"/>
      <c r="N401" s="52"/>
      <c r="O401" s="53"/>
      <c r="P401" s="54"/>
    </row>
    <row r="402" ht="26.25" hidden="1" customHeight="1">
      <c r="A402" s="44"/>
      <c r="B402" s="45"/>
      <c r="C402" s="63"/>
      <c r="D402" s="47"/>
      <c r="E402" s="64"/>
      <c r="F402" s="49"/>
      <c r="G402" s="50"/>
      <c r="H402" s="57"/>
      <c r="I402" s="51"/>
      <c r="J402" s="51"/>
      <c r="K402" s="52"/>
      <c r="L402" s="52"/>
      <c r="M402" s="52"/>
      <c r="N402" s="52"/>
      <c r="O402" s="53"/>
      <c r="P402" s="54"/>
    </row>
    <row r="403" ht="26.25" hidden="1" customHeight="1">
      <c r="A403" s="44"/>
      <c r="B403" s="45"/>
      <c r="C403" s="63"/>
      <c r="D403" s="47"/>
      <c r="E403" s="64"/>
      <c r="F403" s="49"/>
      <c r="G403" s="50"/>
      <c r="H403" s="57"/>
      <c r="I403" s="51"/>
      <c r="J403" s="51"/>
      <c r="K403" s="52"/>
      <c r="L403" s="52"/>
      <c r="M403" s="52"/>
      <c r="N403" s="52"/>
      <c r="O403" s="53"/>
      <c r="P403" s="54"/>
    </row>
    <row r="404" ht="26.25" hidden="1" customHeight="1">
      <c r="A404" s="44"/>
      <c r="B404" s="45"/>
      <c r="C404" s="63"/>
      <c r="D404" s="47"/>
      <c r="E404" s="64"/>
      <c r="F404" s="49"/>
      <c r="G404" s="50"/>
      <c r="H404" s="57"/>
      <c r="I404" s="51"/>
      <c r="J404" s="51"/>
      <c r="K404" s="52"/>
      <c r="L404" s="52"/>
      <c r="M404" s="52"/>
      <c r="N404" s="52"/>
      <c r="O404" s="53"/>
      <c r="P404" s="54"/>
    </row>
    <row r="405" ht="26.25" hidden="1" customHeight="1">
      <c r="A405" s="44"/>
      <c r="B405" s="45"/>
      <c r="C405" s="63"/>
      <c r="D405" s="47"/>
      <c r="E405" s="64"/>
      <c r="F405" s="49"/>
      <c r="G405" s="50"/>
      <c r="H405" s="57"/>
      <c r="I405" s="51"/>
      <c r="J405" s="51"/>
      <c r="K405" s="52"/>
      <c r="L405" s="52"/>
      <c r="M405" s="52"/>
      <c r="N405" s="52"/>
      <c r="O405" s="53"/>
      <c r="P405" s="54"/>
    </row>
    <row r="406" ht="26.25" hidden="1" customHeight="1">
      <c r="A406" s="44"/>
      <c r="B406" s="45"/>
      <c r="C406" s="63"/>
      <c r="D406" s="47"/>
      <c r="E406" s="64"/>
      <c r="F406" s="49"/>
      <c r="G406" s="50"/>
      <c r="H406" s="57"/>
      <c r="I406" s="51"/>
      <c r="J406" s="51"/>
      <c r="K406" s="52"/>
      <c r="L406" s="52"/>
      <c r="M406" s="52"/>
      <c r="N406" s="52"/>
      <c r="O406" s="53"/>
      <c r="P406" s="54"/>
    </row>
    <row r="407" ht="26.25" hidden="1" customHeight="1">
      <c r="A407" s="44"/>
      <c r="B407" s="45"/>
      <c r="C407" s="63"/>
      <c r="D407" s="47"/>
      <c r="E407" s="64"/>
      <c r="F407" s="49"/>
      <c r="G407" s="50"/>
      <c r="H407" s="57"/>
      <c r="I407" s="51"/>
      <c r="J407" s="51"/>
      <c r="K407" s="52"/>
      <c r="L407" s="52"/>
      <c r="M407" s="52"/>
      <c r="N407" s="52"/>
      <c r="O407" s="53"/>
      <c r="P407" s="54"/>
    </row>
    <row r="408" ht="26.25" hidden="1" customHeight="1">
      <c r="A408" s="44"/>
      <c r="B408" s="45"/>
      <c r="C408" s="63"/>
      <c r="D408" s="47"/>
      <c r="E408" s="64"/>
      <c r="F408" s="49"/>
      <c r="G408" s="50"/>
      <c r="H408" s="57"/>
      <c r="I408" s="51"/>
      <c r="J408" s="51"/>
      <c r="K408" s="52"/>
      <c r="L408" s="52"/>
      <c r="M408" s="52"/>
      <c r="N408" s="52"/>
      <c r="O408" s="53"/>
      <c r="P408" s="54"/>
    </row>
    <row r="409" ht="26.25" hidden="1" customHeight="1">
      <c r="A409" s="44"/>
      <c r="B409" s="45"/>
      <c r="C409" s="63"/>
      <c r="D409" s="47"/>
      <c r="E409" s="64"/>
      <c r="F409" s="49"/>
      <c r="G409" s="50"/>
      <c r="H409" s="57"/>
      <c r="I409" s="51"/>
      <c r="J409" s="51"/>
      <c r="K409" s="52"/>
      <c r="L409" s="52"/>
      <c r="M409" s="52"/>
      <c r="N409" s="52"/>
      <c r="O409" s="53"/>
      <c r="P409" s="54"/>
    </row>
    <row r="410" ht="26.25" hidden="1" customHeight="1">
      <c r="A410" s="44"/>
      <c r="B410" s="45"/>
      <c r="C410" s="63"/>
      <c r="D410" s="47"/>
      <c r="E410" s="64"/>
      <c r="F410" s="49"/>
      <c r="G410" s="50"/>
      <c r="H410" s="57"/>
      <c r="I410" s="51"/>
      <c r="J410" s="51"/>
      <c r="K410" s="52"/>
      <c r="L410" s="52"/>
      <c r="M410" s="52"/>
      <c r="N410" s="52"/>
      <c r="O410" s="53"/>
      <c r="P410" s="54"/>
    </row>
    <row r="411" ht="26.25" hidden="1" customHeight="1">
      <c r="A411" s="44"/>
      <c r="B411" s="45"/>
      <c r="C411" s="63"/>
      <c r="D411" s="47"/>
      <c r="E411" s="64"/>
      <c r="F411" s="49"/>
      <c r="G411" s="50"/>
      <c r="H411" s="57"/>
      <c r="I411" s="51"/>
      <c r="J411" s="51"/>
      <c r="K411" s="52"/>
      <c r="L411" s="52"/>
      <c r="M411" s="52"/>
      <c r="N411" s="52"/>
      <c r="O411" s="53"/>
      <c r="P411" s="54"/>
    </row>
    <row r="412" ht="26.25" hidden="1" customHeight="1">
      <c r="A412" s="44"/>
      <c r="B412" s="45"/>
      <c r="C412" s="63"/>
      <c r="D412" s="47"/>
      <c r="E412" s="64"/>
      <c r="F412" s="49"/>
      <c r="G412" s="50"/>
      <c r="H412" s="57"/>
      <c r="I412" s="51"/>
      <c r="J412" s="51"/>
      <c r="K412" s="52"/>
      <c r="L412" s="52"/>
      <c r="M412" s="52"/>
      <c r="N412" s="52"/>
      <c r="O412" s="53"/>
      <c r="P412" s="54"/>
    </row>
    <row r="413" ht="26.25" hidden="1" customHeight="1">
      <c r="A413" s="44"/>
      <c r="B413" s="45"/>
      <c r="C413" s="63"/>
      <c r="D413" s="47"/>
      <c r="E413" s="64"/>
      <c r="F413" s="49"/>
      <c r="G413" s="50"/>
      <c r="H413" s="57"/>
      <c r="I413" s="51"/>
      <c r="J413" s="51"/>
      <c r="K413" s="52"/>
      <c r="L413" s="52"/>
      <c r="M413" s="52"/>
      <c r="N413" s="52"/>
      <c r="O413" s="53"/>
      <c r="P413" s="54"/>
    </row>
    <row r="414" ht="26.25" hidden="1" customHeight="1">
      <c r="A414" s="44"/>
      <c r="B414" s="45"/>
      <c r="C414" s="63"/>
      <c r="D414" s="47"/>
      <c r="E414" s="64"/>
      <c r="F414" s="49"/>
      <c r="G414" s="50"/>
      <c r="H414" s="57"/>
      <c r="I414" s="51"/>
      <c r="J414" s="51"/>
      <c r="K414" s="52"/>
      <c r="L414" s="52"/>
      <c r="M414" s="52"/>
      <c r="N414" s="52"/>
      <c r="O414" s="53"/>
      <c r="P414" s="54"/>
    </row>
    <row r="415" ht="26.25" hidden="1" customHeight="1">
      <c r="A415" s="44"/>
      <c r="B415" s="45"/>
      <c r="C415" s="63"/>
      <c r="D415" s="47"/>
      <c r="E415" s="64"/>
      <c r="F415" s="49"/>
      <c r="G415" s="50"/>
      <c r="H415" s="57"/>
      <c r="I415" s="51"/>
      <c r="J415" s="51"/>
      <c r="K415" s="52"/>
      <c r="L415" s="52"/>
      <c r="M415" s="52"/>
      <c r="N415" s="52"/>
      <c r="O415" s="53"/>
      <c r="P415" s="54"/>
    </row>
    <row r="416" ht="26.25" hidden="1" customHeight="1">
      <c r="A416" s="44"/>
      <c r="B416" s="45"/>
      <c r="C416" s="63"/>
      <c r="D416" s="47"/>
      <c r="E416" s="64"/>
      <c r="F416" s="49"/>
      <c r="G416" s="50"/>
      <c r="H416" s="57"/>
      <c r="I416" s="51"/>
      <c r="J416" s="51"/>
      <c r="K416" s="52"/>
      <c r="L416" s="52"/>
      <c r="M416" s="52"/>
      <c r="N416" s="52"/>
      <c r="O416" s="53"/>
      <c r="P416" s="54"/>
    </row>
    <row r="417" ht="26.25" hidden="1" customHeight="1">
      <c r="A417" s="44"/>
      <c r="B417" s="45"/>
      <c r="C417" s="63"/>
      <c r="D417" s="47"/>
      <c r="E417" s="64"/>
      <c r="F417" s="49"/>
      <c r="G417" s="50"/>
      <c r="H417" s="57"/>
      <c r="I417" s="51"/>
      <c r="J417" s="51"/>
      <c r="K417" s="52"/>
      <c r="L417" s="52"/>
      <c r="M417" s="52"/>
      <c r="N417" s="52"/>
      <c r="O417" s="53"/>
      <c r="P417" s="54"/>
    </row>
    <row r="418" ht="26.25" hidden="1" customHeight="1">
      <c r="A418" s="44"/>
      <c r="B418" s="45"/>
      <c r="C418" s="63"/>
      <c r="D418" s="47"/>
      <c r="E418" s="64"/>
      <c r="F418" s="49"/>
      <c r="G418" s="50"/>
      <c r="H418" s="57"/>
      <c r="I418" s="51"/>
      <c r="J418" s="51"/>
      <c r="K418" s="52"/>
      <c r="L418" s="52"/>
      <c r="M418" s="52"/>
      <c r="N418" s="52"/>
      <c r="O418" s="53"/>
      <c r="P418" s="54"/>
    </row>
    <row r="419" ht="26.25" hidden="1" customHeight="1">
      <c r="A419" s="44"/>
      <c r="B419" s="45"/>
      <c r="C419" s="63"/>
      <c r="D419" s="47"/>
      <c r="E419" s="64"/>
      <c r="F419" s="49"/>
      <c r="G419" s="50"/>
      <c r="H419" s="57"/>
      <c r="I419" s="51"/>
      <c r="J419" s="51"/>
      <c r="K419" s="52"/>
      <c r="L419" s="52"/>
      <c r="M419" s="52"/>
      <c r="N419" s="52"/>
      <c r="O419" s="53"/>
      <c r="P419" s="54"/>
    </row>
    <row r="420" ht="26.25" hidden="1" customHeight="1">
      <c r="A420" s="44"/>
      <c r="B420" s="45"/>
      <c r="C420" s="63"/>
      <c r="D420" s="47"/>
      <c r="E420" s="64"/>
      <c r="F420" s="49"/>
      <c r="G420" s="50"/>
      <c r="H420" s="57"/>
      <c r="I420" s="51"/>
      <c r="J420" s="51"/>
      <c r="K420" s="52"/>
      <c r="L420" s="52"/>
      <c r="M420" s="52"/>
      <c r="N420" s="52"/>
      <c r="O420" s="53"/>
      <c r="P420" s="54"/>
    </row>
    <row r="421" ht="26.25" hidden="1" customHeight="1">
      <c r="A421" s="44"/>
      <c r="B421" s="45"/>
      <c r="C421" s="63"/>
      <c r="D421" s="47"/>
      <c r="E421" s="64"/>
      <c r="F421" s="49"/>
      <c r="G421" s="50"/>
      <c r="H421" s="57"/>
      <c r="I421" s="51"/>
      <c r="J421" s="51"/>
      <c r="K421" s="52"/>
      <c r="L421" s="52"/>
      <c r="M421" s="52"/>
      <c r="N421" s="52"/>
      <c r="O421" s="53"/>
      <c r="P421" s="54"/>
    </row>
    <row r="422" ht="26.25" hidden="1" customHeight="1">
      <c r="A422" s="44"/>
      <c r="B422" s="45"/>
      <c r="C422" s="63"/>
      <c r="D422" s="47"/>
      <c r="E422" s="64"/>
      <c r="F422" s="49"/>
      <c r="G422" s="50"/>
      <c r="H422" s="57"/>
      <c r="I422" s="51"/>
      <c r="J422" s="51"/>
      <c r="K422" s="52"/>
      <c r="L422" s="52"/>
      <c r="M422" s="52"/>
      <c r="N422" s="52"/>
      <c r="O422" s="53"/>
      <c r="P422" s="54"/>
    </row>
    <row r="423" ht="26.25" hidden="1" customHeight="1">
      <c r="A423" s="44"/>
      <c r="B423" s="45"/>
      <c r="C423" s="63"/>
      <c r="D423" s="47"/>
      <c r="E423" s="64"/>
      <c r="F423" s="49"/>
      <c r="G423" s="50"/>
      <c r="H423" s="57"/>
      <c r="I423" s="51"/>
      <c r="J423" s="51"/>
      <c r="K423" s="52"/>
      <c r="L423" s="52"/>
      <c r="M423" s="52"/>
      <c r="N423" s="52"/>
      <c r="O423" s="53"/>
      <c r="P423" s="54"/>
    </row>
    <row r="424" ht="26.25" hidden="1" customHeight="1">
      <c r="A424" s="44"/>
      <c r="B424" s="45"/>
      <c r="C424" s="63"/>
      <c r="D424" s="47"/>
      <c r="E424" s="64"/>
      <c r="F424" s="49"/>
      <c r="G424" s="50"/>
      <c r="H424" s="57"/>
      <c r="I424" s="51"/>
      <c r="J424" s="51"/>
      <c r="K424" s="52"/>
      <c r="L424" s="52"/>
      <c r="M424" s="52"/>
      <c r="N424" s="52"/>
      <c r="O424" s="53"/>
      <c r="P424" s="54"/>
    </row>
    <row r="425" ht="26.25" hidden="1" customHeight="1">
      <c r="A425" s="44"/>
      <c r="B425" s="45"/>
      <c r="C425" s="63"/>
      <c r="D425" s="47"/>
      <c r="E425" s="64"/>
      <c r="F425" s="49"/>
      <c r="G425" s="50"/>
      <c r="H425" s="57"/>
      <c r="I425" s="51"/>
      <c r="J425" s="51"/>
      <c r="K425" s="52"/>
      <c r="L425" s="52"/>
      <c r="M425" s="52"/>
      <c r="N425" s="52"/>
      <c r="O425" s="53"/>
      <c r="P425" s="54"/>
    </row>
    <row r="426" ht="26.25" hidden="1" customHeight="1">
      <c r="A426" s="44"/>
      <c r="B426" s="45"/>
      <c r="C426" s="63"/>
      <c r="D426" s="47"/>
      <c r="E426" s="64"/>
      <c r="F426" s="49"/>
      <c r="G426" s="50"/>
      <c r="H426" s="57"/>
      <c r="I426" s="51"/>
      <c r="J426" s="51"/>
      <c r="K426" s="52"/>
      <c r="L426" s="52"/>
      <c r="M426" s="52"/>
      <c r="N426" s="52"/>
      <c r="O426" s="53"/>
      <c r="P426" s="54"/>
    </row>
    <row r="427" ht="26.25" hidden="1" customHeight="1">
      <c r="A427" s="44"/>
      <c r="B427" s="45"/>
      <c r="C427" s="63"/>
      <c r="D427" s="47"/>
      <c r="E427" s="64"/>
      <c r="F427" s="49"/>
      <c r="G427" s="50"/>
      <c r="H427" s="57"/>
      <c r="I427" s="51"/>
      <c r="J427" s="51"/>
      <c r="K427" s="52"/>
      <c r="L427" s="52"/>
      <c r="M427" s="52"/>
      <c r="N427" s="52"/>
      <c r="O427" s="53"/>
      <c r="P427" s="54"/>
    </row>
    <row r="428" ht="26.25" hidden="1" customHeight="1">
      <c r="A428" s="44"/>
      <c r="B428" s="45"/>
      <c r="C428" s="63"/>
      <c r="D428" s="47"/>
      <c r="E428" s="64"/>
      <c r="F428" s="49"/>
      <c r="G428" s="50"/>
      <c r="H428" s="57"/>
      <c r="I428" s="51"/>
      <c r="J428" s="51"/>
      <c r="K428" s="52"/>
      <c r="L428" s="52"/>
      <c r="M428" s="52"/>
      <c r="N428" s="52"/>
      <c r="O428" s="53"/>
      <c r="P428" s="54"/>
    </row>
    <row r="429" ht="26.25" hidden="1" customHeight="1">
      <c r="A429" s="44"/>
      <c r="B429" s="45"/>
      <c r="C429" s="63"/>
      <c r="D429" s="47"/>
      <c r="E429" s="64"/>
      <c r="F429" s="49"/>
      <c r="G429" s="50"/>
      <c r="H429" s="57"/>
      <c r="I429" s="51"/>
      <c r="J429" s="51"/>
      <c r="K429" s="52"/>
      <c r="L429" s="52"/>
      <c r="M429" s="52"/>
      <c r="N429" s="52"/>
      <c r="O429" s="53"/>
      <c r="P429" s="54"/>
    </row>
    <row r="430" ht="26.25" hidden="1" customHeight="1">
      <c r="A430" s="44"/>
      <c r="B430" s="45"/>
      <c r="C430" s="63"/>
      <c r="D430" s="47"/>
      <c r="E430" s="64"/>
      <c r="F430" s="49"/>
      <c r="G430" s="50"/>
      <c r="H430" s="57"/>
      <c r="I430" s="51"/>
      <c r="J430" s="51"/>
      <c r="K430" s="52"/>
      <c r="L430" s="52"/>
      <c r="M430" s="52"/>
      <c r="N430" s="52"/>
      <c r="O430" s="53"/>
      <c r="P430" s="54"/>
    </row>
    <row r="431" ht="26.25" hidden="1" customHeight="1">
      <c r="A431" s="44"/>
      <c r="B431" s="45"/>
      <c r="C431" s="63"/>
      <c r="D431" s="47"/>
      <c r="E431" s="64"/>
      <c r="F431" s="49"/>
      <c r="G431" s="50"/>
      <c r="H431" s="57"/>
      <c r="I431" s="51"/>
      <c r="J431" s="51"/>
      <c r="K431" s="52"/>
      <c r="L431" s="52"/>
      <c r="M431" s="52"/>
      <c r="N431" s="52"/>
      <c r="O431" s="53"/>
      <c r="P431" s="54"/>
    </row>
    <row r="432" ht="26.25" hidden="1" customHeight="1">
      <c r="A432" s="44"/>
      <c r="B432" s="45"/>
      <c r="C432" s="63"/>
      <c r="D432" s="47"/>
      <c r="E432" s="64"/>
      <c r="F432" s="49"/>
      <c r="G432" s="50"/>
      <c r="H432" s="57"/>
      <c r="I432" s="51"/>
      <c r="J432" s="51"/>
      <c r="K432" s="52"/>
      <c r="L432" s="52"/>
      <c r="M432" s="52"/>
      <c r="N432" s="52"/>
      <c r="O432" s="53"/>
      <c r="P432" s="54"/>
    </row>
    <row r="433" ht="26.25" hidden="1" customHeight="1">
      <c r="A433" s="44"/>
      <c r="B433" s="45"/>
      <c r="C433" s="63"/>
      <c r="D433" s="47"/>
      <c r="E433" s="64"/>
      <c r="F433" s="49"/>
      <c r="G433" s="50"/>
      <c r="H433" s="57"/>
      <c r="I433" s="51"/>
      <c r="J433" s="51"/>
      <c r="K433" s="52"/>
      <c r="L433" s="52"/>
      <c r="M433" s="52"/>
      <c r="N433" s="52"/>
      <c r="O433" s="53"/>
      <c r="P433" s="54"/>
    </row>
    <row r="434" ht="26.25" hidden="1" customHeight="1">
      <c r="A434" s="44"/>
      <c r="B434" s="45"/>
      <c r="C434" s="63"/>
      <c r="D434" s="47"/>
      <c r="E434" s="64"/>
      <c r="F434" s="49"/>
      <c r="G434" s="50"/>
      <c r="H434" s="57"/>
      <c r="I434" s="51"/>
      <c r="J434" s="51"/>
      <c r="K434" s="52"/>
      <c r="L434" s="52"/>
      <c r="M434" s="52"/>
      <c r="N434" s="52"/>
      <c r="O434" s="53"/>
      <c r="P434" s="54"/>
    </row>
    <row r="435" ht="26.25" hidden="1" customHeight="1">
      <c r="A435" s="44"/>
      <c r="B435" s="45"/>
      <c r="C435" s="63"/>
      <c r="D435" s="47"/>
      <c r="E435" s="64"/>
      <c r="F435" s="49"/>
      <c r="G435" s="50"/>
      <c r="H435" s="57"/>
      <c r="I435" s="51"/>
      <c r="J435" s="51"/>
      <c r="K435" s="52"/>
      <c r="L435" s="52"/>
      <c r="M435" s="52"/>
      <c r="N435" s="52"/>
      <c r="O435" s="53"/>
      <c r="P435" s="54"/>
    </row>
    <row r="436" ht="26.25" hidden="1" customHeight="1">
      <c r="A436" s="44"/>
      <c r="B436" s="45"/>
      <c r="C436" s="63"/>
      <c r="D436" s="47"/>
      <c r="E436" s="64"/>
      <c r="F436" s="49"/>
      <c r="G436" s="50"/>
      <c r="H436" s="57"/>
      <c r="I436" s="51"/>
      <c r="J436" s="51"/>
      <c r="K436" s="52"/>
      <c r="L436" s="52"/>
      <c r="M436" s="52"/>
      <c r="N436" s="52"/>
      <c r="O436" s="53"/>
      <c r="P436" s="54"/>
    </row>
    <row r="437" ht="26.25" hidden="1" customHeight="1">
      <c r="A437" s="44"/>
      <c r="B437" s="45"/>
      <c r="C437" s="63"/>
      <c r="D437" s="47"/>
      <c r="E437" s="64"/>
      <c r="F437" s="49"/>
      <c r="G437" s="50"/>
      <c r="H437" s="57"/>
      <c r="I437" s="51"/>
      <c r="J437" s="51"/>
      <c r="K437" s="52"/>
      <c r="L437" s="52"/>
      <c r="M437" s="52"/>
      <c r="N437" s="52"/>
      <c r="O437" s="53"/>
      <c r="P437" s="54"/>
    </row>
    <row r="438" ht="26.25" hidden="1" customHeight="1">
      <c r="A438" s="44"/>
      <c r="B438" s="45"/>
      <c r="C438" s="63"/>
      <c r="D438" s="47"/>
      <c r="E438" s="64"/>
      <c r="F438" s="49"/>
      <c r="G438" s="50"/>
      <c r="H438" s="57"/>
      <c r="I438" s="51"/>
      <c r="J438" s="51"/>
      <c r="K438" s="52"/>
      <c r="L438" s="52"/>
      <c r="M438" s="52"/>
      <c r="N438" s="52"/>
      <c r="O438" s="53"/>
      <c r="P438" s="54"/>
    </row>
    <row r="439" ht="26.25" hidden="1" customHeight="1">
      <c r="A439" s="44"/>
      <c r="B439" s="45"/>
      <c r="C439" s="63"/>
      <c r="D439" s="47"/>
      <c r="E439" s="64"/>
      <c r="F439" s="49"/>
      <c r="G439" s="50"/>
      <c r="H439" s="57"/>
      <c r="I439" s="51"/>
      <c r="J439" s="51"/>
      <c r="K439" s="52"/>
      <c r="L439" s="52"/>
      <c r="M439" s="52"/>
      <c r="N439" s="52"/>
      <c r="O439" s="53"/>
      <c r="P439" s="54"/>
    </row>
    <row r="440" ht="26.25" hidden="1" customHeight="1">
      <c r="A440" s="44"/>
      <c r="B440" s="45"/>
      <c r="C440" s="63"/>
      <c r="D440" s="47"/>
      <c r="E440" s="64"/>
      <c r="F440" s="49"/>
      <c r="G440" s="50"/>
      <c r="H440" s="57"/>
      <c r="I440" s="51"/>
      <c r="J440" s="51"/>
      <c r="K440" s="52"/>
      <c r="L440" s="52"/>
      <c r="M440" s="52"/>
      <c r="N440" s="52"/>
      <c r="O440" s="53"/>
      <c r="P440" s="54"/>
    </row>
    <row r="441" ht="26.25" hidden="1" customHeight="1">
      <c r="A441" s="44"/>
      <c r="B441" s="45"/>
      <c r="C441" s="63"/>
      <c r="D441" s="47"/>
      <c r="E441" s="64"/>
      <c r="F441" s="49"/>
      <c r="G441" s="50"/>
      <c r="H441" s="57"/>
      <c r="I441" s="51"/>
      <c r="J441" s="51"/>
      <c r="K441" s="52"/>
      <c r="L441" s="52"/>
      <c r="M441" s="52"/>
      <c r="N441" s="52"/>
      <c r="O441" s="53"/>
      <c r="P441" s="54"/>
    </row>
    <row r="442" ht="26.25" hidden="1" customHeight="1">
      <c r="A442" s="44"/>
      <c r="B442" s="45"/>
      <c r="C442" s="63"/>
      <c r="D442" s="47"/>
      <c r="E442" s="64"/>
      <c r="F442" s="49"/>
      <c r="G442" s="50"/>
      <c r="H442" s="57"/>
      <c r="I442" s="51"/>
      <c r="J442" s="51"/>
      <c r="K442" s="52"/>
      <c r="L442" s="52"/>
      <c r="M442" s="52"/>
      <c r="N442" s="52"/>
      <c r="O442" s="53"/>
      <c r="P442" s="54"/>
    </row>
    <row r="443" ht="26.25" hidden="1" customHeight="1">
      <c r="A443" s="44"/>
      <c r="B443" s="45"/>
      <c r="C443" s="63"/>
      <c r="D443" s="47"/>
      <c r="E443" s="64"/>
      <c r="F443" s="49"/>
      <c r="G443" s="50"/>
      <c r="H443" s="57"/>
      <c r="I443" s="51"/>
      <c r="J443" s="51"/>
      <c r="K443" s="52"/>
      <c r="L443" s="52"/>
      <c r="M443" s="52"/>
      <c r="N443" s="52"/>
      <c r="O443" s="53"/>
      <c r="P443" s="54"/>
    </row>
    <row r="444" ht="26.25" hidden="1" customHeight="1">
      <c r="A444" s="44"/>
      <c r="B444" s="45"/>
      <c r="C444" s="63"/>
      <c r="D444" s="47"/>
      <c r="E444" s="64"/>
      <c r="F444" s="49"/>
      <c r="G444" s="50"/>
      <c r="H444" s="57"/>
      <c r="I444" s="51"/>
      <c r="J444" s="51"/>
      <c r="K444" s="52"/>
      <c r="L444" s="52"/>
      <c r="M444" s="52"/>
      <c r="N444" s="52"/>
      <c r="O444" s="53"/>
      <c r="P444" s="54"/>
    </row>
    <row r="445" ht="26.25" hidden="1" customHeight="1">
      <c r="A445" s="44"/>
      <c r="B445" s="45"/>
      <c r="C445" s="63"/>
      <c r="D445" s="47"/>
      <c r="E445" s="64"/>
      <c r="F445" s="49"/>
      <c r="G445" s="50"/>
      <c r="H445" s="57"/>
      <c r="I445" s="51"/>
      <c r="J445" s="51"/>
      <c r="K445" s="52"/>
      <c r="L445" s="52"/>
      <c r="M445" s="52"/>
      <c r="N445" s="52"/>
      <c r="O445" s="53"/>
      <c r="P445" s="54"/>
    </row>
    <row r="446" ht="26.25" hidden="1" customHeight="1">
      <c r="A446" s="44"/>
      <c r="B446" s="45"/>
      <c r="C446" s="63"/>
      <c r="D446" s="47"/>
      <c r="E446" s="64"/>
      <c r="F446" s="49"/>
      <c r="G446" s="50"/>
      <c r="H446" s="57"/>
      <c r="I446" s="51"/>
      <c r="J446" s="51"/>
      <c r="K446" s="52"/>
      <c r="L446" s="52"/>
      <c r="M446" s="52"/>
      <c r="N446" s="52"/>
      <c r="O446" s="53"/>
      <c r="P446" s="54"/>
    </row>
    <row r="447" ht="26.25" hidden="1" customHeight="1">
      <c r="A447" s="44"/>
      <c r="B447" s="45"/>
      <c r="C447" s="63"/>
      <c r="D447" s="47"/>
      <c r="E447" s="64"/>
      <c r="F447" s="49"/>
      <c r="G447" s="50"/>
      <c r="H447" s="57"/>
      <c r="I447" s="51"/>
      <c r="J447" s="51"/>
      <c r="K447" s="52"/>
      <c r="L447" s="52"/>
      <c r="M447" s="52"/>
      <c r="N447" s="52"/>
      <c r="O447" s="53"/>
      <c r="P447" s="54"/>
    </row>
    <row r="448" ht="26.25" hidden="1" customHeight="1">
      <c r="A448" s="44"/>
      <c r="B448" s="45"/>
      <c r="C448" s="63"/>
      <c r="D448" s="47"/>
      <c r="E448" s="64"/>
      <c r="F448" s="49"/>
      <c r="G448" s="50"/>
      <c r="H448" s="57"/>
      <c r="I448" s="51"/>
      <c r="J448" s="51"/>
      <c r="K448" s="52"/>
      <c r="L448" s="52"/>
      <c r="M448" s="52"/>
      <c r="N448" s="52"/>
      <c r="O448" s="53"/>
      <c r="P448" s="54"/>
    </row>
    <row r="449" ht="26.25" hidden="1" customHeight="1">
      <c r="A449" s="44"/>
      <c r="B449" s="45"/>
      <c r="C449" s="63"/>
      <c r="D449" s="47"/>
      <c r="E449" s="64"/>
      <c r="F449" s="49"/>
      <c r="G449" s="50"/>
      <c r="H449" s="57"/>
      <c r="I449" s="51"/>
      <c r="J449" s="51"/>
      <c r="K449" s="52"/>
      <c r="L449" s="52"/>
      <c r="M449" s="52"/>
      <c r="N449" s="52"/>
      <c r="O449" s="53"/>
      <c r="P449" s="54"/>
    </row>
    <row r="450" ht="26.25" hidden="1" customHeight="1">
      <c r="A450" s="44"/>
      <c r="B450" s="45"/>
      <c r="C450" s="63"/>
      <c r="D450" s="47"/>
      <c r="E450" s="64"/>
      <c r="F450" s="49"/>
      <c r="G450" s="50"/>
      <c r="H450" s="57"/>
      <c r="I450" s="51"/>
      <c r="J450" s="51"/>
      <c r="K450" s="52"/>
      <c r="L450" s="52"/>
      <c r="M450" s="52"/>
      <c r="N450" s="52"/>
      <c r="O450" s="53"/>
      <c r="P450" s="54"/>
    </row>
    <row r="451" ht="26.25" hidden="1" customHeight="1">
      <c r="A451" s="44"/>
      <c r="B451" s="45"/>
      <c r="C451" s="63"/>
      <c r="D451" s="47"/>
      <c r="E451" s="64"/>
      <c r="F451" s="49"/>
      <c r="G451" s="50"/>
      <c r="H451" s="57"/>
      <c r="I451" s="51"/>
      <c r="J451" s="51"/>
      <c r="K451" s="52"/>
      <c r="L451" s="52"/>
      <c r="M451" s="52"/>
      <c r="N451" s="52"/>
      <c r="O451" s="53"/>
      <c r="P451" s="54"/>
    </row>
    <row r="452" ht="26.25" hidden="1" customHeight="1">
      <c r="A452" s="44"/>
      <c r="B452" s="45"/>
      <c r="C452" s="63"/>
      <c r="D452" s="47"/>
      <c r="E452" s="64"/>
      <c r="F452" s="49"/>
      <c r="G452" s="50"/>
      <c r="H452" s="57"/>
      <c r="I452" s="51"/>
      <c r="J452" s="51"/>
      <c r="K452" s="52"/>
      <c r="L452" s="52"/>
      <c r="M452" s="52"/>
      <c r="N452" s="52"/>
      <c r="O452" s="53"/>
      <c r="P452" s="54"/>
    </row>
    <row r="453" ht="26.25" hidden="1" customHeight="1">
      <c r="A453" s="44"/>
      <c r="B453" s="45"/>
      <c r="C453" s="63"/>
      <c r="D453" s="47"/>
      <c r="E453" s="64"/>
      <c r="F453" s="49"/>
      <c r="G453" s="50"/>
      <c r="H453" s="57"/>
      <c r="I453" s="51"/>
      <c r="J453" s="51"/>
      <c r="K453" s="52"/>
      <c r="L453" s="52"/>
      <c r="M453" s="52"/>
      <c r="N453" s="52"/>
      <c r="O453" s="53"/>
      <c r="P453" s="54"/>
    </row>
    <row r="454" ht="26.25" hidden="1" customHeight="1">
      <c r="A454" s="44"/>
      <c r="B454" s="45"/>
      <c r="C454" s="63"/>
      <c r="D454" s="47"/>
      <c r="E454" s="64"/>
      <c r="F454" s="49"/>
      <c r="G454" s="50"/>
      <c r="H454" s="57"/>
      <c r="I454" s="51"/>
      <c r="J454" s="51"/>
      <c r="K454" s="52"/>
      <c r="L454" s="52"/>
      <c r="M454" s="52"/>
      <c r="N454" s="52"/>
      <c r="O454" s="53"/>
      <c r="P454" s="54"/>
    </row>
    <row r="455" ht="26.25" hidden="1" customHeight="1">
      <c r="A455" s="44"/>
      <c r="B455" s="45"/>
      <c r="C455" s="63"/>
      <c r="D455" s="47"/>
      <c r="E455" s="64"/>
      <c r="F455" s="49"/>
      <c r="G455" s="50"/>
      <c r="H455" s="57"/>
      <c r="I455" s="51"/>
      <c r="J455" s="51"/>
      <c r="K455" s="52"/>
      <c r="L455" s="52"/>
      <c r="M455" s="52"/>
      <c r="N455" s="52"/>
      <c r="O455" s="53"/>
      <c r="P455" s="54"/>
    </row>
    <row r="456" ht="26.25" hidden="1" customHeight="1">
      <c r="A456" s="44"/>
      <c r="B456" s="45"/>
      <c r="C456" s="63"/>
      <c r="D456" s="47"/>
      <c r="E456" s="64"/>
      <c r="F456" s="49"/>
      <c r="G456" s="50"/>
      <c r="H456" s="57"/>
      <c r="I456" s="51"/>
      <c r="J456" s="51"/>
      <c r="K456" s="52"/>
      <c r="L456" s="52"/>
      <c r="M456" s="52"/>
      <c r="N456" s="52"/>
      <c r="O456" s="53"/>
      <c r="P456" s="54"/>
    </row>
    <row r="457" ht="26.25" hidden="1" customHeight="1">
      <c r="A457" s="44"/>
      <c r="B457" s="45"/>
      <c r="C457" s="63"/>
      <c r="D457" s="47"/>
      <c r="E457" s="64"/>
      <c r="F457" s="49"/>
      <c r="G457" s="50"/>
      <c r="H457" s="57"/>
      <c r="I457" s="51"/>
      <c r="J457" s="51"/>
      <c r="K457" s="52"/>
      <c r="L457" s="52"/>
      <c r="M457" s="52"/>
      <c r="N457" s="52"/>
      <c r="O457" s="53"/>
      <c r="P457" s="54"/>
    </row>
    <row r="458" ht="26.25" hidden="1" customHeight="1">
      <c r="A458" s="44"/>
      <c r="B458" s="45"/>
      <c r="C458" s="63"/>
      <c r="D458" s="47"/>
      <c r="E458" s="64"/>
      <c r="F458" s="49"/>
      <c r="G458" s="50"/>
      <c r="H458" s="57"/>
      <c r="I458" s="51"/>
      <c r="J458" s="51"/>
      <c r="K458" s="52"/>
      <c r="L458" s="52"/>
      <c r="M458" s="52"/>
      <c r="N458" s="52"/>
      <c r="O458" s="53"/>
      <c r="P458" s="54"/>
    </row>
    <row r="459" ht="26.25" hidden="1" customHeight="1">
      <c r="A459" s="44"/>
      <c r="B459" s="45"/>
      <c r="C459" s="63"/>
      <c r="D459" s="47"/>
      <c r="E459" s="64"/>
      <c r="F459" s="49"/>
      <c r="G459" s="50"/>
      <c r="H459" s="57"/>
      <c r="I459" s="51"/>
      <c r="J459" s="51"/>
      <c r="K459" s="52"/>
      <c r="L459" s="52"/>
      <c r="M459" s="52"/>
      <c r="N459" s="52"/>
      <c r="O459" s="53"/>
      <c r="P459" s="54"/>
    </row>
    <row r="460" ht="26.25" hidden="1" customHeight="1">
      <c r="A460" s="44"/>
      <c r="B460" s="45"/>
      <c r="C460" s="63"/>
      <c r="D460" s="47"/>
      <c r="E460" s="64"/>
      <c r="F460" s="49"/>
      <c r="G460" s="50"/>
      <c r="H460" s="57"/>
      <c r="I460" s="51"/>
      <c r="J460" s="51"/>
      <c r="K460" s="52"/>
      <c r="L460" s="52"/>
      <c r="M460" s="52"/>
      <c r="N460" s="52"/>
      <c r="O460" s="53"/>
      <c r="P460" s="54"/>
    </row>
    <row r="461" ht="26.25" hidden="1" customHeight="1">
      <c r="A461" s="44"/>
      <c r="B461" s="45"/>
      <c r="C461" s="63"/>
      <c r="D461" s="47"/>
      <c r="E461" s="64"/>
      <c r="F461" s="49"/>
      <c r="G461" s="50"/>
      <c r="H461" s="57"/>
      <c r="I461" s="51"/>
      <c r="J461" s="51"/>
      <c r="K461" s="52"/>
      <c r="L461" s="52"/>
      <c r="M461" s="52"/>
      <c r="N461" s="52"/>
      <c r="O461" s="53"/>
      <c r="P461" s="54"/>
    </row>
    <row r="462" ht="26.25" hidden="1" customHeight="1">
      <c r="A462" s="44"/>
      <c r="B462" s="45"/>
      <c r="C462" s="63"/>
      <c r="D462" s="47"/>
      <c r="E462" s="64"/>
      <c r="F462" s="49"/>
      <c r="G462" s="50"/>
      <c r="H462" s="57"/>
      <c r="I462" s="51"/>
      <c r="J462" s="51"/>
      <c r="K462" s="52"/>
      <c r="L462" s="52"/>
      <c r="M462" s="52"/>
      <c r="N462" s="52"/>
      <c r="O462" s="53"/>
      <c r="P462" s="54"/>
    </row>
    <row r="463" ht="26.25" hidden="1" customHeight="1">
      <c r="A463" s="44"/>
      <c r="B463" s="45"/>
      <c r="C463" s="63"/>
      <c r="D463" s="47"/>
      <c r="E463" s="64"/>
      <c r="F463" s="49"/>
      <c r="G463" s="50"/>
      <c r="H463" s="57"/>
      <c r="I463" s="51"/>
      <c r="J463" s="51"/>
      <c r="K463" s="52"/>
      <c r="L463" s="52"/>
      <c r="M463" s="52"/>
      <c r="N463" s="52"/>
      <c r="O463" s="53"/>
      <c r="P463" s="54"/>
    </row>
    <row r="464" ht="26.25" hidden="1" customHeight="1">
      <c r="A464" s="44"/>
      <c r="B464" s="45"/>
      <c r="C464" s="63"/>
      <c r="D464" s="47"/>
      <c r="E464" s="64"/>
      <c r="F464" s="49"/>
      <c r="G464" s="50"/>
      <c r="H464" s="57"/>
      <c r="I464" s="51"/>
      <c r="J464" s="51"/>
      <c r="K464" s="52"/>
      <c r="L464" s="52"/>
      <c r="M464" s="52"/>
      <c r="N464" s="52"/>
      <c r="O464" s="53"/>
      <c r="P464" s="54"/>
    </row>
    <row r="465" ht="26.25" hidden="1" customHeight="1">
      <c r="A465" s="44"/>
      <c r="B465" s="45"/>
      <c r="C465" s="63"/>
      <c r="D465" s="47"/>
      <c r="E465" s="64"/>
      <c r="F465" s="49"/>
      <c r="G465" s="50"/>
      <c r="H465" s="57"/>
      <c r="I465" s="51"/>
      <c r="J465" s="51"/>
      <c r="K465" s="52"/>
      <c r="L465" s="52"/>
      <c r="M465" s="52"/>
      <c r="N465" s="52"/>
      <c r="O465" s="53"/>
      <c r="P465" s="54"/>
    </row>
    <row r="466" ht="26.25" hidden="1" customHeight="1">
      <c r="A466" s="44"/>
      <c r="B466" s="45"/>
      <c r="C466" s="63"/>
      <c r="D466" s="47"/>
      <c r="E466" s="64"/>
      <c r="F466" s="49"/>
      <c r="G466" s="50"/>
      <c r="H466" s="57"/>
      <c r="I466" s="51"/>
      <c r="J466" s="51"/>
      <c r="K466" s="52"/>
      <c r="L466" s="52"/>
      <c r="M466" s="52"/>
      <c r="N466" s="52"/>
      <c r="O466" s="53"/>
      <c r="P466" s="54"/>
    </row>
    <row r="467" ht="26.25" hidden="1" customHeight="1">
      <c r="A467" s="44"/>
      <c r="B467" s="45"/>
      <c r="C467" s="63"/>
      <c r="D467" s="47"/>
      <c r="E467" s="64"/>
      <c r="F467" s="49"/>
      <c r="G467" s="50"/>
      <c r="H467" s="57"/>
      <c r="I467" s="51"/>
      <c r="J467" s="51"/>
      <c r="K467" s="52"/>
      <c r="L467" s="52"/>
      <c r="M467" s="52"/>
      <c r="N467" s="52"/>
      <c r="O467" s="53"/>
      <c r="P467" s="54"/>
    </row>
    <row r="468" ht="26.25" hidden="1" customHeight="1">
      <c r="A468" s="44"/>
      <c r="B468" s="45"/>
      <c r="C468" s="63"/>
      <c r="D468" s="47"/>
      <c r="E468" s="64"/>
      <c r="F468" s="49"/>
      <c r="G468" s="50"/>
      <c r="H468" s="57"/>
      <c r="I468" s="51"/>
      <c r="J468" s="51"/>
      <c r="K468" s="52"/>
      <c r="L468" s="52"/>
      <c r="M468" s="52"/>
      <c r="N468" s="52"/>
      <c r="O468" s="53"/>
      <c r="P468" s="54"/>
    </row>
    <row r="469" ht="26.25" hidden="1" customHeight="1">
      <c r="A469" s="44"/>
      <c r="B469" s="45"/>
      <c r="C469" s="63"/>
      <c r="D469" s="47"/>
      <c r="E469" s="64"/>
      <c r="F469" s="49"/>
      <c r="G469" s="50"/>
      <c r="H469" s="57"/>
      <c r="I469" s="51"/>
      <c r="J469" s="51"/>
      <c r="K469" s="52"/>
      <c r="L469" s="52"/>
      <c r="M469" s="52"/>
      <c r="N469" s="52"/>
      <c r="O469" s="53"/>
      <c r="P469" s="54"/>
    </row>
    <row r="470" ht="26.25" hidden="1" customHeight="1">
      <c r="A470" s="44"/>
      <c r="B470" s="45"/>
      <c r="C470" s="63"/>
      <c r="D470" s="47"/>
      <c r="E470" s="64"/>
      <c r="F470" s="49"/>
      <c r="G470" s="50"/>
      <c r="H470" s="57"/>
      <c r="I470" s="51"/>
      <c r="J470" s="51"/>
      <c r="K470" s="52"/>
      <c r="L470" s="52"/>
      <c r="M470" s="52"/>
      <c r="N470" s="52"/>
      <c r="O470" s="53"/>
      <c r="P470" s="54"/>
    </row>
    <row r="471" ht="26.25" hidden="1" customHeight="1">
      <c r="A471" s="44"/>
      <c r="B471" s="45"/>
      <c r="C471" s="63"/>
      <c r="D471" s="47"/>
      <c r="E471" s="64"/>
      <c r="F471" s="49"/>
      <c r="G471" s="50"/>
      <c r="H471" s="57"/>
      <c r="I471" s="51"/>
      <c r="J471" s="51"/>
      <c r="K471" s="52"/>
      <c r="L471" s="52"/>
      <c r="M471" s="52"/>
      <c r="N471" s="52"/>
      <c r="O471" s="53"/>
      <c r="P471" s="54"/>
    </row>
    <row r="472" ht="26.25" hidden="1" customHeight="1">
      <c r="A472" s="44"/>
      <c r="B472" s="45"/>
      <c r="C472" s="63"/>
      <c r="D472" s="47"/>
      <c r="E472" s="64"/>
      <c r="F472" s="49"/>
      <c r="G472" s="50"/>
      <c r="H472" s="57"/>
      <c r="I472" s="51"/>
      <c r="J472" s="51"/>
      <c r="K472" s="52"/>
      <c r="L472" s="52"/>
      <c r="M472" s="52"/>
      <c r="N472" s="52"/>
      <c r="O472" s="53"/>
      <c r="P472" s="54"/>
    </row>
    <row r="473" ht="26.25" hidden="1" customHeight="1">
      <c r="A473" s="44"/>
      <c r="B473" s="45"/>
      <c r="C473" s="63"/>
      <c r="D473" s="47"/>
      <c r="E473" s="64"/>
      <c r="F473" s="49"/>
      <c r="G473" s="50"/>
      <c r="H473" s="57"/>
      <c r="I473" s="51"/>
      <c r="J473" s="51"/>
      <c r="K473" s="52"/>
      <c r="L473" s="52"/>
      <c r="M473" s="52"/>
      <c r="N473" s="52"/>
      <c r="O473" s="53"/>
      <c r="P473" s="54"/>
    </row>
    <row r="474" ht="26.25" hidden="1" customHeight="1">
      <c r="A474" s="44"/>
      <c r="B474" s="45"/>
      <c r="C474" s="63"/>
      <c r="D474" s="47"/>
      <c r="E474" s="64"/>
      <c r="F474" s="49"/>
      <c r="G474" s="50"/>
      <c r="H474" s="57"/>
      <c r="I474" s="51"/>
      <c r="J474" s="51"/>
      <c r="K474" s="52"/>
      <c r="L474" s="52"/>
      <c r="M474" s="52"/>
      <c r="N474" s="52"/>
      <c r="O474" s="53"/>
      <c r="P474" s="54"/>
    </row>
    <row r="475" ht="26.25" hidden="1" customHeight="1">
      <c r="A475" s="44"/>
      <c r="B475" s="45"/>
      <c r="C475" s="63"/>
      <c r="D475" s="47"/>
      <c r="E475" s="64"/>
      <c r="F475" s="49"/>
      <c r="G475" s="50"/>
      <c r="H475" s="57"/>
      <c r="I475" s="51"/>
      <c r="J475" s="51"/>
      <c r="K475" s="52"/>
      <c r="L475" s="52"/>
      <c r="M475" s="52"/>
      <c r="N475" s="52"/>
      <c r="O475" s="53"/>
      <c r="P475" s="54"/>
    </row>
    <row r="476" ht="26.25" hidden="1" customHeight="1">
      <c r="A476" s="44"/>
      <c r="B476" s="45"/>
      <c r="C476" s="63"/>
      <c r="D476" s="47"/>
      <c r="E476" s="64"/>
      <c r="F476" s="49"/>
      <c r="G476" s="50"/>
      <c r="H476" s="57"/>
      <c r="I476" s="51"/>
      <c r="J476" s="51"/>
      <c r="K476" s="52"/>
      <c r="L476" s="52"/>
      <c r="M476" s="52"/>
      <c r="N476" s="52"/>
      <c r="O476" s="53"/>
      <c r="P476" s="54"/>
    </row>
    <row r="477" ht="26.25" hidden="1" customHeight="1">
      <c r="A477" s="44"/>
      <c r="B477" s="45"/>
      <c r="C477" s="63"/>
      <c r="D477" s="47"/>
      <c r="E477" s="64"/>
      <c r="F477" s="49"/>
      <c r="G477" s="50"/>
      <c r="H477" s="57"/>
      <c r="I477" s="51"/>
      <c r="J477" s="51"/>
      <c r="K477" s="52"/>
      <c r="L477" s="52"/>
      <c r="M477" s="52"/>
      <c r="N477" s="52"/>
      <c r="O477" s="53"/>
      <c r="P477" s="54"/>
    </row>
    <row r="478" ht="26.25" hidden="1" customHeight="1">
      <c r="A478" s="44"/>
      <c r="B478" s="45"/>
      <c r="C478" s="63"/>
      <c r="D478" s="47"/>
      <c r="E478" s="64"/>
      <c r="F478" s="49"/>
      <c r="G478" s="50"/>
      <c r="H478" s="57"/>
      <c r="I478" s="51"/>
      <c r="J478" s="51"/>
      <c r="K478" s="52"/>
      <c r="L478" s="52"/>
      <c r="M478" s="52"/>
      <c r="N478" s="52"/>
      <c r="O478" s="53"/>
      <c r="P478" s="54"/>
    </row>
    <row r="479" ht="26.25" hidden="1" customHeight="1">
      <c r="A479" s="44"/>
      <c r="B479" s="45"/>
      <c r="C479" s="63"/>
      <c r="D479" s="47"/>
      <c r="E479" s="64"/>
      <c r="F479" s="49"/>
      <c r="G479" s="50"/>
      <c r="H479" s="57"/>
      <c r="I479" s="51"/>
      <c r="J479" s="51"/>
      <c r="K479" s="52"/>
      <c r="L479" s="52"/>
      <c r="M479" s="52"/>
      <c r="N479" s="52"/>
      <c r="O479" s="53"/>
      <c r="P479" s="54"/>
    </row>
    <row r="480" ht="26.25" hidden="1" customHeight="1">
      <c r="A480" s="44"/>
      <c r="B480" s="45"/>
      <c r="C480" s="63"/>
      <c r="D480" s="47"/>
      <c r="E480" s="64"/>
      <c r="F480" s="49"/>
      <c r="G480" s="50"/>
      <c r="H480" s="57"/>
      <c r="I480" s="51"/>
      <c r="J480" s="51"/>
      <c r="K480" s="52"/>
      <c r="L480" s="52"/>
      <c r="M480" s="52"/>
      <c r="N480" s="52"/>
      <c r="O480" s="53"/>
      <c r="P480" s="54"/>
    </row>
    <row r="481" ht="26.25" hidden="1" customHeight="1">
      <c r="A481" s="44"/>
      <c r="B481" s="45"/>
      <c r="C481" s="63"/>
      <c r="D481" s="47"/>
      <c r="E481" s="64"/>
      <c r="F481" s="49"/>
      <c r="G481" s="50"/>
      <c r="H481" s="57"/>
      <c r="I481" s="51"/>
      <c r="J481" s="51"/>
      <c r="K481" s="52"/>
      <c r="L481" s="52"/>
      <c r="M481" s="52"/>
      <c r="N481" s="52"/>
      <c r="O481" s="53"/>
      <c r="P481" s="54"/>
    </row>
    <row r="482" ht="26.25" hidden="1" customHeight="1">
      <c r="A482" s="44"/>
      <c r="B482" s="45"/>
      <c r="C482" s="63"/>
      <c r="D482" s="47"/>
      <c r="E482" s="64"/>
      <c r="F482" s="49"/>
      <c r="G482" s="50"/>
      <c r="H482" s="57"/>
      <c r="I482" s="51"/>
      <c r="J482" s="51"/>
      <c r="K482" s="52"/>
      <c r="L482" s="52"/>
      <c r="M482" s="52"/>
      <c r="N482" s="52"/>
      <c r="O482" s="53"/>
      <c r="P482" s="54"/>
    </row>
    <row r="483" ht="26.25" hidden="1" customHeight="1">
      <c r="A483" s="44"/>
      <c r="B483" s="45"/>
      <c r="C483" s="63"/>
      <c r="D483" s="47"/>
      <c r="E483" s="64"/>
      <c r="F483" s="49"/>
      <c r="G483" s="50"/>
      <c r="H483" s="57"/>
      <c r="I483" s="51"/>
      <c r="J483" s="51"/>
      <c r="K483" s="52"/>
      <c r="L483" s="52"/>
      <c r="M483" s="52"/>
      <c r="N483" s="52"/>
      <c r="O483" s="53"/>
      <c r="P483" s="54"/>
    </row>
    <row r="484" ht="26.25" hidden="1" customHeight="1">
      <c r="A484" s="44"/>
      <c r="B484" s="45"/>
      <c r="C484" s="63"/>
      <c r="D484" s="47"/>
      <c r="E484" s="64"/>
      <c r="F484" s="49"/>
      <c r="G484" s="50"/>
      <c r="H484" s="57"/>
      <c r="I484" s="51"/>
      <c r="J484" s="51"/>
      <c r="K484" s="52"/>
      <c r="L484" s="52"/>
      <c r="M484" s="52"/>
      <c r="N484" s="52"/>
      <c r="O484" s="53"/>
      <c r="P484" s="54"/>
    </row>
    <row r="485" ht="26.25" hidden="1" customHeight="1">
      <c r="A485" s="44"/>
      <c r="B485" s="45"/>
      <c r="C485" s="63"/>
      <c r="D485" s="47"/>
      <c r="E485" s="64"/>
      <c r="F485" s="49"/>
      <c r="G485" s="50"/>
      <c r="H485" s="57"/>
      <c r="I485" s="51"/>
      <c r="J485" s="51"/>
      <c r="K485" s="52"/>
      <c r="L485" s="52"/>
      <c r="M485" s="52"/>
      <c r="N485" s="52"/>
      <c r="O485" s="53"/>
      <c r="P485" s="54"/>
    </row>
    <row r="486" ht="26.25" hidden="1" customHeight="1">
      <c r="A486" s="44"/>
      <c r="B486" s="45"/>
      <c r="C486" s="63"/>
      <c r="D486" s="47"/>
      <c r="E486" s="64"/>
      <c r="F486" s="49"/>
      <c r="G486" s="50"/>
      <c r="H486" s="57"/>
      <c r="I486" s="51"/>
      <c r="J486" s="51"/>
      <c r="K486" s="52"/>
      <c r="L486" s="52"/>
      <c r="M486" s="52"/>
      <c r="N486" s="52"/>
      <c r="O486" s="53"/>
      <c r="P486" s="54"/>
    </row>
    <row r="487" ht="26.25" hidden="1" customHeight="1">
      <c r="A487" s="44"/>
      <c r="B487" s="45"/>
      <c r="C487" s="63"/>
      <c r="D487" s="47"/>
      <c r="E487" s="64"/>
      <c r="F487" s="49"/>
      <c r="G487" s="50"/>
      <c r="H487" s="57"/>
      <c r="I487" s="51"/>
      <c r="J487" s="51"/>
      <c r="K487" s="52"/>
      <c r="L487" s="52"/>
      <c r="M487" s="52"/>
      <c r="N487" s="52"/>
      <c r="O487" s="53"/>
      <c r="P487" s="54"/>
    </row>
    <row r="488" ht="26.25" hidden="1" customHeight="1">
      <c r="A488" s="44"/>
      <c r="B488" s="45"/>
      <c r="C488" s="63"/>
      <c r="D488" s="47"/>
      <c r="E488" s="64"/>
      <c r="F488" s="49"/>
      <c r="G488" s="50"/>
      <c r="H488" s="57"/>
      <c r="I488" s="51"/>
      <c r="J488" s="51"/>
      <c r="K488" s="52"/>
      <c r="L488" s="52"/>
      <c r="M488" s="52"/>
      <c r="N488" s="52"/>
      <c r="O488" s="53"/>
      <c r="P488" s="54"/>
    </row>
    <row r="489" ht="26.25" hidden="1" customHeight="1">
      <c r="A489" s="44"/>
      <c r="B489" s="45"/>
      <c r="C489" s="63"/>
      <c r="D489" s="47"/>
      <c r="E489" s="64"/>
      <c r="F489" s="49"/>
      <c r="G489" s="50"/>
      <c r="H489" s="57"/>
      <c r="I489" s="51"/>
      <c r="J489" s="51"/>
      <c r="K489" s="52"/>
      <c r="L489" s="52"/>
      <c r="M489" s="52"/>
      <c r="N489" s="52"/>
      <c r="O489" s="53"/>
      <c r="P489" s="54"/>
    </row>
    <row r="490" ht="26.25" hidden="1" customHeight="1">
      <c r="A490" s="44"/>
      <c r="B490" s="45"/>
      <c r="C490" s="63"/>
      <c r="D490" s="47"/>
      <c r="E490" s="64"/>
      <c r="F490" s="49"/>
      <c r="G490" s="50"/>
      <c r="H490" s="57"/>
      <c r="I490" s="51"/>
      <c r="J490" s="51"/>
      <c r="K490" s="52"/>
      <c r="L490" s="52"/>
      <c r="M490" s="52"/>
      <c r="N490" s="52"/>
      <c r="O490" s="53"/>
      <c r="P490" s="54"/>
    </row>
    <row r="491" ht="26.25" hidden="1" customHeight="1">
      <c r="A491" s="44"/>
      <c r="B491" s="45"/>
      <c r="C491" s="63"/>
      <c r="D491" s="47"/>
      <c r="E491" s="64"/>
      <c r="F491" s="49"/>
      <c r="G491" s="50"/>
      <c r="H491" s="57"/>
      <c r="I491" s="51"/>
      <c r="J491" s="51"/>
      <c r="K491" s="52"/>
      <c r="L491" s="52"/>
      <c r="M491" s="52"/>
      <c r="N491" s="52"/>
      <c r="O491" s="53"/>
      <c r="P491" s="54"/>
    </row>
    <row r="492" ht="26.25" hidden="1" customHeight="1">
      <c r="A492" s="44"/>
      <c r="B492" s="45"/>
      <c r="C492" s="63"/>
      <c r="D492" s="47"/>
      <c r="E492" s="64"/>
      <c r="F492" s="49"/>
      <c r="G492" s="50"/>
      <c r="H492" s="57"/>
      <c r="I492" s="51"/>
      <c r="J492" s="51"/>
      <c r="K492" s="52"/>
      <c r="L492" s="52"/>
      <c r="M492" s="52"/>
      <c r="N492" s="52"/>
      <c r="O492" s="53"/>
      <c r="P492" s="54"/>
    </row>
    <row r="493" ht="26.25" hidden="1" customHeight="1">
      <c r="A493" s="44"/>
      <c r="B493" s="45"/>
      <c r="C493" s="63"/>
      <c r="D493" s="47"/>
      <c r="E493" s="64"/>
      <c r="F493" s="49"/>
      <c r="G493" s="50"/>
      <c r="H493" s="57"/>
      <c r="I493" s="51"/>
      <c r="J493" s="51"/>
      <c r="K493" s="52"/>
      <c r="L493" s="52"/>
      <c r="M493" s="52"/>
      <c r="N493" s="52"/>
      <c r="O493" s="53"/>
      <c r="P493" s="54"/>
    </row>
    <row r="494" ht="26.25" hidden="1" customHeight="1">
      <c r="A494" s="44"/>
      <c r="B494" s="45"/>
      <c r="C494" s="63"/>
      <c r="D494" s="47"/>
      <c r="E494" s="64"/>
      <c r="F494" s="49"/>
      <c r="G494" s="50"/>
      <c r="H494" s="57"/>
      <c r="I494" s="51"/>
      <c r="J494" s="51"/>
      <c r="K494" s="52"/>
      <c r="L494" s="52"/>
      <c r="M494" s="52"/>
      <c r="N494" s="52"/>
      <c r="O494" s="53"/>
      <c r="P494" s="54"/>
    </row>
    <row r="495" ht="26.25" hidden="1" customHeight="1">
      <c r="A495" s="44"/>
      <c r="B495" s="45"/>
      <c r="C495" s="63"/>
      <c r="D495" s="47"/>
      <c r="E495" s="64"/>
      <c r="F495" s="49"/>
      <c r="G495" s="50"/>
      <c r="H495" s="57"/>
      <c r="I495" s="51"/>
      <c r="J495" s="51"/>
      <c r="K495" s="52"/>
      <c r="L495" s="52"/>
      <c r="M495" s="52"/>
      <c r="N495" s="52"/>
      <c r="O495" s="53"/>
      <c r="P495" s="54"/>
    </row>
    <row r="496" ht="26.25" hidden="1" customHeight="1">
      <c r="A496" s="44"/>
      <c r="B496" s="45"/>
      <c r="C496" s="63"/>
      <c r="D496" s="47"/>
      <c r="E496" s="64"/>
      <c r="F496" s="49"/>
      <c r="G496" s="50"/>
      <c r="H496" s="57"/>
      <c r="I496" s="51"/>
      <c r="J496" s="51"/>
      <c r="K496" s="52"/>
      <c r="L496" s="52"/>
      <c r="M496" s="52"/>
      <c r="N496" s="52"/>
      <c r="O496" s="53"/>
      <c r="P496" s="54"/>
    </row>
    <row r="497" ht="26.25" hidden="1" customHeight="1">
      <c r="A497" s="44"/>
      <c r="B497" s="45"/>
      <c r="C497" s="63"/>
      <c r="D497" s="47"/>
      <c r="E497" s="64"/>
      <c r="F497" s="49"/>
      <c r="G497" s="50"/>
      <c r="H497" s="57"/>
      <c r="I497" s="51"/>
      <c r="J497" s="51"/>
      <c r="K497" s="52"/>
      <c r="L497" s="52"/>
      <c r="M497" s="52"/>
      <c r="N497" s="52"/>
      <c r="O497" s="53"/>
      <c r="P497" s="54"/>
    </row>
    <row r="498" ht="26.25" hidden="1" customHeight="1">
      <c r="A498" s="44"/>
      <c r="B498" s="45"/>
      <c r="C498" s="63"/>
      <c r="D498" s="47"/>
      <c r="E498" s="64"/>
      <c r="F498" s="49"/>
      <c r="G498" s="50"/>
      <c r="H498" s="57"/>
      <c r="I498" s="51"/>
      <c r="J498" s="51"/>
      <c r="K498" s="52"/>
      <c r="L498" s="52"/>
      <c r="M498" s="52"/>
      <c r="N498" s="52"/>
      <c r="O498" s="53"/>
      <c r="P498" s="54"/>
    </row>
    <row r="499" ht="26.25" hidden="1" customHeight="1">
      <c r="A499" s="44"/>
      <c r="B499" s="45"/>
      <c r="C499" s="63"/>
      <c r="D499" s="47"/>
      <c r="E499" s="64"/>
      <c r="F499" s="49"/>
      <c r="G499" s="50"/>
      <c r="H499" s="57"/>
      <c r="I499" s="51"/>
      <c r="J499" s="51"/>
      <c r="K499" s="52"/>
      <c r="L499" s="52"/>
      <c r="M499" s="52"/>
      <c r="N499" s="52"/>
      <c r="O499" s="53"/>
      <c r="P499" s="54"/>
    </row>
    <row r="500" ht="26.25" hidden="1" customHeight="1">
      <c r="A500" s="44"/>
      <c r="B500" s="45"/>
      <c r="C500" s="63"/>
      <c r="D500" s="47"/>
      <c r="E500" s="64"/>
      <c r="F500" s="49"/>
      <c r="G500" s="50"/>
      <c r="H500" s="57"/>
      <c r="I500" s="51"/>
      <c r="J500" s="51"/>
      <c r="K500" s="52"/>
      <c r="L500" s="52"/>
      <c r="M500" s="52"/>
      <c r="N500" s="52"/>
      <c r="O500" s="53"/>
      <c r="P500" s="54"/>
    </row>
    <row r="501" ht="26.25" customHeight="1">
      <c r="A501" s="65"/>
      <c r="B501" s="66"/>
      <c r="C501" s="67"/>
      <c r="D501" s="68"/>
      <c r="E501" s="69"/>
      <c r="F501" s="70"/>
      <c r="G501" s="71"/>
      <c r="H501" s="72"/>
      <c r="I501" s="73"/>
      <c r="J501" s="73"/>
      <c r="K501" s="74"/>
      <c r="L501" s="74"/>
      <c r="M501" s="74"/>
      <c r="N501" s="74"/>
      <c r="O501" s="75"/>
      <c r="P501" s="76"/>
    </row>
    <row r="502" ht="26.25" customHeight="1">
      <c r="A502" s="65"/>
      <c r="B502" s="66"/>
      <c r="C502" s="67"/>
      <c r="D502" s="68"/>
      <c r="E502" s="69"/>
      <c r="F502" s="70"/>
      <c r="G502" s="71"/>
      <c r="H502" s="72"/>
      <c r="I502" s="73"/>
      <c r="J502" s="73"/>
      <c r="K502" s="74"/>
      <c r="L502" s="74"/>
      <c r="M502" s="74"/>
      <c r="N502" s="74"/>
      <c r="O502" s="75"/>
      <c r="P502" s="76"/>
    </row>
    <row r="503" ht="26.25" customHeight="1">
      <c r="A503" s="65"/>
      <c r="B503" s="66"/>
      <c r="C503" s="67"/>
      <c r="D503" s="68"/>
      <c r="E503" s="69"/>
      <c r="F503" s="70"/>
      <c r="G503" s="71"/>
      <c r="H503" s="72"/>
      <c r="I503" s="73"/>
      <c r="J503" s="73"/>
      <c r="K503" s="74"/>
      <c r="L503" s="74"/>
      <c r="M503" s="74"/>
      <c r="N503" s="74"/>
      <c r="O503" s="75"/>
      <c r="P503" s="76"/>
    </row>
    <row r="504" ht="26.25" customHeight="1">
      <c r="A504" s="65"/>
      <c r="B504" s="66"/>
      <c r="C504" s="67"/>
      <c r="D504" s="68"/>
      <c r="E504" s="69"/>
      <c r="F504" s="70"/>
      <c r="G504" s="71"/>
      <c r="H504" s="72"/>
      <c r="I504" s="73"/>
      <c r="J504" s="73"/>
      <c r="K504" s="74"/>
      <c r="L504" s="74"/>
      <c r="M504" s="74"/>
      <c r="N504" s="74"/>
      <c r="O504" s="75"/>
      <c r="P504" s="76"/>
    </row>
    <row r="505" ht="26.25" customHeight="1">
      <c r="A505" s="65"/>
      <c r="B505" s="66"/>
      <c r="C505" s="67"/>
      <c r="D505" s="68"/>
      <c r="E505" s="69"/>
      <c r="F505" s="70"/>
      <c r="G505" s="71"/>
      <c r="H505" s="72"/>
      <c r="I505" s="73"/>
      <c r="J505" s="73"/>
      <c r="K505" s="74"/>
      <c r="L505" s="74"/>
      <c r="M505" s="74"/>
      <c r="N505" s="74"/>
      <c r="O505" s="75"/>
      <c r="P505" s="76"/>
    </row>
    <row r="506" ht="26.25" customHeight="1">
      <c r="A506" s="65"/>
      <c r="B506" s="66"/>
      <c r="C506" s="67"/>
      <c r="D506" s="68"/>
      <c r="E506" s="69"/>
      <c r="F506" s="70"/>
      <c r="G506" s="71"/>
      <c r="H506" s="72"/>
      <c r="I506" s="73"/>
      <c r="J506" s="73"/>
      <c r="K506" s="74"/>
      <c r="L506" s="74"/>
      <c r="M506" s="74"/>
      <c r="N506" s="74"/>
      <c r="O506" s="75"/>
      <c r="P506" s="76"/>
    </row>
    <row r="507" ht="26.25" customHeight="1">
      <c r="A507" s="65"/>
      <c r="B507" s="66"/>
      <c r="C507" s="67"/>
      <c r="D507" s="68"/>
      <c r="E507" s="69"/>
      <c r="F507" s="70"/>
      <c r="G507" s="71"/>
      <c r="H507" s="72"/>
      <c r="I507" s="73"/>
      <c r="J507" s="73"/>
      <c r="K507" s="74"/>
      <c r="L507" s="74"/>
      <c r="M507" s="74"/>
      <c r="N507" s="74"/>
      <c r="O507" s="75"/>
      <c r="P507" s="76"/>
    </row>
    <row r="508" ht="26.25" customHeight="1">
      <c r="A508" s="65"/>
      <c r="B508" s="66"/>
      <c r="C508" s="67"/>
      <c r="D508" s="68"/>
      <c r="E508" s="69"/>
      <c r="F508" s="70"/>
      <c r="G508" s="71"/>
      <c r="H508" s="72"/>
      <c r="I508" s="73"/>
      <c r="J508" s="73"/>
      <c r="K508" s="74"/>
      <c r="L508" s="74"/>
      <c r="M508" s="74"/>
      <c r="N508" s="74"/>
      <c r="O508" s="75"/>
      <c r="P508" s="76"/>
    </row>
    <row r="509" ht="26.25" customHeight="1">
      <c r="A509" s="65"/>
      <c r="B509" s="66"/>
      <c r="C509" s="67"/>
      <c r="D509" s="68"/>
      <c r="E509" s="69"/>
      <c r="F509" s="70"/>
      <c r="G509" s="71"/>
      <c r="H509" s="72"/>
      <c r="I509" s="73"/>
      <c r="J509" s="73"/>
      <c r="K509" s="74"/>
      <c r="L509" s="74"/>
      <c r="M509" s="74"/>
      <c r="N509" s="74"/>
      <c r="O509" s="75"/>
      <c r="P509" s="76"/>
    </row>
    <row r="510" ht="26.25" customHeight="1">
      <c r="A510" s="65"/>
      <c r="B510" s="66"/>
      <c r="C510" s="67"/>
      <c r="D510" s="68"/>
      <c r="E510" s="69"/>
      <c r="F510" s="70"/>
      <c r="G510" s="71"/>
      <c r="H510" s="72"/>
      <c r="I510" s="73"/>
      <c r="J510" s="73"/>
      <c r="K510" s="74"/>
      <c r="L510" s="74"/>
      <c r="M510" s="74"/>
      <c r="N510" s="74"/>
      <c r="O510" s="75"/>
      <c r="P510" s="76"/>
    </row>
    <row r="511" ht="26.25" customHeight="1">
      <c r="A511" s="65"/>
      <c r="B511" s="66"/>
      <c r="C511" s="67"/>
      <c r="D511" s="68"/>
      <c r="E511" s="69"/>
      <c r="F511" s="70"/>
      <c r="G511" s="71"/>
      <c r="H511" s="72"/>
      <c r="I511" s="73"/>
      <c r="J511" s="73"/>
      <c r="K511" s="74"/>
      <c r="L511" s="74"/>
      <c r="M511" s="74"/>
      <c r="N511" s="74"/>
      <c r="O511" s="75"/>
      <c r="P511" s="76"/>
    </row>
    <row r="512" ht="26.25" customHeight="1">
      <c r="A512" s="65"/>
      <c r="B512" s="66"/>
      <c r="C512" s="67"/>
      <c r="D512" s="68"/>
      <c r="E512" s="69"/>
      <c r="F512" s="70"/>
      <c r="G512" s="71"/>
      <c r="H512" s="72"/>
      <c r="I512" s="73"/>
      <c r="J512" s="73"/>
      <c r="K512" s="74"/>
      <c r="L512" s="74"/>
      <c r="M512" s="74"/>
      <c r="N512" s="74"/>
      <c r="O512" s="75"/>
      <c r="P512" s="76"/>
    </row>
    <row r="513" ht="26.25" customHeight="1">
      <c r="A513" s="65"/>
      <c r="B513" s="66"/>
      <c r="C513" s="67"/>
      <c r="D513" s="68"/>
      <c r="E513" s="69"/>
      <c r="F513" s="70"/>
      <c r="G513" s="71"/>
      <c r="H513" s="72"/>
      <c r="I513" s="73"/>
      <c r="J513" s="73"/>
      <c r="K513" s="74"/>
      <c r="L513" s="74"/>
      <c r="M513" s="74"/>
      <c r="N513" s="74"/>
      <c r="O513" s="75"/>
      <c r="P513" s="76"/>
    </row>
    <row r="514" ht="26.25" customHeight="1">
      <c r="A514" s="65"/>
      <c r="B514" s="66"/>
      <c r="C514" s="67"/>
      <c r="D514" s="68"/>
      <c r="E514" s="69"/>
      <c r="F514" s="70"/>
      <c r="G514" s="71"/>
      <c r="H514" s="72"/>
      <c r="I514" s="73"/>
      <c r="J514" s="73"/>
      <c r="K514" s="74"/>
      <c r="L514" s="74"/>
      <c r="M514" s="74"/>
      <c r="N514" s="74"/>
      <c r="O514" s="75"/>
      <c r="P514" s="76"/>
    </row>
    <row r="515" ht="26.25" customHeight="1">
      <c r="A515" s="65"/>
      <c r="B515" s="66"/>
      <c r="C515" s="67"/>
      <c r="D515" s="68"/>
      <c r="E515" s="69"/>
      <c r="F515" s="70"/>
      <c r="G515" s="71"/>
      <c r="H515" s="72"/>
      <c r="I515" s="73"/>
      <c r="J515" s="73"/>
      <c r="K515" s="74"/>
      <c r="L515" s="74"/>
      <c r="M515" s="74"/>
      <c r="N515" s="74"/>
      <c r="O515" s="75"/>
      <c r="P515" s="76"/>
    </row>
    <row r="516" ht="26.25" customHeight="1">
      <c r="A516" s="65"/>
      <c r="B516" s="66"/>
      <c r="C516" s="67"/>
      <c r="D516" s="68"/>
      <c r="E516" s="69"/>
      <c r="F516" s="70"/>
      <c r="G516" s="71"/>
      <c r="H516" s="72"/>
      <c r="I516" s="73"/>
      <c r="J516" s="73"/>
      <c r="K516" s="74"/>
      <c r="L516" s="74"/>
      <c r="M516" s="74"/>
      <c r="N516" s="74"/>
      <c r="O516" s="75"/>
      <c r="P516" s="76"/>
    </row>
    <row r="517" ht="26.25" customHeight="1">
      <c r="A517" s="65"/>
      <c r="B517" s="66"/>
      <c r="C517" s="67"/>
      <c r="D517" s="68"/>
      <c r="E517" s="69"/>
      <c r="F517" s="70"/>
      <c r="G517" s="71"/>
      <c r="H517" s="72"/>
      <c r="I517" s="73"/>
      <c r="J517" s="73"/>
      <c r="K517" s="74"/>
      <c r="L517" s="74"/>
      <c r="M517" s="74"/>
      <c r="N517" s="74"/>
      <c r="O517" s="75"/>
      <c r="P517" s="76"/>
    </row>
    <row r="518" ht="26.25" customHeight="1">
      <c r="A518" s="65"/>
      <c r="B518" s="66"/>
      <c r="C518" s="67"/>
      <c r="D518" s="68"/>
      <c r="E518" s="69"/>
      <c r="F518" s="70"/>
      <c r="G518" s="71"/>
      <c r="H518" s="72"/>
      <c r="I518" s="73"/>
      <c r="J518" s="73"/>
      <c r="K518" s="74"/>
      <c r="L518" s="74"/>
      <c r="M518" s="74"/>
      <c r="N518" s="74"/>
      <c r="O518" s="75"/>
      <c r="P518" s="76"/>
    </row>
    <row r="519" ht="26.25" customHeight="1">
      <c r="A519" s="65"/>
      <c r="B519" s="66"/>
      <c r="C519" s="67"/>
      <c r="D519" s="68"/>
      <c r="E519" s="69"/>
      <c r="F519" s="70"/>
      <c r="G519" s="71"/>
      <c r="H519" s="72"/>
      <c r="I519" s="73"/>
      <c r="J519" s="73"/>
      <c r="K519" s="74"/>
      <c r="L519" s="74"/>
      <c r="M519" s="74"/>
      <c r="N519" s="74"/>
      <c r="O519" s="75"/>
      <c r="P519" s="76"/>
    </row>
    <row r="520" ht="26.25" customHeight="1">
      <c r="A520" s="65"/>
      <c r="B520" s="66"/>
      <c r="C520" s="67"/>
      <c r="D520" s="68"/>
      <c r="E520" s="69"/>
      <c r="F520" s="70"/>
      <c r="G520" s="71"/>
      <c r="H520" s="72"/>
      <c r="I520" s="73"/>
      <c r="J520" s="73"/>
      <c r="K520" s="74"/>
      <c r="L520" s="74"/>
      <c r="M520" s="74"/>
      <c r="N520" s="74"/>
      <c r="O520" s="75"/>
      <c r="P520" s="76"/>
    </row>
    <row r="521" ht="26.25" customHeight="1">
      <c r="A521" s="65"/>
      <c r="B521" s="66"/>
      <c r="C521" s="67"/>
      <c r="D521" s="68"/>
      <c r="E521" s="69"/>
      <c r="F521" s="70"/>
      <c r="G521" s="71"/>
      <c r="H521" s="72"/>
      <c r="I521" s="73"/>
      <c r="J521" s="73"/>
      <c r="K521" s="74"/>
      <c r="L521" s="74"/>
      <c r="M521" s="74"/>
      <c r="N521" s="74"/>
      <c r="O521" s="75"/>
      <c r="P521" s="76"/>
    </row>
    <row r="522" ht="26.25" customHeight="1">
      <c r="A522" s="65"/>
      <c r="B522" s="66"/>
      <c r="C522" s="67"/>
      <c r="D522" s="68"/>
      <c r="E522" s="69"/>
      <c r="F522" s="70"/>
      <c r="G522" s="71"/>
      <c r="H522" s="72"/>
      <c r="I522" s="73"/>
      <c r="J522" s="73"/>
      <c r="K522" s="74"/>
      <c r="L522" s="74"/>
      <c r="M522" s="74"/>
      <c r="N522" s="74"/>
      <c r="O522" s="75"/>
      <c r="P522" s="76"/>
    </row>
    <row r="523" ht="26.25" customHeight="1">
      <c r="A523" s="65"/>
      <c r="B523" s="66"/>
      <c r="C523" s="67"/>
      <c r="D523" s="68"/>
      <c r="E523" s="69"/>
      <c r="F523" s="70"/>
      <c r="G523" s="71"/>
      <c r="H523" s="72"/>
      <c r="I523" s="73"/>
      <c r="J523" s="73"/>
      <c r="K523" s="74"/>
      <c r="L523" s="74"/>
      <c r="M523" s="74"/>
      <c r="N523" s="74"/>
      <c r="O523" s="75"/>
      <c r="P523" s="76"/>
    </row>
    <row r="524" ht="26.25" customHeight="1">
      <c r="A524" s="65"/>
      <c r="B524" s="66"/>
      <c r="C524" s="67"/>
      <c r="D524" s="68"/>
      <c r="E524" s="69"/>
      <c r="F524" s="70"/>
      <c r="G524" s="71"/>
      <c r="H524" s="72"/>
      <c r="I524" s="73"/>
      <c r="J524" s="73"/>
      <c r="K524" s="74"/>
      <c r="L524" s="74"/>
      <c r="M524" s="74"/>
      <c r="N524" s="74"/>
      <c r="O524" s="75"/>
      <c r="P524" s="76"/>
    </row>
    <row r="525" ht="26.25" customHeight="1">
      <c r="A525" s="65"/>
      <c r="B525" s="66"/>
      <c r="C525" s="67"/>
      <c r="D525" s="68"/>
      <c r="E525" s="69"/>
      <c r="F525" s="70"/>
      <c r="G525" s="71"/>
      <c r="H525" s="72"/>
      <c r="I525" s="73"/>
      <c r="J525" s="73"/>
      <c r="K525" s="74"/>
      <c r="L525" s="74"/>
      <c r="M525" s="74"/>
      <c r="N525" s="74"/>
      <c r="O525" s="75"/>
      <c r="P525" s="76"/>
    </row>
    <row r="526" ht="26.25" customHeight="1">
      <c r="A526" s="65"/>
      <c r="B526" s="66"/>
      <c r="C526" s="67"/>
      <c r="D526" s="68"/>
      <c r="E526" s="69"/>
      <c r="F526" s="70"/>
      <c r="G526" s="71"/>
      <c r="H526" s="72"/>
      <c r="I526" s="73"/>
      <c r="J526" s="73"/>
      <c r="K526" s="74"/>
      <c r="L526" s="74"/>
      <c r="M526" s="74"/>
      <c r="N526" s="74"/>
      <c r="O526" s="75"/>
      <c r="P526" s="76"/>
    </row>
    <row r="527" ht="26.25" customHeight="1">
      <c r="A527" s="65"/>
      <c r="B527" s="66"/>
      <c r="C527" s="67"/>
      <c r="D527" s="68"/>
      <c r="E527" s="69"/>
      <c r="F527" s="70"/>
      <c r="G527" s="71"/>
      <c r="H527" s="72"/>
      <c r="I527" s="73"/>
      <c r="J527" s="73"/>
      <c r="K527" s="74"/>
      <c r="L527" s="74"/>
      <c r="M527" s="74"/>
      <c r="N527" s="74"/>
      <c r="O527" s="75"/>
      <c r="P527" s="76"/>
    </row>
    <row r="528" ht="26.25" customHeight="1">
      <c r="A528" s="65"/>
      <c r="B528" s="66"/>
      <c r="C528" s="67"/>
      <c r="D528" s="68"/>
      <c r="E528" s="69"/>
      <c r="F528" s="70"/>
      <c r="G528" s="71"/>
      <c r="H528" s="72"/>
      <c r="I528" s="73"/>
      <c r="J528" s="73"/>
      <c r="K528" s="74"/>
      <c r="L528" s="74"/>
      <c r="M528" s="74"/>
      <c r="N528" s="74"/>
      <c r="O528" s="75"/>
      <c r="P528" s="76"/>
    </row>
    <row r="529" ht="26.25" customHeight="1">
      <c r="A529" s="65"/>
      <c r="B529" s="66"/>
      <c r="C529" s="67"/>
      <c r="D529" s="68"/>
      <c r="E529" s="69"/>
      <c r="F529" s="70"/>
      <c r="G529" s="71"/>
      <c r="H529" s="72"/>
      <c r="I529" s="73"/>
      <c r="J529" s="73"/>
      <c r="K529" s="74"/>
      <c r="L529" s="74"/>
      <c r="M529" s="74"/>
      <c r="N529" s="74"/>
      <c r="O529" s="75"/>
      <c r="P529" s="76"/>
    </row>
    <row r="530" ht="26.25" customHeight="1">
      <c r="A530" s="65"/>
      <c r="B530" s="66"/>
      <c r="C530" s="67"/>
      <c r="D530" s="68"/>
      <c r="E530" s="69"/>
      <c r="F530" s="70"/>
      <c r="G530" s="71"/>
      <c r="H530" s="72"/>
      <c r="I530" s="73"/>
      <c r="J530" s="73"/>
      <c r="K530" s="74"/>
      <c r="L530" s="74"/>
      <c r="M530" s="74"/>
      <c r="N530" s="74"/>
      <c r="O530" s="75"/>
      <c r="P530" s="76"/>
    </row>
    <row r="531" ht="26.25" customHeight="1">
      <c r="A531" s="65"/>
      <c r="B531" s="66"/>
      <c r="C531" s="67"/>
      <c r="D531" s="68"/>
      <c r="E531" s="69"/>
      <c r="F531" s="70"/>
      <c r="G531" s="71"/>
      <c r="H531" s="72"/>
      <c r="I531" s="73"/>
      <c r="J531" s="73"/>
      <c r="K531" s="74"/>
      <c r="L531" s="74"/>
      <c r="M531" s="74"/>
      <c r="N531" s="74"/>
      <c r="O531" s="75"/>
      <c r="P531" s="76"/>
    </row>
    <row r="532" ht="26.25" customHeight="1">
      <c r="A532" s="65"/>
      <c r="B532" s="66"/>
      <c r="C532" s="67"/>
      <c r="D532" s="68"/>
      <c r="E532" s="69"/>
      <c r="F532" s="70"/>
      <c r="G532" s="71"/>
      <c r="H532" s="72"/>
      <c r="I532" s="73"/>
      <c r="J532" s="73"/>
      <c r="K532" s="74"/>
      <c r="L532" s="74"/>
      <c r="M532" s="74"/>
      <c r="N532" s="74"/>
      <c r="O532" s="75"/>
      <c r="P532" s="76"/>
    </row>
    <row r="533" ht="26.25" customHeight="1">
      <c r="A533" s="65"/>
      <c r="B533" s="66"/>
      <c r="C533" s="67"/>
      <c r="D533" s="68"/>
      <c r="E533" s="69"/>
      <c r="F533" s="70"/>
      <c r="G533" s="71"/>
      <c r="H533" s="72"/>
      <c r="I533" s="73"/>
      <c r="J533" s="73"/>
      <c r="K533" s="74"/>
      <c r="L533" s="74"/>
      <c r="M533" s="74"/>
      <c r="N533" s="74"/>
      <c r="O533" s="75"/>
      <c r="P533" s="76"/>
    </row>
    <row r="534" ht="26.25" customHeight="1">
      <c r="A534" s="65"/>
      <c r="B534" s="66"/>
      <c r="C534" s="67"/>
      <c r="D534" s="68"/>
      <c r="E534" s="69"/>
      <c r="F534" s="70"/>
      <c r="G534" s="71"/>
      <c r="H534" s="72"/>
      <c r="I534" s="73"/>
      <c r="J534" s="73"/>
      <c r="K534" s="74"/>
      <c r="L534" s="74"/>
      <c r="M534" s="74"/>
      <c r="N534" s="74"/>
      <c r="O534" s="75"/>
      <c r="P534" s="76"/>
    </row>
    <row r="535" ht="26.25" customHeight="1">
      <c r="A535" s="65"/>
      <c r="B535" s="66"/>
      <c r="C535" s="67"/>
      <c r="D535" s="68"/>
      <c r="E535" s="69"/>
      <c r="F535" s="70"/>
      <c r="G535" s="71"/>
      <c r="H535" s="72"/>
      <c r="I535" s="73"/>
      <c r="J535" s="73"/>
      <c r="K535" s="74"/>
      <c r="L535" s="74"/>
      <c r="M535" s="74"/>
      <c r="N535" s="74"/>
      <c r="O535" s="75"/>
      <c r="P535" s="76"/>
    </row>
    <row r="536" ht="26.25" customHeight="1">
      <c r="A536" s="65"/>
      <c r="B536" s="66"/>
      <c r="C536" s="67"/>
      <c r="D536" s="68"/>
      <c r="E536" s="69"/>
      <c r="F536" s="70"/>
      <c r="G536" s="71"/>
      <c r="H536" s="72"/>
      <c r="I536" s="73"/>
      <c r="J536" s="73"/>
      <c r="K536" s="74"/>
      <c r="L536" s="74"/>
      <c r="M536" s="74"/>
      <c r="N536" s="74"/>
      <c r="O536" s="75"/>
      <c r="P536" s="76"/>
    </row>
    <row r="537" ht="26.25" customHeight="1">
      <c r="A537" s="65"/>
      <c r="B537" s="66"/>
      <c r="C537" s="67"/>
      <c r="D537" s="68"/>
      <c r="E537" s="69"/>
      <c r="F537" s="70"/>
      <c r="G537" s="71"/>
      <c r="H537" s="72"/>
      <c r="I537" s="73"/>
      <c r="J537" s="73"/>
      <c r="K537" s="74"/>
      <c r="L537" s="74"/>
      <c r="M537" s="74"/>
      <c r="N537" s="74"/>
      <c r="O537" s="75"/>
      <c r="P537" s="76"/>
    </row>
    <row r="538" ht="26.25" customHeight="1">
      <c r="A538" s="65"/>
      <c r="B538" s="66"/>
      <c r="C538" s="67"/>
      <c r="D538" s="68"/>
      <c r="E538" s="69"/>
      <c r="F538" s="70"/>
      <c r="G538" s="71"/>
      <c r="H538" s="72"/>
      <c r="I538" s="73"/>
      <c r="J538" s="73"/>
      <c r="K538" s="74"/>
      <c r="L538" s="74"/>
      <c r="M538" s="74"/>
      <c r="N538" s="74"/>
      <c r="O538" s="75"/>
      <c r="P538" s="76"/>
    </row>
    <row r="539" ht="26.25" customHeight="1">
      <c r="A539" s="65"/>
      <c r="B539" s="66"/>
      <c r="C539" s="67"/>
      <c r="D539" s="68"/>
      <c r="E539" s="69"/>
      <c r="F539" s="70"/>
      <c r="G539" s="71"/>
      <c r="H539" s="72"/>
      <c r="I539" s="73"/>
      <c r="J539" s="73"/>
      <c r="K539" s="74"/>
      <c r="L539" s="74"/>
      <c r="M539" s="74"/>
      <c r="N539" s="74"/>
      <c r="O539" s="75"/>
      <c r="P539" s="76"/>
    </row>
    <row r="540" ht="26.25" customHeight="1">
      <c r="A540" s="65"/>
      <c r="B540" s="66"/>
      <c r="C540" s="67"/>
      <c r="D540" s="68"/>
      <c r="E540" s="69"/>
      <c r="F540" s="70"/>
      <c r="G540" s="71"/>
      <c r="H540" s="72"/>
      <c r="I540" s="73"/>
      <c r="J540" s="73"/>
      <c r="K540" s="74"/>
      <c r="L540" s="74"/>
      <c r="M540" s="74"/>
      <c r="N540" s="74"/>
      <c r="O540" s="75"/>
      <c r="P540" s="76"/>
    </row>
    <row r="541" ht="26.25" customHeight="1">
      <c r="A541" s="65"/>
      <c r="B541" s="66"/>
      <c r="C541" s="67"/>
      <c r="D541" s="68"/>
      <c r="E541" s="69"/>
      <c r="F541" s="70"/>
      <c r="G541" s="71"/>
      <c r="H541" s="72"/>
      <c r="I541" s="73"/>
      <c r="J541" s="73"/>
      <c r="K541" s="74"/>
      <c r="L541" s="74"/>
      <c r="M541" s="74"/>
      <c r="N541" s="74"/>
      <c r="O541" s="75"/>
      <c r="P541" s="76"/>
    </row>
    <row r="542" ht="26.25" customHeight="1">
      <c r="A542" s="65"/>
      <c r="B542" s="66"/>
      <c r="C542" s="67"/>
      <c r="D542" s="68"/>
      <c r="E542" s="69"/>
      <c r="F542" s="70"/>
      <c r="G542" s="71"/>
      <c r="H542" s="72"/>
      <c r="I542" s="73"/>
      <c r="J542" s="73"/>
      <c r="K542" s="74"/>
      <c r="L542" s="74"/>
      <c r="M542" s="74"/>
      <c r="N542" s="74"/>
      <c r="O542" s="75"/>
      <c r="P542" s="76"/>
    </row>
    <row r="543" ht="26.25" customHeight="1">
      <c r="A543" s="65"/>
      <c r="B543" s="66"/>
      <c r="C543" s="67"/>
      <c r="D543" s="68"/>
      <c r="E543" s="69"/>
      <c r="F543" s="70"/>
      <c r="G543" s="71"/>
      <c r="H543" s="72"/>
      <c r="I543" s="73"/>
      <c r="J543" s="73"/>
      <c r="K543" s="74"/>
      <c r="L543" s="74"/>
      <c r="M543" s="74"/>
      <c r="N543" s="74"/>
      <c r="O543" s="75"/>
      <c r="P543" s="76"/>
    </row>
    <row r="544" ht="26.25" customHeight="1">
      <c r="A544" s="65"/>
      <c r="B544" s="66"/>
      <c r="C544" s="67"/>
      <c r="D544" s="68"/>
      <c r="E544" s="69"/>
      <c r="F544" s="70"/>
      <c r="G544" s="71"/>
      <c r="H544" s="72"/>
      <c r="I544" s="73"/>
      <c r="J544" s="73"/>
      <c r="K544" s="74"/>
      <c r="L544" s="74"/>
      <c r="M544" s="74"/>
      <c r="N544" s="74"/>
      <c r="O544" s="75"/>
      <c r="P544" s="76"/>
    </row>
    <row r="545" ht="26.25" customHeight="1">
      <c r="A545" s="65"/>
      <c r="B545" s="66"/>
      <c r="C545" s="67"/>
      <c r="D545" s="68"/>
      <c r="E545" s="69"/>
      <c r="F545" s="70"/>
      <c r="G545" s="71"/>
      <c r="H545" s="72"/>
      <c r="I545" s="73"/>
      <c r="J545" s="73"/>
      <c r="K545" s="74"/>
      <c r="L545" s="74"/>
      <c r="M545" s="74"/>
      <c r="N545" s="74"/>
      <c r="O545" s="75"/>
      <c r="P545" s="76"/>
    </row>
    <row r="546" ht="26.25" customHeight="1">
      <c r="A546" s="65"/>
      <c r="B546" s="66"/>
      <c r="C546" s="67"/>
      <c r="D546" s="68"/>
      <c r="E546" s="69"/>
      <c r="F546" s="70"/>
      <c r="G546" s="71"/>
      <c r="H546" s="72"/>
      <c r="I546" s="73"/>
      <c r="J546" s="73"/>
      <c r="K546" s="74"/>
      <c r="L546" s="74"/>
      <c r="M546" s="74"/>
      <c r="N546" s="74"/>
      <c r="O546" s="75"/>
      <c r="P546" s="76"/>
    </row>
    <row r="547" ht="26.25" customHeight="1">
      <c r="A547" s="65"/>
      <c r="B547" s="66"/>
      <c r="C547" s="67"/>
      <c r="D547" s="68"/>
      <c r="E547" s="69"/>
      <c r="F547" s="70"/>
      <c r="G547" s="71"/>
      <c r="H547" s="72"/>
      <c r="I547" s="73"/>
      <c r="J547" s="73"/>
      <c r="K547" s="74"/>
      <c r="L547" s="74"/>
      <c r="M547" s="74"/>
      <c r="N547" s="74"/>
      <c r="O547" s="75"/>
      <c r="P547" s="76"/>
    </row>
    <row r="548" ht="26.25" customHeight="1">
      <c r="A548" s="65"/>
      <c r="B548" s="66"/>
      <c r="C548" s="67"/>
      <c r="D548" s="68"/>
      <c r="E548" s="69"/>
      <c r="F548" s="70"/>
      <c r="G548" s="71"/>
      <c r="H548" s="72"/>
      <c r="I548" s="73"/>
      <c r="J548" s="73"/>
      <c r="K548" s="74"/>
      <c r="L548" s="74"/>
      <c r="M548" s="74"/>
      <c r="N548" s="74"/>
      <c r="O548" s="75"/>
      <c r="P548" s="76"/>
    </row>
    <row r="549" ht="26.25" customHeight="1">
      <c r="A549" s="65"/>
      <c r="B549" s="66"/>
      <c r="C549" s="67"/>
      <c r="D549" s="68"/>
      <c r="E549" s="69"/>
      <c r="F549" s="70"/>
      <c r="G549" s="71"/>
      <c r="H549" s="72"/>
      <c r="I549" s="73"/>
      <c r="J549" s="73"/>
      <c r="K549" s="74"/>
      <c r="L549" s="74"/>
      <c r="M549" s="74"/>
      <c r="N549" s="74"/>
      <c r="O549" s="75"/>
      <c r="P549" s="76"/>
    </row>
    <row r="550" ht="26.25" customHeight="1">
      <c r="A550" s="65"/>
      <c r="B550" s="66"/>
      <c r="C550" s="67"/>
      <c r="D550" s="68"/>
      <c r="E550" s="69"/>
      <c r="F550" s="70"/>
      <c r="G550" s="71"/>
      <c r="H550" s="72"/>
      <c r="I550" s="73"/>
      <c r="J550" s="73"/>
      <c r="K550" s="74"/>
      <c r="L550" s="74"/>
      <c r="M550" s="74"/>
      <c r="N550" s="74"/>
      <c r="O550" s="75"/>
      <c r="P550" s="76"/>
    </row>
    <row r="551" ht="26.25" customHeight="1">
      <c r="A551" s="65"/>
      <c r="B551" s="66"/>
      <c r="C551" s="67"/>
      <c r="D551" s="68"/>
      <c r="E551" s="69"/>
      <c r="F551" s="70"/>
      <c r="G551" s="71"/>
      <c r="H551" s="72"/>
      <c r="I551" s="73"/>
      <c r="J551" s="73"/>
      <c r="K551" s="74"/>
      <c r="L551" s="74"/>
      <c r="M551" s="74"/>
      <c r="N551" s="74"/>
      <c r="O551" s="75"/>
      <c r="P551" s="76"/>
    </row>
    <row r="552" ht="26.25" customHeight="1">
      <c r="A552" s="65"/>
      <c r="B552" s="66"/>
      <c r="C552" s="67"/>
      <c r="D552" s="68"/>
      <c r="E552" s="69"/>
      <c r="F552" s="70"/>
      <c r="G552" s="71"/>
      <c r="H552" s="72"/>
      <c r="I552" s="73"/>
      <c r="J552" s="73"/>
      <c r="K552" s="74"/>
      <c r="L552" s="74"/>
      <c r="M552" s="74"/>
      <c r="N552" s="74"/>
      <c r="O552" s="75"/>
      <c r="P552" s="76"/>
    </row>
    <row r="553" ht="26.25" customHeight="1">
      <c r="A553" s="65"/>
      <c r="B553" s="66"/>
      <c r="C553" s="67"/>
      <c r="D553" s="68"/>
      <c r="E553" s="69"/>
      <c r="F553" s="70"/>
      <c r="G553" s="71"/>
      <c r="H553" s="72"/>
      <c r="I553" s="73"/>
      <c r="J553" s="73"/>
      <c r="K553" s="74"/>
      <c r="L553" s="74"/>
      <c r="M553" s="74"/>
      <c r="N553" s="74"/>
      <c r="O553" s="75"/>
      <c r="P553" s="76"/>
    </row>
    <row r="554" ht="26.25" customHeight="1">
      <c r="A554" s="65"/>
      <c r="B554" s="66"/>
      <c r="C554" s="67"/>
      <c r="D554" s="68"/>
      <c r="E554" s="69"/>
      <c r="F554" s="70"/>
      <c r="G554" s="71"/>
      <c r="H554" s="72"/>
      <c r="I554" s="73"/>
      <c r="J554" s="73"/>
      <c r="K554" s="74"/>
      <c r="L554" s="74"/>
      <c r="M554" s="74"/>
      <c r="N554" s="74"/>
      <c r="O554" s="75"/>
      <c r="P554" s="76"/>
    </row>
    <row r="555" ht="26.25" customHeight="1">
      <c r="A555" s="65"/>
      <c r="B555" s="66"/>
      <c r="C555" s="67"/>
      <c r="D555" s="68"/>
      <c r="E555" s="69"/>
      <c r="F555" s="70"/>
      <c r="G555" s="71"/>
      <c r="H555" s="72"/>
      <c r="I555" s="73"/>
      <c r="J555" s="73"/>
      <c r="K555" s="74"/>
      <c r="L555" s="74"/>
      <c r="M555" s="74"/>
      <c r="N555" s="74"/>
      <c r="O555" s="75"/>
      <c r="P555" s="76"/>
    </row>
    <row r="556" ht="26.25" customHeight="1">
      <c r="A556" s="65"/>
      <c r="B556" s="66"/>
      <c r="C556" s="67"/>
      <c r="D556" s="68"/>
      <c r="E556" s="69"/>
      <c r="F556" s="70"/>
      <c r="G556" s="71"/>
      <c r="H556" s="72"/>
      <c r="I556" s="73"/>
      <c r="J556" s="73"/>
      <c r="K556" s="74"/>
      <c r="L556" s="74"/>
      <c r="M556" s="74"/>
      <c r="N556" s="74"/>
      <c r="O556" s="75"/>
      <c r="P556" s="76"/>
    </row>
    <row r="557" ht="26.25" customHeight="1">
      <c r="A557" s="65"/>
      <c r="B557" s="66"/>
      <c r="C557" s="67"/>
      <c r="D557" s="68"/>
      <c r="E557" s="69"/>
      <c r="F557" s="70"/>
      <c r="G557" s="71"/>
      <c r="H557" s="72"/>
      <c r="I557" s="73"/>
      <c r="J557" s="73"/>
      <c r="K557" s="74"/>
      <c r="L557" s="74"/>
      <c r="M557" s="74"/>
      <c r="N557" s="74"/>
      <c r="O557" s="75"/>
      <c r="P557" s="76"/>
    </row>
    <row r="558" ht="26.25" customHeight="1">
      <c r="A558" s="65"/>
      <c r="B558" s="66"/>
      <c r="C558" s="67"/>
      <c r="D558" s="68"/>
      <c r="E558" s="69"/>
      <c r="F558" s="70"/>
      <c r="G558" s="71"/>
      <c r="H558" s="72"/>
      <c r="I558" s="73"/>
      <c r="J558" s="73"/>
      <c r="K558" s="74"/>
      <c r="L558" s="74"/>
      <c r="M558" s="74"/>
      <c r="N558" s="74"/>
      <c r="O558" s="75"/>
      <c r="P558" s="76"/>
    </row>
    <row r="559" ht="26.25" customHeight="1">
      <c r="A559" s="65"/>
      <c r="B559" s="66"/>
      <c r="C559" s="67"/>
      <c r="D559" s="68"/>
      <c r="E559" s="69"/>
      <c r="F559" s="70"/>
      <c r="G559" s="71"/>
      <c r="H559" s="72"/>
      <c r="I559" s="73"/>
      <c r="J559" s="73"/>
      <c r="K559" s="74"/>
      <c r="L559" s="74"/>
      <c r="M559" s="74"/>
      <c r="N559" s="74"/>
      <c r="O559" s="75"/>
      <c r="P559" s="76"/>
    </row>
    <row r="560" ht="26.25" customHeight="1">
      <c r="A560" s="65"/>
      <c r="B560" s="66"/>
      <c r="C560" s="67"/>
      <c r="D560" s="68"/>
      <c r="E560" s="69"/>
      <c r="F560" s="70"/>
      <c r="G560" s="71"/>
      <c r="H560" s="72"/>
      <c r="I560" s="73"/>
      <c r="J560" s="73"/>
      <c r="K560" s="74"/>
      <c r="L560" s="74"/>
      <c r="M560" s="74"/>
      <c r="N560" s="74"/>
      <c r="O560" s="75"/>
      <c r="P560" s="76"/>
    </row>
    <row r="561" ht="26.25" customHeight="1">
      <c r="A561" s="65"/>
      <c r="B561" s="66"/>
      <c r="C561" s="67"/>
      <c r="D561" s="68"/>
      <c r="E561" s="69"/>
      <c r="F561" s="70"/>
      <c r="G561" s="71"/>
      <c r="H561" s="72"/>
      <c r="I561" s="73"/>
      <c r="J561" s="73"/>
      <c r="K561" s="74"/>
      <c r="L561" s="74"/>
      <c r="M561" s="74"/>
      <c r="N561" s="74"/>
      <c r="O561" s="75"/>
      <c r="P561" s="76"/>
    </row>
    <row r="562" ht="26.25" customHeight="1">
      <c r="A562" s="65"/>
      <c r="B562" s="66"/>
      <c r="C562" s="67"/>
      <c r="D562" s="68"/>
      <c r="E562" s="69"/>
      <c r="F562" s="70"/>
      <c r="G562" s="71"/>
      <c r="H562" s="72"/>
      <c r="I562" s="73"/>
      <c r="J562" s="73"/>
      <c r="K562" s="74"/>
      <c r="L562" s="74"/>
      <c r="M562" s="74"/>
      <c r="N562" s="74"/>
      <c r="O562" s="75"/>
      <c r="P562" s="76"/>
    </row>
    <row r="563" ht="26.25" customHeight="1">
      <c r="A563" s="65"/>
      <c r="B563" s="66"/>
      <c r="C563" s="67"/>
      <c r="D563" s="68"/>
      <c r="E563" s="69"/>
      <c r="F563" s="70"/>
      <c r="G563" s="71"/>
      <c r="H563" s="72"/>
      <c r="I563" s="73"/>
      <c r="J563" s="73"/>
      <c r="K563" s="74"/>
      <c r="L563" s="74"/>
      <c r="M563" s="74"/>
      <c r="N563" s="74"/>
      <c r="O563" s="75"/>
      <c r="P563" s="76"/>
    </row>
    <row r="564" ht="26.25" customHeight="1">
      <c r="A564" s="65"/>
      <c r="B564" s="66"/>
      <c r="C564" s="67"/>
      <c r="D564" s="68"/>
      <c r="E564" s="69"/>
      <c r="F564" s="70"/>
      <c r="G564" s="71"/>
      <c r="H564" s="72"/>
      <c r="I564" s="73"/>
      <c r="J564" s="73"/>
      <c r="K564" s="74"/>
      <c r="L564" s="74"/>
      <c r="M564" s="74"/>
      <c r="N564" s="74"/>
      <c r="O564" s="75"/>
      <c r="P564" s="76"/>
    </row>
    <row r="565" ht="26.25" customHeight="1">
      <c r="A565" s="65"/>
      <c r="B565" s="66"/>
      <c r="C565" s="67"/>
      <c r="D565" s="68"/>
      <c r="E565" s="69"/>
      <c r="F565" s="70"/>
      <c r="G565" s="71"/>
      <c r="H565" s="72"/>
      <c r="I565" s="73"/>
      <c r="J565" s="73"/>
      <c r="K565" s="74"/>
      <c r="L565" s="74"/>
      <c r="M565" s="74"/>
      <c r="N565" s="74"/>
      <c r="O565" s="75"/>
      <c r="P565" s="76"/>
    </row>
    <row r="566" ht="26.25" customHeight="1">
      <c r="A566" s="65"/>
      <c r="B566" s="66"/>
      <c r="C566" s="67"/>
      <c r="D566" s="68"/>
      <c r="E566" s="69"/>
      <c r="F566" s="70"/>
      <c r="G566" s="71"/>
      <c r="H566" s="72"/>
      <c r="I566" s="73"/>
      <c r="J566" s="73"/>
      <c r="K566" s="74"/>
      <c r="L566" s="74"/>
      <c r="M566" s="74"/>
      <c r="N566" s="74"/>
      <c r="O566" s="75"/>
      <c r="P566" s="76"/>
    </row>
    <row r="567" ht="26.25" customHeight="1">
      <c r="A567" s="65"/>
      <c r="B567" s="66"/>
      <c r="C567" s="67"/>
      <c r="D567" s="68"/>
      <c r="E567" s="69"/>
      <c r="F567" s="70"/>
      <c r="G567" s="71"/>
      <c r="H567" s="72"/>
      <c r="I567" s="73"/>
      <c r="J567" s="73"/>
      <c r="K567" s="74"/>
      <c r="L567" s="74"/>
      <c r="M567" s="74"/>
      <c r="N567" s="74"/>
      <c r="O567" s="75"/>
      <c r="P567" s="76"/>
    </row>
    <row r="568" ht="26.25" customHeight="1">
      <c r="A568" s="65"/>
      <c r="B568" s="66"/>
      <c r="C568" s="67"/>
      <c r="D568" s="68"/>
      <c r="E568" s="69"/>
      <c r="F568" s="70"/>
      <c r="G568" s="71"/>
      <c r="H568" s="72"/>
      <c r="I568" s="73"/>
      <c r="J568" s="73"/>
      <c r="K568" s="74"/>
      <c r="L568" s="74"/>
      <c r="M568" s="74"/>
      <c r="N568" s="74"/>
      <c r="O568" s="75"/>
      <c r="P568" s="76"/>
    </row>
    <row r="569" ht="26.25" customHeight="1">
      <c r="A569" s="65"/>
      <c r="B569" s="66"/>
      <c r="C569" s="67"/>
      <c r="D569" s="68"/>
      <c r="E569" s="69"/>
      <c r="F569" s="70"/>
      <c r="G569" s="71"/>
      <c r="H569" s="72"/>
      <c r="I569" s="73"/>
      <c r="J569" s="73"/>
      <c r="K569" s="74"/>
      <c r="L569" s="74"/>
      <c r="M569" s="74"/>
      <c r="N569" s="74"/>
      <c r="O569" s="75"/>
      <c r="P569" s="76"/>
    </row>
    <row r="570" ht="26.25" customHeight="1">
      <c r="A570" s="65"/>
      <c r="B570" s="66"/>
      <c r="C570" s="67"/>
      <c r="D570" s="68"/>
      <c r="E570" s="69"/>
      <c r="F570" s="70"/>
      <c r="G570" s="71"/>
      <c r="H570" s="72"/>
      <c r="I570" s="73"/>
      <c r="J570" s="73"/>
      <c r="K570" s="74"/>
      <c r="L570" s="74"/>
      <c r="M570" s="74"/>
      <c r="N570" s="74"/>
      <c r="O570" s="75"/>
      <c r="P570" s="76"/>
    </row>
    <row r="571" ht="26.25" customHeight="1">
      <c r="A571" s="65"/>
      <c r="B571" s="66"/>
      <c r="C571" s="67"/>
      <c r="D571" s="68"/>
      <c r="E571" s="69"/>
      <c r="F571" s="70"/>
      <c r="G571" s="71"/>
      <c r="H571" s="72"/>
      <c r="I571" s="73"/>
      <c r="J571" s="73"/>
      <c r="K571" s="74"/>
      <c r="L571" s="74"/>
      <c r="M571" s="74"/>
      <c r="N571" s="74"/>
      <c r="O571" s="75"/>
      <c r="P571" s="76"/>
    </row>
    <row r="572" ht="26.25" customHeight="1">
      <c r="A572" s="65"/>
      <c r="B572" s="66"/>
      <c r="C572" s="67"/>
      <c r="D572" s="68"/>
      <c r="E572" s="69"/>
      <c r="F572" s="70"/>
      <c r="G572" s="71"/>
      <c r="H572" s="72"/>
      <c r="I572" s="73"/>
      <c r="J572" s="73"/>
      <c r="K572" s="74"/>
      <c r="L572" s="74"/>
      <c r="M572" s="74"/>
      <c r="N572" s="74"/>
      <c r="O572" s="75"/>
      <c r="P572" s="76"/>
    </row>
    <row r="573" ht="26.25" customHeight="1">
      <c r="A573" s="65"/>
      <c r="B573" s="66"/>
      <c r="C573" s="67"/>
      <c r="D573" s="68"/>
      <c r="E573" s="69"/>
      <c r="F573" s="70"/>
      <c r="G573" s="71"/>
      <c r="H573" s="72"/>
      <c r="I573" s="73"/>
      <c r="J573" s="73"/>
      <c r="K573" s="74"/>
      <c r="L573" s="74"/>
      <c r="M573" s="74"/>
      <c r="N573" s="74"/>
      <c r="O573" s="75"/>
      <c r="P573" s="76"/>
    </row>
    <row r="574" ht="26.25" customHeight="1">
      <c r="A574" s="65"/>
      <c r="B574" s="66"/>
      <c r="C574" s="67"/>
      <c r="D574" s="68"/>
      <c r="E574" s="69"/>
      <c r="F574" s="70"/>
      <c r="G574" s="71"/>
      <c r="H574" s="72"/>
      <c r="I574" s="73"/>
      <c r="J574" s="73"/>
      <c r="K574" s="74"/>
      <c r="L574" s="74"/>
      <c r="M574" s="74"/>
      <c r="N574" s="74"/>
      <c r="O574" s="75"/>
      <c r="P574" s="76"/>
    </row>
    <row r="575" ht="26.25" customHeight="1">
      <c r="A575" s="65"/>
      <c r="B575" s="66"/>
      <c r="C575" s="67"/>
      <c r="D575" s="68"/>
      <c r="E575" s="69"/>
      <c r="F575" s="70"/>
      <c r="G575" s="71"/>
      <c r="H575" s="72"/>
      <c r="I575" s="73"/>
      <c r="J575" s="73"/>
      <c r="K575" s="74"/>
      <c r="L575" s="74"/>
      <c r="M575" s="74"/>
      <c r="N575" s="74"/>
      <c r="O575" s="75"/>
      <c r="P575" s="76"/>
    </row>
    <row r="576" ht="26.25" customHeight="1">
      <c r="A576" s="65"/>
      <c r="B576" s="66"/>
      <c r="C576" s="67"/>
      <c r="D576" s="68"/>
      <c r="E576" s="69"/>
      <c r="F576" s="70"/>
      <c r="G576" s="71"/>
      <c r="H576" s="72"/>
      <c r="I576" s="73"/>
      <c r="J576" s="73"/>
      <c r="K576" s="74"/>
      <c r="L576" s="74"/>
      <c r="M576" s="74"/>
      <c r="N576" s="74"/>
      <c r="O576" s="75"/>
      <c r="P576" s="76"/>
    </row>
    <row r="577" ht="26.25" customHeight="1">
      <c r="A577" s="65"/>
      <c r="B577" s="66"/>
      <c r="C577" s="67"/>
      <c r="D577" s="68"/>
      <c r="E577" s="69"/>
      <c r="F577" s="70"/>
      <c r="G577" s="71"/>
      <c r="H577" s="72"/>
      <c r="I577" s="73"/>
      <c r="J577" s="73"/>
      <c r="K577" s="74"/>
      <c r="L577" s="74"/>
      <c r="M577" s="74"/>
      <c r="N577" s="74"/>
      <c r="O577" s="75"/>
      <c r="P577" s="76"/>
    </row>
    <row r="578" ht="26.25" customHeight="1">
      <c r="A578" s="65"/>
      <c r="B578" s="66"/>
      <c r="C578" s="67"/>
      <c r="D578" s="68"/>
      <c r="E578" s="69"/>
      <c r="F578" s="70"/>
      <c r="G578" s="71"/>
      <c r="H578" s="72"/>
      <c r="I578" s="73"/>
      <c r="J578" s="73"/>
      <c r="K578" s="74"/>
      <c r="L578" s="74"/>
      <c r="M578" s="74"/>
      <c r="N578" s="74"/>
      <c r="O578" s="75"/>
      <c r="P578" s="76"/>
    </row>
    <row r="579" ht="26.25" customHeight="1">
      <c r="A579" s="65"/>
      <c r="B579" s="66"/>
      <c r="C579" s="67"/>
      <c r="D579" s="68"/>
      <c r="E579" s="69"/>
      <c r="F579" s="70"/>
      <c r="G579" s="71"/>
      <c r="H579" s="72"/>
      <c r="I579" s="73"/>
      <c r="J579" s="73"/>
      <c r="K579" s="74"/>
      <c r="L579" s="74"/>
      <c r="M579" s="74"/>
      <c r="N579" s="74"/>
      <c r="O579" s="75"/>
      <c r="P579" s="76"/>
    </row>
    <row r="580" ht="26.25" customHeight="1">
      <c r="A580" s="65"/>
      <c r="B580" s="66"/>
      <c r="C580" s="67"/>
      <c r="D580" s="68"/>
      <c r="E580" s="69"/>
      <c r="F580" s="70"/>
      <c r="G580" s="71"/>
      <c r="H580" s="72"/>
      <c r="I580" s="73"/>
      <c r="J580" s="73"/>
      <c r="K580" s="74"/>
      <c r="L580" s="74"/>
      <c r="M580" s="74"/>
      <c r="N580" s="74"/>
      <c r="O580" s="75"/>
      <c r="P580" s="76"/>
    </row>
    <row r="581" ht="26.25" customHeight="1">
      <c r="A581" s="65"/>
      <c r="B581" s="66"/>
      <c r="C581" s="67"/>
      <c r="D581" s="68"/>
      <c r="E581" s="69"/>
      <c r="F581" s="70"/>
      <c r="G581" s="71"/>
      <c r="H581" s="72"/>
      <c r="I581" s="73"/>
      <c r="J581" s="73"/>
      <c r="K581" s="74"/>
      <c r="L581" s="74"/>
      <c r="M581" s="74"/>
      <c r="N581" s="74"/>
      <c r="O581" s="75"/>
      <c r="P581" s="76"/>
    </row>
    <row r="582" ht="26.25" customHeight="1">
      <c r="A582" s="65"/>
      <c r="B582" s="66"/>
      <c r="C582" s="67"/>
      <c r="D582" s="68"/>
      <c r="E582" s="69"/>
      <c r="F582" s="70"/>
      <c r="G582" s="71"/>
      <c r="H582" s="72"/>
      <c r="I582" s="73"/>
      <c r="J582" s="73"/>
      <c r="K582" s="74"/>
      <c r="L582" s="74"/>
      <c r="M582" s="74"/>
      <c r="N582" s="74"/>
      <c r="O582" s="75"/>
      <c r="P582" s="76"/>
    </row>
    <row r="583" ht="26.25" customHeight="1">
      <c r="A583" s="65"/>
      <c r="B583" s="66"/>
      <c r="C583" s="67"/>
      <c r="D583" s="68"/>
      <c r="E583" s="69"/>
      <c r="F583" s="70"/>
      <c r="G583" s="71"/>
      <c r="H583" s="72"/>
      <c r="I583" s="73"/>
      <c r="J583" s="73"/>
      <c r="K583" s="74"/>
      <c r="L583" s="74"/>
      <c r="M583" s="74"/>
      <c r="N583" s="74"/>
      <c r="O583" s="75"/>
      <c r="P583" s="76"/>
    </row>
    <row r="584" ht="26.25" customHeight="1">
      <c r="A584" s="65"/>
      <c r="B584" s="66"/>
      <c r="C584" s="67"/>
      <c r="D584" s="68"/>
      <c r="E584" s="69"/>
      <c r="F584" s="70"/>
      <c r="G584" s="71"/>
      <c r="H584" s="72"/>
      <c r="I584" s="73"/>
      <c r="J584" s="73"/>
      <c r="K584" s="74"/>
      <c r="L584" s="74"/>
      <c r="M584" s="74"/>
      <c r="N584" s="74"/>
      <c r="O584" s="75"/>
      <c r="P584" s="76"/>
    </row>
    <row r="585" ht="26.25" customHeight="1">
      <c r="A585" s="65"/>
      <c r="B585" s="66"/>
      <c r="C585" s="67"/>
      <c r="D585" s="68"/>
      <c r="E585" s="69"/>
      <c r="F585" s="70"/>
      <c r="G585" s="71"/>
      <c r="H585" s="72"/>
      <c r="I585" s="73"/>
      <c r="J585" s="73"/>
      <c r="K585" s="74"/>
      <c r="L585" s="74"/>
      <c r="M585" s="74"/>
      <c r="N585" s="74"/>
      <c r="O585" s="75"/>
      <c r="P585" s="76"/>
    </row>
    <row r="586" ht="26.25" customHeight="1">
      <c r="A586" s="65"/>
      <c r="B586" s="66"/>
      <c r="C586" s="67"/>
      <c r="D586" s="68"/>
      <c r="E586" s="69"/>
      <c r="F586" s="70"/>
      <c r="G586" s="71"/>
      <c r="H586" s="72"/>
      <c r="I586" s="73"/>
      <c r="J586" s="73"/>
      <c r="K586" s="74"/>
      <c r="L586" s="74"/>
      <c r="M586" s="74"/>
      <c r="N586" s="74"/>
      <c r="O586" s="75"/>
      <c r="P586" s="76"/>
    </row>
    <row r="587" ht="26.25" customHeight="1">
      <c r="A587" s="65"/>
      <c r="B587" s="66"/>
      <c r="C587" s="67"/>
      <c r="D587" s="68"/>
      <c r="E587" s="69"/>
      <c r="F587" s="70"/>
      <c r="G587" s="71"/>
      <c r="H587" s="72"/>
      <c r="I587" s="73"/>
      <c r="J587" s="73"/>
      <c r="K587" s="74"/>
      <c r="L587" s="74"/>
      <c r="M587" s="74"/>
      <c r="N587" s="74"/>
      <c r="O587" s="75"/>
      <c r="P587" s="76"/>
    </row>
    <row r="588" ht="26.25" customHeight="1">
      <c r="A588" s="65"/>
      <c r="B588" s="66"/>
      <c r="C588" s="67"/>
      <c r="D588" s="68"/>
      <c r="E588" s="69"/>
      <c r="F588" s="70"/>
      <c r="G588" s="71"/>
      <c r="H588" s="72"/>
      <c r="I588" s="73"/>
      <c r="J588" s="73"/>
      <c r="K588" s="74"/>
      <c r="L588" s="74"/>
      <c r="M588" s="74"/>
      <c r="N588" s="74"/>
      <c r="O588" s="75"/>
      <c r="P588" s="76"/>
    </row>
    <row r="589" ht="26.25" customHeight="1">
      <c r="A589" s="65"/>
      <c r="B589" s="66"/>
      <c r="C589" s="67"/>
      <c r="D589" s="68"/>
      <c r="E589" s="69"/>
      <c r="F589" s="70"/>
      <c r="G589" s="71"/>
      <c r="H589" s="72"/>
      <c r="I589" s="73"/>
      <c r="J589" s="73"/>
      <c r="K589" s="74"/>
      <c r="L589" s="74"/>
      <c r="M589" s="74"/>
      <c r="N589" s="74"/>
      <c r="O589" s="75"/>
      <c r="P589" s="76"/>
    </row>
    <row r="590" ht="26.25" customHeight="1">
      <c r="A590" s="65"/>
      <c r="B590" s="66"/>
      <c r="C590" s="67"/>
      <c r="D590" s="68"/>
      <c r="E590" s="69"/>
      <c r="F590" s="70"/>
      <c r="G590" s="71"/>
      <c r="H590" s="72"/>
      <c r="I590" s="73"/>
      <c r="J590" s="73"/>
      <c r="K590" s="74"/>
      <c r="L590" s="74"/>
      <c r="M590" s="74"/>
      <c r="N590" s="74"/>
      <c r="O590" s="75"/>
      <c r="P590" s="76"/>
    </row>
    <row r="591" ht="26.25" customHeight="1">
      <c r="A591" s="65"/>
      <c r="B591" s="66"/>
      <c r="C591" s="67"/>
      <c r="D591" s="68"/>
      <c r="E591" s="69"/>
      <c r="F591" s="70"/>
      <c r="G591" s="71"/>
      <c r="H591" s="72"/>
      <c r="I591" s="73"/>
      <c r="J591" s="73"/>
      <c r="K591" s="74"/>
      <c r="L591" s="74"/>
      <c r="M591" s="74"/>
      <c r="N591" s="74"/>
      <c r="O591" s="75"/>
      <c r="P591" s="76"/>
    </row>
    <row r="592" ht="26.25" customHeight="1">
      <c r="A592" s="65"/>
      <c r="B592" s="66"/>
      <c r="C592" s="67"/>
      <c r="D592" s="68"/>
      <c r="E592" s="69"/>
      <c r="F592" s="70"/>
      <c r="G592" s="71"/>
      <c r="H592" s="72"/>
      <c r="I592" s="73"/>
      <c r="J592" s="73"/>
      <c r="K592" s="74"/>
      <c r="L592" s="74"/>
      <c r="M592" s="74"/>
      <c r="N592" s="74"/>
      <c r="O592" s="75"/>
      <c r="P592" s="76"/>
    </row>
    <row r="593" ht="26.25" customHeight="1">
      <c r="A593" s="65"/>
      <c r="B593" s="66"/>
      <c r="C593" s="67"/>
      <c r="D593" s="68"/>
      <c r="E593" s="69"/>
      <c r="F593" s="70"/>
      <c r="G593" s="71"/>
      <c r="H593" s="72"/>
      <c r="I593" s="73"/>
      <c r="J593" s="73"/>
      <c r="K593" s="74"/>
      <c r="L593" s="74"/>
      <c r="M593" s="74"/>
      <c r="N593" s="74"/>
      <c r="O593" s="75"/>
      <c r="P593" s="76"/>
    </row>
    <row r="594" ht="26.25" customHeight="1">
      <c r="A594" s="65"/>
      <c r="B594" s="66"/>
      <c r="C594" s="67"/>
      <c r="D594" s="68"/>
      <c r="E594" s="69"/>
      <c r="F594" s="70"/>
      <c r="G594" s="71"/>
      <c r="H594" s="72"/>
      <c r="I594" s="73"/>
      <c r="J594" s="73"/>
      <c r="K594" s="74"/>
      <c r="L594" s="74"/>
      <c r="M594" s="74"/>
      <c r="N594" s="74"/>
      <c r="O594" s="75"/>
      <c r="P594" s="76"/>
    </row>
    <row r="595" ht="26.25" customHeight="1">
      <c r="A595" s="65"/>
      <c r="B595" s="66"/>
      <c r="C595" s="67"/>
      <c r="D595" s="68"/>
      <c r="E595" s="69"/>
      <c r="F595" s="70"/>
      <c r="G595" s="71"/>
      <c r="H595" s="72"/>
      <c r="I595" s="73"/>
      <c r="J595" s="73"/>
      <c r="K595" s="74"/>
      <c r="L595" s="74"/>
      <c r="M595" s="74"/>
      <c r="N595" s="74"/>
      <c r="O595" s="75"/>
      <c r="P595" s="76"/>
    </row>
    <row r="596" ht="26.25" customHeight="1">
      <c r="A596" s="65"/>
      <c r="B596" s="66"/>
      <c r="C596" s="67"/>
      <c r="D596" s="68"/>
      <c r="E596" s="69"/>
      <c r="F596" s="70"/>
      <c r="G596" s="71"/>
      <c r="H596" s="72"/>
      <c r="I596" s="73"/>
      <c r="J596" s="73"/>
      <c r="K596" s="74"/>
      <c r="L596" s="74"/>
      <c r="M596" s="74"/>
      <c r="N596" s="74"/>
      <c r="O596" s="75"/>
      <c r="P596" s="76"/>
    </row>
    <row r="597" ht="26.25" customHeight="1">
      <c r="A597" s="65"/>
      <c r="B597" s="66"/>
      <c r="C597" s="67"/>
      <c r="D597" s="68"/>
      <c r="E597" s="69"/>
      <c r="F597" s="70"/>
      <c r="G597" s="71"/>
      <c r="H597" s="72"/>
      <c r="I597" s="73"/>
      <c r="J597" s="73"/>
      <c r="K597" s="74"/>
      <c r="L597" s="74"/>
      <c r="M597" s="74"/>
      <c r="N597" s="74"/>
      <c r="O597" s="75"/>
      <c r="P597" s="76"/>
    </row>
    <row r="598" ht="26.25" customHeight="1">
      <c r="A598" s="65"/>
      <c r="B598" s="66"/>
      <c r="C598" s="67"/>
      <c r="D598" s="68"/>
      <c r="E598" s="69"/>
      <c r="F598" s="70"/>
      <c r="G598" s="71"/>
      <c r="H598" s="72"/>
      <c r="I598" s="73"/>
      <c r="J598" s="73"/>
      <c r="K598" s="74"/>
      <c r="L598" s="74"/>
      <c r="M598" s="74"/>
      <c r="N598" s="74"/>
      <c r="O598" s="75"/>
      <c r="P598" s="76"/>
    </row>
    <row r="599" ht="26.25" customHeight="1">
      <c r="A599" s="65"/>
      <c r="B599" s="66"/>
      <c r="C599" s="67"/>
      <c r="D599" s="68"/>
      <c r="E599" s="69"/>
      <c r="F599" s="70"/>
      <c r="G599" s="71"/>
      <c r="H599" s="72"/>
      <c r="I599" s="73"/>
      <c r="J599" s="73"/>
      <c r="K599" s="74"/>
      <c r="L599" s="74"/>
      <c r="M599" s="74"/>
      <c r="N599" s="74"/>
      <c r="O599" s="75"/>
      <c r="P599" s="76"/>
    </row>
    <row r="600" ht="26.25" customHeight="1">
      <c r="A600" s="65"/>
      <c r="B600" s="66"/>
      <c r="C600" s="67"/>
      <c r="D600" s="68"/>
      <c r="E600" s="69"/>
      <c r="F600" s="70"/>
      <c r="G600" s="71"/>
      <c r="H600" s="72"/>
      <c r="I600" s="73"/>
      <c r="J600" s="73"/>
      <c r="K600" s="74"/>
      <c r="L600" s="74"/>
      <c r="M600" s="74"/>
      <c r="N600" s="74"/>
      <c r="O600" s="75"/>
      <c r="P600" s="76"/>
    </row>
    <row r="601" ht="26.25" customHeight="1">
      <c r="A601" s="65"/>
      <c r="B601" s="66"/>
      <c r="C601" s="67"/>
      <c r="D601" s="68"/>
      <c r="E601" s="69"/>
      <c r="F601" s="70"/>
      <c r="G601" s="71"/>
      <c r="H601" s="72"/>
      <c r="I601" s="73"/>
      <c r="J601" s="73"/>
      <c r="K601" s="74"/>
      <c r="L601" s="74"/>
      <c r="M601" s="74"/>
      <c r="N601" s="74"/>
      <c r="O601" s="75"/>
      <c r="P601" s="76"/>
    </row>
    <row r="602" ht="26.25" customHeight="1">
      <c r="A602" s="65"/>
      <c r="B602" s="66"/>
      <c r="C602" s="67"/>
      <c r="D602" s="68"/>
      <c r="E602" s="69"/>
      <c r="F602" s="70"/>
      <c r="G602" s="71"/>
      <c r="H602" s="72"/>
      <c r="I602" s="73"/>
      <c r="J602" s="73"/>
      <c r="K602" s="74"/>
      <c r="L602" s="74"/>
      <c r="M602" s="74"/>
      <c r="N602" s="74"/>
      <c r="O602" s="75"/>
      <c r="P602" s="76"/>
    </row>
    <row r="603" ht="26.25" customHeight="1">
      <c r="A603" s="65"/>
      <c r="B603" s="66"/>
      <c r="C603" s="67"/>
      <c r="D603" s="68"/>
      <c r="E603" s="69"/>
      <c r="F603" s="70"/>
      <c r="G603" s="71"/>
      <c r="H603" s="72"/>
      <c r="I603" s="73"/>
      <c r="J603" s="73"/>
      <c r="K603" s="74"/>
      <c r="L603" s="74"/>
      <c r="M603" s="74"/>
      <c r="N603" s="74"/>
      <c r="O603" s="75"/>
      <c r="P603" s="76"/>
    </row>
    <row r="604" ht="26.25" customHeight="1">
      <c r="A604" s="65"/>
      <c r="B604" s="66"/>
      <c r="C604" s="67"/>
      <c r="D604" s="68"/>
      <c r="E604" s="69"/>
      <c r="F604" s="70"/>
      <c r="G604" s="71"/>
      <c r="H604" s="72"/>
      <c r="I604" s="73"/>
      <c r="J604" s="73"/>
      <c r="K604" s="74"/>
      <c r="L604" s="74"/>
      <c r="M604" s="74"/>
      <c r="N604" s="74"/>
      <c r="O604" s="75"/>
      <c r="P604" s="76"/>
    </row>
    <row r="605" ht="26.25" customHeight="1">
      <c r="A605" s="65"/>
      <c r="B605" s="66"/>
      <c r="C605" s="67"/>
      <c r="D605" s="68"/>
      <c r="E605" s="69"/>
      <c r="F605" s="70"/>
      <c r="G605" s="71"/>
      <c r="H605" s="72"/>
      <c r="I605" s="73"/>
      <c r="J605" s="73"/>
      <c r="K605" s="74"/>
      <c r="L605" s="74"/>
      <c r="M605" s="74"/>
      <c r="N605" s="74"/>
      <c r="O605" s="75"/>
      <c r="P605" s="76"/>
    </row>
    <row r="606" ht="26.25" customHeight="1">
      <c r="A606" s="65"/>
      <c r="B606" s="66"/>
      <c r="C606" s="67"/>
      <c r="D606" s="68"/>
      <c r="E606" s="69"/>
      <c r="F606" s="70"/>
      <c r="G606" s="71"/>
      <c r="H606" s="72"/>
      <c r="I606" s="73"/>
      <c r="J606" s="73"/>
      <c r="K606" s="74"/>
      <c r="L606" s="74"/>
      <c r="M606" s="74"/>
      <c r="N606" s="74"/>
      <c r="O606" s="75"/>
      <c r="P606" s="76"/>
    </row>
    <row r="607" ht="26.25" customHeight="1">
      <c r="A607" s="65"/>
      <c r="B607" s="66"/>
      <c r="C607" s="67"/>
      <c r="D607" s="68"/>
      <c r="E607" s="69"/>
      <c r="F607" s="70"/>
      <c r="G607" s="71"/>
      <c r="H607" s="72"/>
      <c r="I607" s="73"/>
      <c r="J607" s="73"/>
      <c r="K607" s="74"/>
      <c r="L607" s="74"/>
      <c r="M607" s="74"/>
      <c r="N607" s="74"/>
      <c r="O607" s="75"/>
      <c r="P607" s="76"/>
    </row>
    <row r="608" ht="26.25" customHeight="1">
      <c r="A608" s="65"/>
      <c r="B608" s="66"/>
      <c r="C608" s="67"/>
      <c r="D608" s="68"/>
      <c r="E608" s="69"/>
      <c r="F608" s="70"/>
      <c r="G608" s="71"/>
      <c r="H608" s="72"/>
      <c r="I608" s="73"/>
      <c r="J608" s="73"/>
      <c r="K608" s="74"/>
      <c r="L608" s="74"/>
      <c r="M608" s="74"/>
      <c r="N608" s="74"/>
      <c r="O608" s="75"/>
      <c r="P608" s="76"/>
    </row>
    <row r="609" ht="26.25" customHeight="1">
      <c r="A609" s="65"/>
      <c r="B609" s="66"/>
      <c r="C609" s="67"/>
      <c r="D609" s="68"/>
      <c r="E609" s="69"/>
      <c r="F609" s="70"/>
      <c r="G609" s="71"/>
      <c r="H609" s="72"/>
      <c r="I609" s="73"/>
      <c r="J609" s="73"/>
      <c r="K609" s="74"/>
      <c r="L609" s="74"/>
      <c r="M609" s="74"/>
      <c r="N609" s="74"/>
      <c r="O609" s="75"/>
      <c r="P609" s="76"/>
    </row>
    <row r="610" ht="26.25" customHeight="1">
      <c r="A610" s="65"/>
      <c r="B610" s="66"/>
      <c r="C610" s="67"/>
      <c r="D610" s="68"/>
      <c r="E610" s="69"/>
      <c r="F610" s="70"/>
      <c r="G610" s="71"/>
      <c r="H610" s="72"/>
      <c r="I610" s="73"/>
      <c r="J610" s="73"/>
      <c r="K610" s="74"/>
      <c r="L610" s="74"/>
      <c r="M610" s="74"/>
      <c r="N610" s="74"/>
      <c r="O610" s="75"/>
      <c r="P610" s="76"/>
    </row>
    <row r="611" ht="26.25" customHeight="1">
      <c r="A611" s="65"/>
      <c r="B611" s="66"/>
      <c r="C611" s="67"/>
      <c r="D611" s="68"/>
      <c r="E611" s="69"/>
      <c r="F611" s="70"/>
      <c r="G611" s="71"/>
      <c r="H611" s="72"/>
      <c r="I611" s="73"/>
      <c r="J611" s="73"/>
      <c r="K611" s="74"/>
      <c r="L611" s="74"/>
      <c r="M611" s="74"/>
      <c r="N611" s="74"/>
      <c r="O611" s="75"/>
      <c r="P611" s="76"/>
    </row>
    <row r="612" ht="26.25" customHeight="1">
      <c r="A612" s="65"/>
      <c r="B612" s="66"/>
      <c r="C612" s="67"/>
      <c r="D612" s="68"/>
      <c r="E612" s="69"/>
      <c r="F612" s="70"/>
      <c r="G612" s="71"/>
      <c r="H612" s="72"/>
      <c r="I612" s="73"/>
      <c r="J612" s="73"/>
      <c r="K612" s="74"/>
      <c r="L612" s="74"/>
      <c r="M612" s="74"/>
      <c r="N612" s="74"/>
      <c r="O612" s="75"/>
      <c r="P612" s="76"/>
    </row>
    <row r="613" ht="26.25" customHeight="1">
      <c r="A613" s="65"/>
      <c r="B613" s="66"/>
      <c r="C613" s="67"/>
      <c r="D613" s="68"/>
      <c r="E613" s="69"/>
      <c r="F613" s="70"/>
      <c r="G613" s="71"/>
      <c r="H613" s="72"/>
      <c r="I613" s="73"/>
      <c r="J613" s="73"/>
      <c r="K613" s="74"/>
      <c r="L613" s="74"/>
      <c r="M613" s="74"/>
      <c r="N613" s="74"/>
      <c r="O613" s="75"/>
      <c r="P613" s="76"/>
    </row>
    <row r="614" ht="26.25" customHeight="1">
      <c r="A614" s="65"/>
      <c r="B614" s="66"/>
      <c r="C614" s="67"/>
      <c r="D614" s="68"/>
      <c r="E614" s="69"/>
      <c r="F614" s="70"/>
      <c r="G614" s="71"/>
      <c r="H614" s="72"/>
      <c r="I614" s="73"/>
      <c r="J614" s="73"/>
      <c r="K614" s="74"/>
      <c r="L614" s="74"/>
      <c r="M614" s="74"/>
      <c r="N614" s="74"/>
      <c r="O614" s="75"/>
      <c r="P614" s="76"/>
    </row>
    <row r="615" ht="26.25" customHeight="1">
      <c r="A615" s="65"/>
      <c r="B615" s="66"/>
      <c r="C615" s="67"/>
      <c r="D615" s="68"/>
      <c r="E615" s="69"/>
      <c r="F615" s="70"/>
      <c r="G615" s="71"/>
      <c r="H615" s="72"/>
      <c r="I615" s="73"/>
      <c r="J615" s="73"/>
      <c r="K615" s="74"/>
      <c r="L615" s="74"/>
      <c r="M615" s="74"/>
      <c r="N615" s="74"/>
      <c r="O615" s="75"/>
      <c r="P615" s="76"/>
    </row>
    <row r="616" ht="26.25" customHeight="1">
      <c r="A616" s="65"/>
      <c r="B616" s="66"/>
      <c r="C616" s="67"/>
      <c r="D616" s="68"/>
      <c r="E616" s="69"/>
      <c r="F616" s="70"/>
      <c r="G616" s="71"/>
      <c r="H616" s="72"/>
      <c r="I616" s="73"/>
      <c r="J616" s="73"/>
      <c r="K616" s="74"/>
      <c r="L616" s="74"/>
      <c r="M616" s="74"/>
      <c r="N616" s="74"/>
      <c r="O616" s="75"/>
      <c r="P616" s="76"/>
    </row>
    <row r="617" ht="26.25" customHeight="1">
      <c r="A617" s="65"/>
      <c r="B617" s="66"/>
      <c r="C617" s="67"/>
      <c r="D617" s="68"/>
      <c r="E617" s="69"/>
      <c r="F617" s="70"/>
      <c r="G617" s="71"/>
      <c r="H617" s="72"/>
      <c r="I617" s="73"/>
      <c r="J617" s="73"/>
      <c r="K617" s="74"/>
      <c r="L617" s="74"/>
      <c r="M617" s="74"/>
      <c r="N617" s="74"/>
      <c r="O617" s="75"/>
      <c r="P617" s="76"/>
    </row>
    <row r="618" ht="26.25" customHeight="1">
      <c r="A618" s="65"/>
      <c r="B618" s="66"/>
      <c r="C618" s="67"/>
      <c r="D618" s="68"/>
      <c r="E618" s="69"/>
      <c r="F618" s="70"/>
      <c r="G618" s="71"/>
      <c r="H618" s="72"/>
      <c r="I618" s="73"/>
      <c r="J618" s="73"/>
      <c r="K618" s="74"/>
      <c r="L618" s="74"/>
      <c r="M618" s="74"/>
      <c r="N618" s="74"/>
      <c r="O618" s="75"/>
      <c r="P618" s="76"/>
    </row>
    <row r="619" ht="26.25" customHeight="1">
      <c r="A619" s="65"/>
      <c r="B619" s="66"/>
      <c r="C619" s="67"/>
      <c r="D619" s="68"/>
      <c r="E619" s="69"/>
      <c r="F619" s="70"/>
      <c r="G619" s="71"/>
      <c r="H619" s="72"/>
      <c r="I619" s="73"/>
      <c r="J619" s="73"/>
      <c r="K619" s="74"/>
      <c r="L619" s="74"/>
      <c r="M619" s="74"/>
      <c r="N619" s="74"/>
      <c r="O619" s="75"/>
      <c r="P619" s="76"/>
    </row>
    <row r="620" ht="26.25" customHeight="1">
      <c r="A620" s="65"/>
      <c r="B620" s="66"/>
      <c r="C620" s="67"/>
      <c r="D620" s="68"/>
      <c r="E620" s="69"/>
      <c r="F620" s="70"/>
      <c r="G620" s="71"/>
      <c r="H620" s="72"/>
      <c r="I620" s="73"/>
      <c r="J620" s="73"/>
      <c r="K620" s="74"/>
      <c r="L620" s="74"/>
      <c r="M620" s="74"/>
      <c r="N620" s="74"/>
      <c r="O620" s="75"/>
      <c r="P620" s="76"/>
    </row>
    <row r="621" ht="26.25" customHeight="1">
      <c r="A621" s="65"/>
      <c r="B621" s="66"/>
      <c r="C621" s="67"/>
      <c r="D621" s="68"/>
      <c r="E621" s="69"/>
      <c r="F621" s="70"/>
      <c r="G621" s="71"/>
      <c r="H621" s="72"/>
      <c r="I621" s="73"/>
      <c r="J621" s="73"/>
      <c r="K621" s="74"/>
      <c r="L621" s="74"/>
      <c r="M621" s="74"/>
      <c r="N621" s="74"/>
      <c r="O621" s="75"/>
      <c r="P621" s="76"/>
    </row>
    <row r="622" ht="26.25" customHeight="1">
      <c r="A622" s="65"/>
      <c r="B622" s="66"/>
      <c r="C622" s="67"/>
      <c r="D622" s="68"/>
      <c r="E622" s="69"/>
      <c r="F622" s="70"/>
      <c r="G622" s="71"/>
      <c r="H622" s="72"/>
      <c r="I622" s="73"/>
      <c r="J622" s="73"/>
      <c r="K622" s="74"/>
      <c r="L622" s="74"/>
      <c r="M622" s="74"/>
      <c r="N622" s="74"/>
      <c r="O622" s="75"/>
      <c r="P622" s="76"/>
    </row>
    <row r="623" ht="26.25" customHeight="1">
      <c r="A623" s="65"/>
      <c r="B623" s="66"/>
      <c r="C623" s="67"/>
      <c r="D623" s="68"/>
      <c r="E623" s="69"/>
      <c r="F623" s="70"/>
      <c r="G623" s="71"/>
      <c r="H623" s="72"/>
      <c r="I623" s="73"/>
      <c r="J623" s="73"/>
      <c r="K623" s="74"/>
      <c r="L623" s="74"/>
      <c r="M623" s="74"/>
      <c r="N623" s="74"/>
      <c r="O623" s="75"/>
      <c r="P623" s="76"/>
    </row>
    <row r="624" ht="26.25" customHeight="1">
      <c r="A624" s="65"/>
      <c r="B624" s="66"/>
      <c r="C624" s="67"/>
      <c r="D624" s="68"/>
      <c r="E624" s="69"/>
      <c r="F624" s="70"/>
      <c r="G624" s="71"/>
      <c r="H624" s="72"/>
      <c r="I624" s="73"/>
      <c r="J624" s="73"/>
      <c r="K624" s="74"/>
      <c r="L624" s="74"/>
      <c r="M624" s="74"/>
      <c r="N624" s="74"/>
      <c r="O624" s="75"/>
      <c r="P624" s="76"/>
    </row>
    <row r="625" ht="26.25" customHeight="1">
      <c r="A625" s="65"/>
      <c r="B625" s="66"/>
      <c r="C625" s="67"/>
      <c r="D625" s="68"/>
      <c r="E625" s="69"/>
      <c r="F625" s="70"/>
      <c r="G625" s="71"/>
      <c r="H625" s="72"/>
      <c r="I625" s="73"/>
      <c r="J625" s="73"/>
      <c r="K625" s="74"/>
      <c r="L625" s="74"/>
      <c r="M625" s="74"/>
      <c r="N625" s="74"/>
      <c r="O625" s="75"/>
      <c r="P625" s="76"/>
    </row>
    <row r="626" ht="26.25" customHeight="1">
      <c r="A626" s="65"/>
      <c r="B626" s="66"/>
      <c r="C626" s="67"/>
      <c r="D626" s="68"/>
      <c r="E626" s="69"/>
      <c r="F626" s="70"/>
      <c r="G626" s="71"/>
      <c r="H626" s="72"/>
      <c r="I626" s="73"/>
      <c r="J626" s="73"/>
      <c r="K626" s="74"/>
      <c r="L626" s="74"/>
      <c r="M626" s="74"/>
      <c r="N626" s="74"/>
      <c r="O626" s="75"/>
      <c r="P626" s="76"/>
    </row>
    <row r="627" ht="26.25" customHeight="1">
      <c r="A627" s="65"/>
      <c r="B627" s="66"/>
      <c r="C627" s="67"/>
      <c r="D627" s="68"/>
      <c r="E627" s="69"/>
      <c r="F627" s="70"/>
      <c r="G627" s="71"/>
      <c r="H627" s="72"/>
      <c r="I627" s="73"/>
      <c r="J627" s="73"/>
      <c r="K627" s="74"/>
      <c r="L627" s="74"/>
      <c r="M627" s="74"/>
      <c r="N627" s="74"/>
      <c r="O627" s="75"/>
      <c r="P627" s="76"/>
    </row>
    <row r="628" ht="26.25" customHeight="1">
      <c r="A628" s="65"/>
      <c r="B628" s="66"/>
      <c r="C628" s="67"/>
      <c r="D628" s="68"/>
      <c r="E628" s="69"/>
      <c r="F628" s="70"/>
      <c r="G628" s="71"/>
      <c r="H628" s="72"/>
      <c r="I628" s="73"/>
      <c r="J628" s="73"/>
      <c r="K628" s="74"/>
      <c r="L628" s="74"/>
      <c r="M628" s="74"/>
      <c r="N628" s="74"/>
      <c r="O628" s="75"/>
      <c r="P628" s="76"/>
    </row>
    <row r="629" ht="26.25" customHeight="1">
      <c r="A629" s="65"/>
      <c r="B629" s="66"/>
      <c r="C629" s="67"/>
      <c r="D629" s="68"/>
      <c r="E629" s="69"/>
      <c r="F629" s="70"/>
      <c r="G629" s="71"/>
      <c r="H629" s="72"/>
      <c r="I629" s="73"/>
      <c r="J629" s="73"/>
      <c r="K629" s="74"/>
      <c r="L629" s="74"/>
      <c r="M629" s="74"/>
      <c r="N629" s="74"/>
      <c r="O629" s="75"/>
      <c r="P629" s="76"/>
    </row>
    <row r="630" ht="26.25" customHeight="1">
      <c r="A630" s="65"/>
      <c r="B630" s="66"/>
      <c r="C630" s="67"/>
      <c r="D630" s="68"/>
      <c r="E630" s="69"/>
      <c r="F630" s="70"/>
      <c r="G630" s="71"/>
      <c r="H630" s="72"/>
      <c r="I630" s="73"/>
      <c r="J630" s="73"/>
      <c r="K630" s="74"/>
      <c r="L630" s="74"/>
      <c r="M630" s="74"/>
      <c r="N630" s="74"/>
      <c r="O630" s="75"/>
      <c r="P630" s="76"/>
    </row>
    <row r="631" ht="26.25" customHeight="1">
      <c r="A631" s="65"/>
      <c r="B631" s="66"/>
      <c r="C631" s="67"/>
      <c r="D631" s="68"/>
      <c r="E631" s="69"/>
      <c r="F631" s="70"/>
      <c r="G631" s="71"/>
      <c r="H631" s="72"/>
      <c r="I631" s="73"/>
      <c r="J631" s="73"/>
      <c r="K631" s="74"/>
      <c r="L631" s="74"/>
      <c r="M631" s="74"/>
      <c r="N631" s="74"/>
      <c r="O631" s="75"/>
      <c r="P631" s="76"/>
    </row>
    <row r="632" ht="26.25" customHeight="1">
      <c r="A632" s="65"/>
      <c r="B632" s="66"/>
      <c r="C632" s="67"/>
      <c r="D632" s="68"/>
      <c r="E632" s="69"/>
      <c r="F632" s="70"/>
      <c r="G632" s="71"/>
      <c r="H632" s="72"/>
      <c r="I632" s="73"/>
      <c r="J632" s="73"/>
      <c r="K632" s="74"/>
      <c r="L632" s="74"/>
      <c r="M632" s="74"/>
      <c r="N632" s="74"/>
      <c r="O632" s="75"/>
      <c r="P632" s="76"/>
    </row>
    <row r="633" ht="26.25" customHeight="1">
      <c r="A633" s="65"/>
      <c r="B633" s="66"/>
      <c r="C633" s="67"/>
      <c r="D633" s="68"/>
      <c r="E633" s="69"/>
      <c r="F633" s="70"/>
      <c r="G633" s="71"/>
      <c r="H633" s="72"/>
      <c r="I633" s="73"/>
      <c r="J633" s="73"/>
      <c r="K633" s="74"/>
      <c r="L633" s="74"/>
      <c r="M633" s="74"/>
      <c r="N633" s="74"/>
      <c r="O633" s="75"/>
      <c r="P633" s="76"/>
    </row>
    <row r="634" ht="26.25" customHeight="1">
      <c r="A634" s="65"/>
      <c r="B634" s="66"/>
      <c r="C634" s="67"/>
      <c r="D634" s="68"/>
      <c r="E634" s="69"/>
      <c r="F634" s="70"/>
      <c r="G634" s="71"/>
      <c r="H634" s="72"/>
      <c r="I634" s="73"/>
      <c r="J634" s="73"/>
      <c r="K634" s="74"/>
      <c r="L634" s="74"/>
      <c r="M634" s="74"/>
      <c r="N634" s="74"/>
      <c r="O634" s="75"/>
      <c r="P634" s="76"/>
    </row>
    <row r="635" ht="26.25" customHeight="1">
      <c r="A635" s="65"/>
      <c r="B635" s="66"/>
      <c r="C635" s="67"/>
      <c r="D635" s="68"/>
      <c r="E635" s="69"/>
      <c r="F635" s="70"/>
      <c r="G635" s="71"/>
      <c r="H635" s="72"/>
      <c r="I635" s="73"/>
      <c r="J635" s="73"/>
      <c r="K635" s="74"/>
      <c r="L635" s="74"/>
      <c r="M635" s="74"/>
      <c r="N635" s="74"/>
      <c r="O635" s="75"/>
      <c r="P635" s="76"/>
    </row>
    <row r="636" ht="26.25" customHeight="1">
      <c r="A636" s="65"/>
      <c r="B636" s="66"/>
      <c r="C636" s="67"/>
      <c r="D636" s="68"/>
      <c r="E636" s="69"/>
      <c r="F636" s="70"/>
      <c r="G636" s="71"/>
      <c r="H636" s="72"/>
      <c r="I636" s="73"/>
      <c r="J636" s="73"/>
      <c r="K636" s="74"/>
      <c r="L636" s="74"/>
      <c r="M636" s="74"/>
      <c r="N636" s="74"/>
      <c r="O636" s="75"/>
      <c r="P636" s="76"/>
    </row>
    <row r="637" ht="26.25" customHeight="1">
      <c r="A637" s="65"/>
      <c r="B637" s="66"/>
      <c r="C637" s="67"/>
      <c r="D637" s="68"/>
      <c r="E637" s="69"/>
      <c r="F637" s="70"/>
      <c r="G637" s="71"/>
      <c r="H637" s="72"/>
      <c r="I637" s="73"/>
      <c r="J637" s="73"/>
      <c r="K637" s="74"/>
      <c r="L637" s="74"/>
      <c r="M637" s="74"/>
      <c r="N637" s="74"/>
      <c r="O637" s="75"/>
      <c r="P637" s="76"/>
    </row>
    <row r="638" ht="26.25" customHeight="1">
      <c r="A638" s="65"/>
      <c r="B638" s="66"/>
      <c r="C638" s="67"/>
      <c r="D638" s="68"/>
      <c r="E638" s="69"/>
      <c r="F638" s="70"/>
      <c r="G638" s="71"/>
      <c r="H638" s="72"/>
      <c r="I638" s="73"/>
      <c r="J638" s="73"/>
      <c r="K638" s="74"/>
      <c r="L638" s="74"/>
      <c r="M638" s="74"/>
      <c r="N638" s="74"/>
      <c r="O638" s="75"/>
      <c r="P638" s="76"/>
    </row>
    <row r="639" ht="26.25" customHeight="1">
      <c r="A639" s="65"/>
      <c r="B639" s="66"/>
      <c r="C639" s="67"/>
      <c r="D639" s="68"/>
      <c r="E639" s="69"/>
      <c r="F639" s="70"/>
      <c r="G639" s="71"/>
      <c r="H639" s="72"/>
      <c r="I639" s="73"/>
      <c r="J639" s="73"/>
      <c r="K639" s="74"/>
      <c r="L639" s="74"/>
      <c r="M639" s="74"/>
      <c r="N639" s="74"/>
      <c r="O639" s="75"/>
      <c r="P639" s="76"/>
    </row>
    <row r="640" ht="26.25" customHeight="1">
      <c r="A640" s="65"/>
      <c r="B640" s="66"/>
      <c r="C640" s="67"/>
      <c r="D640" s="68"/>
      <c r="E640" s="69"/>
      <c r="F640" s="70"/>
      <c r="G640" s="71"/>
      <c r="H640" s="72"/>
      <c r="I640" s="73"/>
      <c r="J640" s="73"/>
      <c r="K640" s="74"/>
      <c r="L640" s="74"/>
      <c r="M640" s="74"/>
      <c r="N640" s="74"/>
      <c r="O640" s="75"/>
      <c r="P640" s="76"/>
    </row>
    <row r="641" ht="26.25" customHeight="1">
      <c r="A641" s="65"/>
      <c r="B641" s="66"/>
      <c r="C641" s="67"/>
      <c r="D641" s="68"/>
      <c r="E641" s="69"/>
      <c r="F641" s="70"/>
      <c r="G641" s="71"/>
      <c r="H641" s="72"/>
      <c r="I641" s="73"/>
      <c r="J641" s="73"/>
      <c r="K641" s="74"/>
      <c r="L641" s="74"/>
      <c r="M641" s="74"/>
      <c r="N641" s="74"/>
      <c r="O641" s="75"/>
      <c r="P641" s="76"/>
    </row>
    <row r="642" ht="26.25" customHeight="1">
      <c r="A642" s="65"/>
      <c r="B642" s="66"/>
      <c r="C642" s="67"/>
      <c r="D642" s="68"/>
      <c r="E642" s="69"/>
      <c r="F642" s="70"/>
      <c r="G642" s="71"/>
      <c r="H642" s="72"/>
      <c r="I642" s="73"/>
      <c r="J642" s="73"/>
      <c r="K642" s="74"/>
      <c r="L642" s="74"/>
      <c r="M642" s="74"/>
      <c r="N642" s="74"/>
      <c r="O642" s="75"/>
      <c r="P642" s="76"/>
    </row>
    <row r="643" ht="26.25" customHeight="1">
      <c r="A643" s="65"/>
      <c r="B643" s="66"/>
      <c r="C643" s="67"/>
      <c r="D643" s="68"/>
      <c r="E643" s="69"/>
      <c r="F643" s="70"/>
      <c r="G643" s="71"/>
      <c r="H643" s="72"/>
      <c r="I643" s="73"/>
      <c r="J643" s="73"/>
      <c r="K643" s="74"/>
      <c r="L643" s="74"/>
      <c r="M643" s="74"/>
      <c r="N643" s="74"/>
      <c r="O643" s="75"/>
      <c r="P643" s="76"/>
    </row>
    <row r="644" ht="26.25" customHeight="1">
      <c r="A644" s="65"/>
      <c r="B644" s="66"/>
      <c r="C644" s="67"/>
      <c r="D644" s="68"/>
      <c r="E644" s="69"/>
      <c r="F644" s="70"/>
      <c r="G644" s="71"/>
      <c r="H644" s="72"/>
      <c r="I644" s="73"/>
      <c r="J644" s="73"/>
      <c r="K644" s="74"/>
      <c r="L644" s="74"/>
      <c r="M644" s="74"/>
      <c r="N644" s="74"/>
      <c r="O644" s="75"/>
      <c r="P644" s="76"/>
    </row>
    <row r="645" ht="26.25" customHeight="1">
      <c r="A645" s="65"/>
      <c r="B645" s="66"/>
      <c r="C645" s="67"/>
      <c r="D645" s="68"/>
      <c r="E645" s="69"/>
      <c r="F645" s="70"/>
      <c r="G645" s="71"/>
      <c r="H645" s="72"/>
      <c r="I645" s="73"/>
      <c r="J645" s="73"/>
      <c r="K645" s="74"/>
      <c r="L645" s="74"/>
      <c r="M645" s="74"/>
      <c r="N645" s="74"/>
      <c r="O645" s="75"/>
      <c r="P645" s="76"/>
    </row>
    <row r="646" ht="26.25" customHeight="1">
      <c r="A646" s="65"/>
      <c r="B646" s="66"/>
      <c r="C646" s="67"/>
      <c r="D646" s="68"/>
      <c r="E646" s="69"/>
      <c r="F646" s="70"/>
      <c r="G646" s="71"/>
      <c r="H646" s="72"/>
      <c r="I646" s="73"/>
      <c r="J646" s="73"/>
      <c r="K646" s="74"/>
      <c r="L646" s="74"/>
      <c r="M646" s="74"/>
      <c r="N646" s="74"/>
      <c r="O646" s="75"/>
      <c r="P646" s="76"/>
    </row>
    <row r="647" ht="26.25" customHeight="1">
      <c r="A647" s="65"/>
      <c r="B647" s="66"/>
      <c r="C647" s="67"/>
      <c r="D647" s="68"/>
      <c r="E647" s="69"/>
      <c r="F647" s="70"/>
      <c r="G647" s="71"/>
      <c r="H647" s="72"/>
      <c r="I647" s="73"/>
      <c r="J647" s="73"/>
      <c r="K647" s="74"/>
      <c r="L647" s="74"/>
      <c r="M647" s="74"/>
      <c r="N647" s="74"/>
      <c r="O647" s="75"/>
      <c r="P647" s="76"/>
    </row>
    <row r="648" ht="26.25" customHeight="1">
      <c r="A648" s="65"/>
      <c r="B648" s="66"/>
      <c r="C648" s="67"/>
      <c r="D648" s="68"/>
      <c r="E648" s="69"/>
      <c r="F648" s="70"/>
      <c r="G648" s="71"/>
      <c r="H648" s="72"/>
      <c r="I648" s="73"/>
      <c r="J648" s="73"/>
      <c r="K648" s="74"/>
      <c r="L648" s="74"/>
      <c r="M648" s="74"/>
      <c r="N648" s="74"/>
      <c r="O648" s="75"/>
      <c r="P648" s="76"/>
    </row>
    <row r="649" ht="26.25" customHeight="1">
      <c r="A649" s="65"/>
      <c r="B649" s="66"/>
      <c r="C649" s="67"/>
      <c r="D649" s="68"/>
      <c r="E649" s="69"/>
      <c r="F649" s="70"/>
      <c r="G649" s="71"/>
      <c r="H649" s="72"/>
      <c r="I649" s="73"/>
      <c r="J649" s="73"/>
      <c r="K649" s="74"/>
      <c r="L649" s="74"/>
      <c r="M649" s="74"/>
      <c r="N649" s="74"/>
      <c r="O649" s="75"/>
      <c r="P649" s="76"/>
    </row>
    <row r="650" ht="26.25" customHeight="1">
      <c r="A650" s="65"/>
      <c r="B650" s="66"/>
      <c r="C650" s="67"/>
      <c r="D650" s="68"/>
      <c r="E650" s="69"/>
      <c r="F650" s="70"/>
      <c r="G650" s="71"/>
      <c r="H650" s="72"/>
      <c r="I650" s="73"/>
      <c r="J650" s="73"/>
      <c r="K650" s="74"/>
      <c r="L650" s="74"/>
      <c r="M650" s="74"/>
      <c r="N650" s="74"/>
      <c r="O650" s="75"/>
      <c r="P650" s="76"/>
    </row>
    <row r="651" ht="26.25" customHeight="1">
      <c r="A651" s="65"/>
      <c r="B651" s="66"/>
      <c r="C651" s="67"/>
      <c r="D651" s="68"/>
      <c r="E651" s="69"/>
      <c r="F651" s="70"/>
      <c r="G651" s="71"/>
      <c r="H651" s="72"/>
      <c r="I651" s="73"/>
      <c r="J651" s="73"/>
      <c r="K651" s="74"/>
      <c r="L651" s="74"/>
      <c r="M651" s="74"/>
      <c r="N651" s="74"/>
      <c r="O651" s="75"/>
      <c r="P651" s="76"/>
    </row>
    <row r="652" ht="26.25" customHeight="1">
      <c r="A652" s="65"/>
      <c r="B652" s="66"/>
      <c r="C652" s="67"/>
      <c r="D652" s="68"/>
      <c r="E652" s="69"/>
      <c r="F652" s="70"/>
      <c r="G652" s="71"/>
      <c r="H652" s="72"/>
      <c r="I652" s="73"/>
      <c r="J652" s="73"/>
      <c r="K652" s="74"/>
      <c r="L652" s="74"/>
      <c r="M652" s="74"/>
      <c r="N652" s="74"/>
      <c r="O652" s="75"/>
      <c r="P652" s="76"/>
    </row>
    <row r="653" ht="26.25" customHeight="1">
      <c r="A653" s="65"/>
      <c r="B653" s="66"/>
      <c r="C653" s="67"/>
      <c r="D653" s="68"/>
      <c r="E653" s="69"/>
      <c r="F653" s="70"/>
      <c r="G653" s="71"/>
      <c r="H653" s="72"/>
      <c r="I653" s="73"/>
      <c r="J653" s="73"/>
      <c r="K653" s="74"/>
      <c r="L653" s="74"/>
      <c r="M653" s="74"/>
      <c r="N653" s="74"/>
      <c r="O653" s="75"/>
      <c r="P653" s="76"/>
    </row>
    <row r="654" ht="26.25" customHeight="1">
      <c r="A654" s="65"/>
      <c r="B654" s="66"/>
      <c r="C654" s="67"/>
      <c r="D654" s="68"/>
      <c r="E654" s="69"/>
      <c r="F654" s="70"/>
      <c r="G654" s="71"/>
      <c r="H654" s="72"/>
      <c r="I654" s="73"/>
      <c r="J654" s="73"/>
      <c r="K654" s="74"/>
      <c r="L654" s="74"/>
      <c r="M654" s="74"/>
      <c r="N654" s="74"/>
      <c r="O654" s="75"/>
      <c r="P654" s="76"/>
    </row>
    <row r="655" ht="26.25" customHeight="1">
      <c r="A655" s="65"/>
      <c r="B655" s="66"/>
      <c r="C655" s="67"/>
      <c r="D655" s="68"/>
      <c r="E655" s="69"/>
      <c r="F655" s="70"/>
      <c r="G655" s="71"/>
      <c r="H655" s="72"/>
      <c r="I655" s="73"/>
      <c r="J655" s="73"/>
      <c r="K655" s="74"/>
      <c r="L655" s="74"/>
      <c r="M655" s="74"/>
      <c r="N655" s="74"/>
      <c r="O655" s="75"/>
      <c r="P655" s="76"/>
    </row>
    <row r="656" ht="26.25" customHeight="1">
      <c r="A656" s="65"/>
      <c r="B656" s="66"/>
      <c r="C656" s="67"/>
      <c r="D656" s="68"/>
      <c r="E656" s="69"/>
      <c r="F656" s="70"/>
      <c r="G656" s="71"/>
      <c r="H656" s="72"/>
      <c r="I656" s="73"/>
      <c r="J656" s="73"/>
      <c r="K656" s="74"/>
      <c r="L656" s="74"/>
      <c r="M656" s="74"/>
      <c r="N656" s="74"/>
      <c r="O656" s="75"/>
      <c r="P656" s="76"/>
    </row>
    <row r="657" ht="26.25" customHeight="1">
      <c r="A657" s="65"/>
      <c r="B657" s="66"/>
      <c r="C657" s="67"/>
      <c r="D657" s="68"/>
      <c r="E657" s="69"/>
      <c r="F657" s="70"/>
      <c r="G657" s="71"/>
      <c r="H657" s="72"/>
      <c r="I657" s="73"/>
      <c r="J657" s="73"/>
      <c r="K657" s="74"/>
      <c r="L657" s="74"/>
      <c r="M657" s="74"/>
      <c r="N657" s="74"/>
      <c r="O657" s="75"/>
      <c r="P657" s="76"/>
    </row>
    <row r="658" ht="26.25" customHeight="1">
      <c r="A658" s="65"/>
      <c r="B658" s="66"/>
      <c r="C658" s="67"/>
      <c r="D658" s="68"/>
      <c r="E658" s="69"/>
      <c r="F658" s="70"/>
      <c r="G658" s="71"/>
      <c r="H658" s="72"/>
      <c r="I658" s="73"/>
      <c r="J658" s="73"/>
      <c r="K658" s="74"/>
      <c r="L658" s="74"/>
      <c r="M658" s="74"/>
      <c r="N658" s="74"/>
      <c r="O658" s="75"/>
      <c r="P658" s="76"/>
    </row>
    <row r="659" ht="26.25" customHeight="1">
      <c r="A659" s="65"/>
      <c r="B659" s="66"/>
      <c r="C659" s="67"/>
      <c r="D659" s="68"/>
      <c r="E659" s="69"/>
      <c r="F659" s="70"/>
      <c r="G659" s="71"/>
      <c r="H659" s="72"/>
      <c r="I659" s="73"/>
      <c r="J659" s="73"/>
      <c r="K659" s="74"/>
      <c r="L659" s="74"/>
      <c r="M659" s="74"/>
      <c r="N659" s="74"/>
      <c r="O659" s="75"/>
      <c r="P659" s="76"/>
    </row>
    <row r="660" ht="26.25" customHeight="1">
      <c r="A660" s="65"/>
      <c r="B660" s="66"/>
      <c r="C660" s="67"/>
      <c r="D660" s="68"/>
      <c r="E660" s="69"/>
      <c r="F660" s="70"/>
      <c r="G660" s="71"/>
      <c r="H660" s="72"/>
      <c r="I660" s="73"/>
      <c r="J660" s="73"/>
      <c r="K660" s="74"/>
      <c r="L660" s="74"/>
      <c r="M660" s="74"/>
      <c r="N660" s="74"/>
      <c r="O660" s="75"/>
      <c r="P660" s="76"/>
    </row>
    <row r="661" ht="26.25" customHeight="1">
      <c r="A661" s="65"/>
      <c r="B661" s="66"/>
      <c r="C661" s="67"/>
      <c r="D661" s="68"/>
      <c r="E661" s="69"/>
      <c r="F661" s="70"/>
      <c r="G661" s="71"/>
      <c r="H661" s="72"/>
      <c r="I661" s="73"/>
      <c r="J661" s="73"/>
      <c r="K661" s="74"/>
      <c r="L661" s="74"/>
      <c r="M661" s="74"/>
      <c r="N661" s="74"/>
      <c r="O661" s="75"/>
      <c r="P661" s="76"/>
    </row>
  </sheetData>
  <customSheetViews>
    <customSheetView guid="{5EE52AE5-C16A-4C55-8EDB-E8FE16E802DD}" filter="1" showAutoFilter="1">
      <autoFilter ref="$A$1:$P$500">
        <filterColumn colId="1">
          <filters blank="1">
            <filter val="الجمعة"/>
          </filters>
        </filterColumn>
      </autoFilter>
    </customSheetView>
    <customSheetView guid="{27F5D9BB-EEB0-47F5-8B6F-61833A5151ED}" filter="1" showAutoFilter="1">
      <autoFilter ref="$A$1:$P$500"/>
    </customSheetView>
  </customSheetViews>
  <dataValidations>
    <dataValidation type="custom" allowBlank="1" showDropDown="1" sqref="F2:F500">
      <formula1>OR(TIMEVALUE(TEXT(F2, "hh:mm:ss"))=F2, AND(ISNUMBER(F2), LEFT(CELL("format", F2))="D"))</formula1>
    </dataValidation>
    <dataValidation type="custom" allowBlank="1" showDropDown="1" sqref="A2:A500">
      <formula1>OR(NOT(ISERROR(DATEVALUE(A2))), AND(ISNUMBER(A2), LEFT(CELL("format", A2))="D"))</formula1>
    </dataValidation>
    <dataValidation type="custom" allowBlank="1" showDropDown="1" sqref="G2:O500">
      <formula1>AND(ISNUMBER(G2),(NOT(OR(NOT(ISERROR(DATEVALUE(G2))), AND(ISNUMBER(G2), LEFT(CELL("format", G2))="D")))))</formula1>
    </dataValidation>
  </dataValidations>
  <printOptions/>
  <pageMargins bottom="1.0" footer="0.0" header="0.0" left="0.75" right="0.75" top="1.0"/>
  <pageSetup orientation="landscape"/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4.43" defaultRowHeight="15.0"/>
  <cols>
    <col customWidth="1" min="1" max="1" width="15.86"/>
    <col customWidth="1" min="2" max="2" width="13.57"/>
    <col customWidth="1" min="3" max="3" width="29.14"/>
    <col customWidth="1" min="4" max="4" width="10.86"/>
    <col customWidth="1" min="5" max="5" width="38.43"/>
    <col customWidth="1" min="6" max="6" width="14.14"/>
    <col customWidth="1" min="7" max="7" width="23.43"/>
    <col customWidth="1" min="8" max="8" width="20.71"/>
    <col customWidth="1" min="9" max="9" width="23.43"/>
    <col customWidth="1" min="10" max="10" width="20.71"/>
    <col customWidth="1" min="11" max="11" width="23.86"/>
    <col customWidth="1" min="12" max="13" width="17.0"/>
  </cols>
  <sheetData>
    <row r="1" ht="33.75" customHeight="1">
      <c r="A1" s="77"/>
      <c r="B1" s="78"/>
      <c r="C1" s="79">
        <f>COUNTIF(C3:C908,"=نقد")</f>
        <v>833</v>
      </c>
      <c r="D1" s="80"/>
      <c r="E1" s="79">
        <f>COUNTIF(E3:E908,"=الابرار")</f>
        <v>0</v>
      </c>
      <c r="F1" s="81"/>
      <c r="G1" s="82">
        <f t="shared" ref="G1:H1" si="1">SUM(G3:G908)</f>
        <v>341716500</v>
      </c>
      <c r="H1" s="82">
        <f t="shared" si="1"/>
        <v>1872250</v>
      </c>
      <c r="I1" s="82">
        <f>G1-H1</f>
        <v>339844250</v>
      </c>
      <c r="J1" s="82">
        <f t="shared" ref="J1:K1" si="2">SUM(J3:J908)</f>
        <v>333447500</v>
      </c>
      <c r="K1" s="82">
        <f t="shared" si="2"/>
        <v>6396750</v>
      </c>
      <c r="L1" s="81"/>
      <c r="M1" s="81"/>
    </row>
    <row r="2" ht="33.75" customHeight="1">
      <c r="A2" s="83" t="s">
        <v>32</v>
      </c>
      <c r="B2" s="84" t="s">
        <v>0</v>
      </c>
      <c r="C2" s="83" t="s">
        <v>33</v>
      </c>
      <c r="D2" s="85" t="s">
        <v>34</v>
      </c>
      <c r="E2" s="85" t="s">
        <v>35</v>
      </c>
      <c r="F2" s="85" t="s">
        <v>36</v>
      </c>
      <c r="G2" s="86" t="s">
        <v>37</v>
      </c>
      <c r="H2" s="86" t="s">
        <v>38</v>
      </c>
      <c r="I2" s="86" t="s">
        <v>39</v>
      </c>
      <c r="J2" s="86" t="s">
        <v>40</v>
      </c>
      <c r="K2" s="86" t="s">
        <v>41</v>
      </c>
      <c r="L2" s="85" t="s">
        <v>15</v>
      </c>
      <c r="M2" s="87" t="s">
        <v>42</v>
      </c>
    </row>
    <row r="3" ht="22.5" customHeight="1">
      <c r="A3" s="88" t="s">
        <v>43</v>
      </c>
      <c r="B3" s="89">
        <v>45658.0</v>
      </c>
      <c r="C3" s="90" t="s">
        <v>44</v>
      </c>
      <c r="D3" s="91" t="s">
        <v>45</v>
      </c>
      <c r="E3" s="91" t="s">
        <v>46</v>
      </c>
      <c r="F3" s="92" t="s">
        <v>47</v>
      </c>
      <c r="G3" s="93">
        <v>120000.0</v>
      </c>
      <c r="H3" s="94">
        <v>0.0</v>
      </c>
      <c r="I3" s="95">
        <f t="shared" ref="I3:I869" si="3">G3-H3</f>
        <v>120000</v>
      </c>
      <c r="J3" s="93">
        <v>120000.0</v>
      </c>
      <c r="K3" s="96">
        <f t="shared" ref="K3:K904" si="4">IFERROR(G3-H3-J3,0)</f>
        <v>0</v>
      </c>
      <c r="L3" s="97"/>
      <c r="M3" s="98"/>
    </row>
    <row r="4" ht="22.5" customHeight="1">
      <c r="A4" s="88" t="s">
        <v>48</v>
      </c>
      <c r="B4" s="89">
        <v>45658.0</v>
      </c>
      <c r="C4" s="90" t="s">
        <v>44</v>
      </c>
      <c r="D4" s="91" t="s">
        <v>45</v>
      </c>
      <c r="E4" s="91" t="s">
        <v>49</v>
      </c>
      <c r="F4" s="92" t="s">
        <v>47</v>
      </c>
      <c r="G4" s="93">
        <v>35000.0</v>
      </c>
      <c r="H4" s="94">
        <v>0.0</v>
      </c>
      <c r="I4" s="95">
        <f t="shared" si="3"/>
        <v>35000</v>
      </c>
      <c r="J4" s="93">
        <v>35000.0</v>
      </c>
      <c r="K4" s="96">
        <f t="shared" si="4"/>
        <v>0</v>
      </c>
      <c r="L4" s="97"/>
      <c r="M4" s="98"/>
    </row>
    <row r="5" ht="22.5" customHeight="1">
      <c r="A5" s="88" t="s">
        <v>50</v>
      </c>
      <c r="B5" s="89">
        <v>45658.0</v>
      </c>
      <c r="C5" s="90" t="s">
        <v>44</v>
      </c>
      <c r="D5" s="91" t="s">
        <v>45</v>
      </c>
      <c r="E5" s="91" t="s">
        <v>51</v>
      </c>
      <c r="F5" s="92" t="s">
        <v>47</v>
      </c>
      <c r="G5" s="93">
        <v>62000.0</v>
      </c>
      <c r="H5" s="94">
        <v>0.0</v>
      </c>
      <c r="I5" s="95">
        <f t="shared" si="3"/>
        <v>62000</v>
      </c>
      <c r="J5" s="93">
        <v>62000.0</v>
      </c>
      <c r="K5" s="96">
        <f t="shared" si="4"/>
        <v>0</v>
      </c>
      <c r="L5" s="99"/>
      <c r="M5" s="98"/>
    </row>
    <row r="6" ht="22.5" customHeight="1">
      <c r="A6" s="88" t="s">
        <v>52</v>
      </c>
      <c r="B6" s="89">
        <v>45658.0</v>
      </c>
      <c r="C6" s="90" t="s">
        <v>44</v>
      </c>
      <c r="D6" s="91" t="s">
        <v>45</v>
      </c>
      <c r="E6" s="91" t="s">
        <v>53</v>
      </c>
      <c r="F6" s="92" t="s">
        <v>47</v>
      </c>
      <c r="G6" s="93">
        <v>45000.0</v>
      </c>
      <c r="H6" s="94">
        <v>0.0</v>
      </c>
      <c r="I6" s="95">
        <f t="shared" si="3"/>
        <v>45000</v>
      </c>
      <c r="J6" s="93">
        <v>45000.0</v>
      </c>
      <c r="K6" s="96">
        <f t="shared" si="4"/>
        <v>0</v>
      </c>
      <c r="L6" s="100">
        <v>1.9798E7</v>
      </c>
      <c r="M6" s="98"/>
    </row>
    <row r="7" ht="22.5" customHeight="1">
      <c r="A7" s="88" t="s">
        <v>54</v>
      </c>
      <c r="B7" s="89">
        <v>45658.0</v>
      </c>
      <c r="C7" s="90" t="s">
        <v>44</v>
      </c>
      <c r="D7" s="91" t="s">
        <v>45</v>
      </c>
      <c r="E7" s="91" t="s">
        <v>55</v>
      </c>
      <c r="F7" s="92" t="s">
        <v>47</v>
      </c>
      <c r="G7" s="93">
        <v>5000.0</v>
      </c>
      <c r="H7" s="94">
        <v>0.0</v>
      </c>
      <c r="I7" s="95">
        <f t="shared" si="3"/>
        <v>5000</v>
      </c>
      <c r="J7" s="93">
        <v>5000.0</v>
      </c>
      <c r="K7" s="96">
        <f t="shared" si="4"/>
        <v>0</v>
      </c>
      <c r="L7" s="97">
        <f>L8-L6</f>
        <v>2866000</v>
      </c>
      <c r="M7" s="98"/>
    </row>
    <row r="8" ht="22.5" customHeight="1">
      <c r="A8" s="88" t="s">
        <v>56</v>
      </c>
      <c r="B8" s="89">
        <v>45659.0</v>
      </c>
      <c r="C8" s="90" t="s">
        <v>44</v>
      </c>
      <c r="D8" s="91" t="s">
        <v>57</v>
      </c>
      <c r="E8" s="91" t="s">
        <v>58</v>
      </c>
      <c r="F8" s="92" t="s">
        <v>47</v>
      </c>
      <c r="G8" s="93">
        <v>15000.0</v>
      </c>
      <c r="H8" s="94">
        <v>0.0</v>
      </c>
      <c r="I8" s="95">
        <f t="shared" si="3"/>
        <v>15000</v>
      </c>
      <c r="J8" s="93">
        <v>15000.0</v>
      </c>
      <c r="K8" s="96">
        <f t="shared" si="4"/>
        <v>0</v>
      </c>
      <c r="L8" s="100">
        <v>2.2664E7</v>
      </c>
      <c r="M8" s="98"/>
    </row>
    <row r="9" ht="22.5" customHeight="1">
      <c r="A9" s="88" t="s">
        <v>59</v>
      </c>
      <c r="B9" s="89">
        <v>45659.0</v>
      </c>
      <c r="C9" s="90" t="s">
        <v>44</v>
      </c>
      <c r="D9" s="91" t="s">
        <v>45</v>
      </c>
      <c r="E9" s="91" t="s">
        <v>60</v>
      </c>
      <c r="F9" s="92" t="s">
        <v>47</v>
      </c>
      <c r="G9" s="93">
        <v>550000.0</v>
      </c>
      <c r="H9" s="94">
        <v>0.0</v>
      </c>
      <c r="I9" s="95">
        <f t="shared" si="3"/>
        <v>550000</v>
      </c>
      <c r="J9" s="93">
        <v>550000.0</v>
      </c>
      <c r="K9" s="96">
        <f t="shared" si="4"/>
        <v>0</v>
      </c>
      <c r="L9" s="97"/>
      <c r="M9" s="98"/>
    </row>
    <row r="10" ht="22.5" customHeight="1">
      <c r="A10" s="101">
        <v>954716.0</v>
      </c>
      <c r="B10" s="89">
        <v>45659.0</v>
      </c>
      <c r="C10" s="90" t="s">
        <v>44</v>
      </c>
      <c r="D10" s="91" t="s">
        <v>45</v>
      </c>
      <c r="E10" s="91" t="s">
        <v>61</v>
      </c>
      <c r="F10" s="92" t="s">
        <v>47</v>
      </c>
      <c r="G10" s="93">
        <v>160000.0</v>
      </c>
      <c r="H10" s="94">
        <v>0.0</v>
      </c>
      <c r="I10" s="95">
        <f t="shared" si="3"/>
        <v>160000</v>
      </c>
      <c r="J10" s="93">
        <v>160000.0</v>
      </c>
      <c r="K10" s="96">
        <f t="shared" si="4"/>
        <v>0</v>
      </c>
      <c r="L10" s="97"/>
      <c r="M10" s="98"/>
    </row>
    <row r="11" ht="22.5" customHeight="1">
      <c r="A11" s="101">
        <v>939288.0</v>
      </c>
      <c r="B11" s="89">
        <v>45660.0</v>
      </c>
      <c r="C11" s="90" t="s">
        <v>44</v>
      </c>
      <c r="D11" s="91" t="s">
        <v>45</v>
      </c>
      <c r="E11" s="91" t="s">
        <v>62</v>
      </c>
      <c r="F11" s="92" t="s">
        <v>47</v>
      </c>
      <c r="G11" s="93">
        <v>30000.0</v>
      </c>
      <c r="H11" s="94">
        <v>0.0</v>
      </c>
      <c r="I11" s="95">
        <f t="shared" si="3"/>
        <v>30000</v>
      </c>
      <c r="J11" s="93">
        <v>30000.0</v>
      </c>
      <c r="K11" s="96">
        <f t="shared" si="4"/>
        <v>0</v>
      </c>
      <c r="L11" s="97"/>
      <c r="M11" s="98"/>
    </row>
    <row r="12" ht="22.5" customHeight="1">
      <c r="A12" s="88" t="s">
        <v>63</v>
      </c>
      <c r="B12" s="89">
        <v>45661.0</v>
      </c>
      <c r="C12" s="90" t="s">
        <v>44</v>
      </c>
      <c r="D12" s="91" t="s">
        <v>57</v>
      </c>
      <c r="E12" s="91" t="s">
        <v>64</v>
      </c>
      <c r="F12" s="92" t="s">
        <v>47</v>
      </c>
      <c r="G12" s="93">
        <v>7000.0</v>
      </c>
      <c r="H12" s="94">
        <v>0.0</v>
      </c>
      <c r="I12" s="95">
        <f t="shared" si="3"/>
        <v>7000</v>
      </c>
      <c r="J12" s="93">
        <v>7000.0</v>
      </c>
      <c r="K12" s="96">
        <f t="shared" si="4"/>
        <v>0</v>
      </c>
      <c r="L12" s="97"/>
      <c r="M12" s="98"/>
    </row>
    <row r="13" ht="22.5" customHeight="1">
      <c r="A13" s="88" t="s">
        <v>65</v>
      </c>
      <c r="B13" s="89">
        <v>45661.0</v>
      </c>
      <c r="C13" s="90" t="s">
        <v>44</v>
      </c>
      <c r="D13" s="91" t="s">
        <v>57</v>
      </c>
      <c r="E13" s="91" t="s">
        <v>66</v>
      </c>
      <c r="F13" s="92" t="s">
        <v>47</v>
      </c>
      <c r="G13" s="93">
        <v>1535000.0</v>
      </c>
      <c r="H13" s="94">
        <v>0.0</v>
      </c>
      <c r="I13" s="95">
        <f t="shared" si="3"/>
        <v>1535000</v>
      </c>
      <c r="J13" s="93">
        <v>1535000.0</v>
      </c>
      <c r="K13" s="96">
        <f t="shared" si="4"/>
        <v>0</v>
      </c>
      <c r="L13" s="97"/>
      <c r="M13" s="98"/>
    </row>
    <row r="14" ht="22.5" customHeight="1">
      <c r="A14" s="101">
        <v>984645.0</v>
      </c>
      <c r="B14" s="89">
        <v>45662.0</v>
      </c>
      <c r="C14" s="90" t="s">
        <v>44</v>
      </c>
      <c r="D14" s="91" t="s">
        <v>45</v>
      </c>
      <c r="E14" s="91" t="s">
        <v>67</v>
      </c>
      <c r="F14" s="92" t="s">
        <v>47</v>
      </c>
      <c r="G14" s="93">
        <v>145000.0</v>
      </c>
      <c r="H14" s="94">
        <v>0.0</v>
      </c>
      <c r="I14" s="95">
        <f t="shared" si="3"/>
        <v>145000</v>
      </c>
      <c r="J14" s="93">
        <v>145000.0</v>
      </c>
      <c r="K14" s="96">
        <f t="shared" si="4"/>
        <v>0</v>
      </c>
      <c r="L14" s="97"/>
      <c r="M14" s="98"/>
    </row>
    <row r="15" ht="22.5" customHeight="1">
      <c r="A15" s="88" t="s">
        <v>68</v>
      </c>
      <c r="B15" s="89">
        <v>45662.0</v>
      </c>
      <c r="C15" s="90" t="s">
        <v>44</v>
      </c>
      <c r="D15" s="91" t="s">
        <v>45</v>
      </c>
      <c r="E15" s="91" t="s">
        <v>69</v>
      </c>
      <c r="F15" s="92" t="s">
        <v>47</v>
      </c>
      <c r="G15" s="93">
        <v>35000.0</v>
      </c>
      <c r="H15" s="94">
        <v>0.0</v>
      </c>
      <c r="I15" s="95">
        <f t="shared" si="3"/>
        <v>35000</v>
      </c>
      <c r="J15" s="93">
        <v>35000.0</v>
      </c>
      <c r="K15" s="96">
        <f t="shared" si="4"/>
        <v>0</v>
      </c>
      <c r="L15" s="97"/>
      <c r="M15" s="98"/>
    </row>
    <row r="16" ht="22.5" customHeight="1">
      <c r="A16" s="88" t="s">
        <v>70</v>
      </c>
      <c r="B16" s="89">
        <v>45662.0</v>
      </c>
      <c r="C16" s="90" t="s">
        <v>44</v>
      </c>
      <c r="D16" s="91" t="s">
        <v>57</v>
      </c>
      <c r="E16" s="91" t="s">
        <v>71</v>
      </c>
      <c r="F16" s="92" t="s">
        <v>47</v>
      </c>
      <c r="G16" s="93">
        <v>25000.0</v>
      </c>
      <c r="H16" s="94">
        <v>0.0</v>
      </c>
      <c r="I16" s="95">
        <f t="shared" si="3"/>
        <v>25000</v>
      </c>
      <c r="J16" s="93">
        <v>25000.0</v>
      </c>
      <c r="K16" s="96">
        <f t="shared" si="4"/>
        <v>0</v>
      </c>
      <c r="L16" s="97"/>
      <c r="M16" s="98"/>
    </row>
    <row r="17" ht="22.5" customHeight="1">
      <c r="A17" s="88" t="s">
        <v>72</v>
      </c>
      <c r="B17" s="89">
        <v>45663.0</v>
      </c>
      <c r="C17" s="90" t="s">
        <v>44</v>
      </c>
      <c r="D17" s="91" t="s">
        <v>73</v>
      </c>
      <c r="E17" s="92" t="s">
        <v>74</v>
      </c>
      <c r="F17" s="92" t="s">
        <v>47</v>
      </c>
      <c r="G17" s="93">
        <v>380000.0</v>
      </c>
      <c r="H17" s="94">
        <v>0.0</v>
      </c>
      <c r="I17" s="95">
        <f t="shared" si="3"/>
        <v>380000</v>
      </c>
      <c r="J17" s="93">
        <v>380000.0</v>
      </c>
      <c r="K17" s="96">
        <f t="shared" si="4"/>
        <v>0</v>
      </c>
      <c r="L17" s="97"/>
      <c r="M17" s="98"/>
    </row>
    <row r="18" ht="22.5" customHeight="1">
      <c r="A18" s="88" t="s">
        <v>68</v>
      </c>
      <c r="B18" s="89">
        <v>45663.0</v>
      </c>
      <c r="C18" s="90" t="s">
        <v>44</v>
      </c>
      <c r="D18" s="91" t="s">
        <v>45</v>
      </c>
      <c r="E18" s="91" t="s">
        <v>69</v>
      </c>
      <c r="F18" s="92" t="s">
        <v>47</v>
      </c>
      <c r="G18" s="93">
        <v>60000.0</v>
      </c>
      <c r="H18" s="94">
        <v>0.0</v>
      </c>
      <c r="I18" s="95">
        <f t="shared" si="3"/>
        <v>60000</v>
      </c>
      <c r="J18" s="93">
        <v>60000.0</v>
      </c>
      <c r="K18" s="96">
        <f t="shared" si="4"/>
        <v>0</v>
      </c>
      <c r="L18" s="97"/>
      <c r="M18" s="98"/>
    </row>
    <row r="19" ht="22.5" customHeight="1">
      <c r="A19" s="88" t="s">
        <v>75</v>
      </c>
      <c r="B19" s="89">
        <v>45663.0</v>
      </c>
      <c r="C19" s="90" t="s">
        <v>44</v>
      </c>
      <c r="D19" s="91" t="s">
        <v>45</v>
      </c>
      <c r="E19" s="91" t="s">
        <v>49</v>
      </c>
      <c r="F19" s="92" t="s">
        <v>47</v>
      </c>
      <c r="G19" s="93">
        <v>30000.0</v>
      </c>
      <c r="H19" s="94">
        <v>0.0</v>
      </c>
      <c r="I19" s="95">
        <f t="shared" si="3"/>
        <v>30000</v>
      </c>
      <c r="J19" s="93">
        <v>30000.0</v>
      </c>
      <c r="K19" s="96">
        <f t="shared" si="4"/>
        <v>0</v>
      </c>
      <c r="L19" s="97"/>
      <c r="M19" s="98"/>
    </row>
    <row r="20" ht="22.5" customHeight="1">
      <c r="A20" s="88" t="s">
        <v>76</v>
      </c>
      <c r="B20" s="89">
        <v>45663.0</v>
      </c>
      <c r="C20" s="90" t="s">
        <v>44</v>
      </c>
      <c r="D20" s="91" t="s">
        <v>45</v>
      </c>
      <c r="E20" s="91" t="s">
        <v>77</v>
      </c>
      <c r="F20" s="92" t="s">
        <v>47</v>
      </c>
      <c r="G20" s="93">
        <v>75000.0</v>
      </c>
      <c r="H20" s="94">
        <v>0.0</v>
      </c>
      <c r="I20" s="95">
        <f t="shared" si="3"/>
        <v>75000</v>
      </c>
      <c r="J20" s="96">
        <v>75000.0</v>
      </c>
      <c r="K20" s="96">
        <f t="shared" si="4"/>
        <v>0</v>
      </c>
      <c r="L20" s="97"/>
      <c r="M20" s="102"/>
    </row>
    <row r="21" ht="22.5" customHeight="1">
      <c r="A21" s="88" t="s">
        <v>78</v>
      </c>
      <c r="B21" s="89">
        <v>45663.0</v>
      </c>
      <c r="C21" s="90" t="s">
        <v>44</v>
      </c>
      <c r="D21" s="91" t="s">
        <v>57</v>
      </c>
      <c r="E21" s="91" t="s">
        <v>79</v>
      </c>
      <c r="F21" s="92" t="s">
        <v>47</v>
      </c>
      <c r="G21" s="93">
        <v>200000.0</v>
      </c>
      <c r="H21" s="94">
        <v>0.0</v>
      </c>
      <c r="I21" s="95">
        <f t="shared" si="3"/>
        <v>200000</v>
      </c>
      <c r="J21" s="93">
        <v>200000.0</v>
      </c>
      <c r="K21" s="96">
        <f t="shared" si="4"/>
        <v>0</v>
      </c>
      <c r="L21" s="97"/>
      <c r="M21" s="98"/>
    </row>
    <row r="22" ht="22.5" customHeight="1">
      <c r="A22" s="88" t="s">
        <v>80</v>
      </c>
      <c r="B22" s="89">
        <v>45663.0</v>
      </c>
      <c r="C22" s="90" t="s">
        <v>44</v>
      </c>
      <c r="D22" s="91" t="s">
        <v>45</v>
      </c>
      <c r="E22" s="91" t="s">
        <v>81</v>
      </c>
      <c r="F22" s="92" t="s">
        <v>47</v>
      </c>
      <c r="G22" s="93">
        <v>60000.0</v>
      </c>
      <c r="H22" s="94">
        <v>0.0</v>
      </c>
      <c r="I22" s="95">
        <f t="shared" si="3"/>
        <v>60000</v>
      </c>
      <c r="J22" s="93">
        <v>60000.0</v>
      </c>
      <c r="K22" s="96">
        <f t="shared" si="4"/>
        <v>0</v>
      </c>
      <c r="L22" s="97"/>
      <c r="M22" s="98"/>
    </row>
    <row r="23" ht="22.5" customHeight="1">
      <c r="A23" s="88" t="s">
        <v>82</v>
      </c>
      <c r="B23" s="89">
        <v>45664.0</v>
      </c>
      <c r="C23" s="103" t="s">
        <v>83</v>
      </c>
      <c r="D23" s="91" t="s">
        <v>45</v>
      </c>
      <c r="E23" s="91" t="s">
        <v>84</v>
      </c>
      <c r="F23" s="92" t="s">
        <v>47</v>
      </c>
      <c r="G23" s="93">
        <v>5000.0</v>
      </c>
      <c r="H23" s="94">
        <v>0.0</v>
      </c>
      <c r="I23" s="95">
        <f t="shared" si="3"/>
        <v>5000</v>
      </c>
      <c r="J23" s="96">
        <v>0.0</v>
      </c>
      <c r="K23" s="104">
        <f t="shared" si="4"/>
        <v>5000</v>
      </c>
      <c r="L23" s="97"/>
      <c r="M23" s="98"/>
    </row>
    <row r="24" ht="22.5" customHeight="1">
      <c r="A24" s="101">
        <v>784646.0</v>
      </c>
      <c r="B24" s="89">
        <v>45664.0</v>
      </c>
      <c r="C24" s="90" t="s">
        <v>44</v>
      </c>
      <c r="D24" s="91" t="s">
        <v>45</v>
      </c>
      <c r="E24" s="91" t="s">
        <v>67</v>
      </c>
      <c r="F24" s="92" t="s">
        <v>47</v>
      </c>
      <c r="G24" s="93">
        <v>70000.0</v>
      </c>
      <c r="H24" s="94">
        <v>0.0</v>
      </c>
      <c r="I24" s="95">
        <f t="shared" si="3"/>
        <v>70000</v>
      </c>
      <c r="J24" s="93">
        <v>70000.0</v>
      </c>
      <c r="K24" s="96">
        <f t="shared" si="4"/>
        <v>0</v>
      </c>
      <c r="L24" s="97"/>
      <c r="M24" s="98"/>
    </row>
    <row r="25" ht="22.5" customHeight="1">
      <c r="A25" s="101">
        <v>784644.0</v>
      </c>
      <c r="B25" s="89">
        <v>45664.0</v>
      </c>
      <c r="C25" s="90" t="s">
        <v>44</v>
      </c>
      <c r="D25" s="91" t="s">
        <v>45</v>
      </c>
      <c r="E25" s="91" t="s">
        <v>46</v>
      </c>
      <c r="F25" s="92" t="s">
        <v>47</v>
      </c>
      <c r="G25" s="93">
        <v>60000.0</v>
      </c>
      <c r="H25" s="94">
        <v>0.0</v>
      </c>
      <c r="I25" s="95">
        <f t="shared" si="3"/>
        <v>60000</v>
      </c>
      <c r="J25" s="93">
        <v>60000.0</v>
      </c>
      <c r="K25" s="96">
        <f t="shared" si="4"/>
        <v>0</v>
      </c>
      <c r="L25" s="97"/>
      <c r="M25" s="98"/>
    </row>
    <row r="26" ht="22.5" customHeight="1">
      <c r="A26" s="101">
        <v>784644.0</v>
      </c>
      <c r="B26" s="89">
        <v>45664.0</v>
      </c>
      <c r="C26" s="90" t="s">
        <v>44</v>
      </c>
      <c r="D26" s="91" t="s">
        <v>45</v>
      </c>
      <c r="E26" s="91" t="s">
        <v>49</v>
      </c>
      <c r="F26" s="92" t="s">
        <v>47</v>
      </c>
      <c r="G26" s="93">
        <v>30000.0</v>
      </c>
      <c r="H26" s="94">
        <v>0.0</v>
      </c>
      <c r="I26" s="95">
        <f t="shared" si="3"/>
        <v>30000</v>
      </c>
      <c r="J26" s="93">
        <v>30000.0</v>
      </c>
      <c r="K26" s="96">
        <f t="shared" si="4"/>
        <v>0</v>
      </c>
      <c r="L26" s="97"/>
      <c r="M26" s="98"/>
    </row>
    <row r="27" ht="22.5" customHeight="1">
      <c r="A27" s="88" t="s">
        <v>85</v>
      </c>
      <c r="B27" s="89">
        <v>45664.0</v>
      </c>
      <c r="C27" s="90" t="s">
        <v>44</v>
      </c>
      <c r="D27" s="91" t="s">
        <v>45</v>
      </c>
      <c r="E27" s="91" t="s">
        <v>86</v>
      </c>
      <c r="F27" s="92" t="s">
        <v>47</v>
      </c>
      <c r="G27" s="93">
        <v>7000.0</v>
      </c>
      <c r="H27" s="94">
        <v>0.0</v>
      </c>
      <c r="I27" s="95">
        <f t="shared" si="3"/>
        <v>7000</v>
      </c>
      <c r="J27" s="93">
        <v>7000.0</v>
      </c>
      <c r="K27" s="96">
        <f t="shared" si="4"/>
        <v>0</v>
      </c>
      <c r="L27" s="97"/>
      <c r="M27" s="98"/>
    </row>
    <row r="28" ht="22.5" customHeight="1">
      <c r="A28" s="88" t="s">
        <v>87</v>
      </c>
      <c r="B28" s="89">
        <v>45664.0</v>
      </c>
      <c r="C28" s="90" t="s">
        <v>44</v>
      </c>
      <c r="D28" s="91" t="s">
        <v>45</v>
      </c>
      <c r="E28" s="91" t="s">
        <v>88</v>
      </c>
      <c r="F28" s="92" t="s">
        <v>47</v>
      </c>
      <c r="G28" s="93">
        <v>75000.0</v>
      </c>
      <c r="H28" s="94">
        <v>0.0</v>
      </c>
      <c r="I28" s="95">
        <f t="shared" si="3"/>
        <v>75000</v>
      </c>
      <c r="J28" s="96">
        <v>75000.0</v>
      </c>
      <c r="K28" s="96">
        <f t="shared" si="4"/>
        <v>0</v>
      </c>
      <c r="L28" s="97"/>
      <c r="M28" s="98"/>
    </row>
    <row r="29" ht="22.5" customHeight="1">
      <c r="A29" s="88" t="s">
        <v>89</v>
      </c>
      <c r="B29" s="89">
        <v>45664.0</v>
      </c>
      <c r="C29" s="90" t="s">
        <v>44</v>
      </c>
      <c r="D29" s="91" t="s">
        <v>45</v>
      </c>
      <c r="E29" s="91" t="s">
        <v>90</v>
      </c>
      <c r="F29" s="92" t="s">
        <v>47</v>
      </c>
      <c r="G29" s="93">
        <v>50000.0</v>
      </c>
      <c r="H29" s="94">
        <v>0.0</v>
      </c>
      <c r="I29" s="95">
        <f t="shared" si="3"/>
        <v>50000</v>
      </c>
      <c r="J29" s="93">
        <v>50000.0</v>
      </c>
      <c r="K29" s="96">
        <f t="shared" si="4"/>
        <v>0</v>
      </c>
      <c r="L29" s="97"/>
      <c r="M29" s="98"/>
    </row>
    <row r="30" ht="22.5" customHeight="1">
      <c r="A30" s="88" t="s">
        <v>91</v>
      </c>
      <c r="B30" s="89">
        <v>45664.0</v>
      </c>
      <c r="C30" s="90" t="s">
        <v>44</v>
      </c>
      <c r="D30" s="91" t="s">
        <v>45</v>
      </c>
      <c r="E30" s="91" t="s">
        <v>92</v>
      </c>
      <c r="F30" s="92" t="s">
        <v>47</v>
      </c>
      <c r="G30" s="93">
        <v>300000.0</v>
      </c>
      <c r="H30" s="94">
        <v>0.0</v>
      </c>
      <c r="I30" s="95">
        <f t="shared" si="3"/>
        <v>300000</v>
      </c>
      <c r="J30" s="93">
        <v>300000.0</v>
      </c>
      <c r="K30" s="96">
        <f t="shared" si="4"/>
        <v>0</v>
      </c>
      <c r="L30" s="97"/>
      <c r="M30" s="102"/>
    </row>
    <row r="31" ht="22.5" customHeight="1">
      <c r="A31" s="88" t="s">
        <v>93</v>
      </c>
      <c r="B31" s="89">
        <v>45664.0</v>
      </c>
      <c r="C31" s="90" t="s">
        <v>44</v>
      </c>
      <c r="D31" s="91" t="s">
        <v>57</v>
      </c>
      <c r="E31" s="91" t="s">
        <v>94</v>
      </c>
      <c r="F31" s="92" t="s">
        <v>47</v>
      </c>
      <c r="G31" s="93">
        <v>550000.0</v>
      </c>
      <c r="H31" s="94">
        <v>0.0</v>
      </c>
      <c r="I31" s="95">
        <f t="shared" si="3"/>
        <v>550000</v>
      </c>
      <c r="J31" s="93">
        <v>550000.0</v>
      </c>
      <c r="K31" s="96">
        <f t="shared" si="4"/>
        <v>0</v>
      </c>
      <c r="L31" s="97"/>
      <c r="M31" s="98"/>
    </row>
    <row r="32" ht="22.5" customHeight="1">
      <c r="A32" s="101">
        <v>784642.0</v>
      </c>
      <c r="B32" s="89">
        <v>45664.0</v>
      </c>
      <c r="C32" s="90" t="s">
        <v>44</v>
      </c>
      <c r="D32" s="91" t="s">
        <v>45</v>
      </c>
      <c r="E32" s="91" t="s">
        <v>46</v>
      </c>
      <c r="F32" s="92" t="s">
        <v>47</v>
      </c>
      <c r="G32" s="93">
        <v>50000.0</v>
      </c>
      <c r="H32" s="94">
        <v>0.0</v>
      </c>
      <c r="I32" s="95">
        <f t="shared" si="3"/>
        <v>50000</v>
      </c>
      <c r="J32" s="93">
        <v>50000.0</v>
      </c>
      <c r="K32" s="96">
        <f t="shared" si="4"/>
        <v>0</v>
      </c>
      <c r="L32" s="97"/>
      <c r="M32" s="98"/>
    </row>
    <row r="33" ht="22.5" customHeight="1">
      <c r="A33" s="101">
        <v>784644.0</v>
      </c>
      <c r="B33" s="89">
        <v>45664.0</v>
      </c>
      <c r="C33" s="90" t="s">
        <v>44</v>
      </c>
      <c r="D33" s="91" t="s">
        <v>45</v>
      </c>
      <c r="E33" s="91" t="s">
        <v>49</v>
      </c>
      <c r="F33" s="92" t="s">
        <v>47</v>
      </c>
      <c r="G33" s="93">
        <v>35000.0</v>
      </c>
      <c r="H33" s="94">
        <v>0.0</v>
      </c>
      <c r="I33" s="95">
        <f t="shared" si="3"/>
        <v>35000</v>
      </c>
      <c r="J33" s="93">
        <v>35000.0</v>
      </c>
      <c r="K33" s="96">
        <f t="shared" si="4"/>
        <v>0</v>
      </c>
      <c r="L33" s="97"/>
      <c r="M33" s="102"/>
    </row>
    <row r="34" ht="22.5" customHeight="1">
      <c r="A34" s="88" t="s">
        <v>95</v>
      </c>
      <c r="B34" s="89">
        <v>45665.0</v>
      </c>
      <c r="C34" s="105" t="s">
        <v>96</v>
      </c>
      <c r="D34" s="91" t="s">
        <v>45</v>
      </c>
      <c r="E34" s="91" t="s">
        <v>97</v>
      </c>
      <c r="F34" s="92" t="s">
        <v>47</v>
      </c>
      <c r="G34" s="93">
        <v>25000.0</v>
      </c>
      <c r="H34" s="94">
        <v>0.0</v>
      </c>
      <c r="I34" s="95">
        <f t="shared" si="3"/>
        <v>25000</v>
      </c>
      <c r="J34" s="93">
        <v>15000.0</v>
      </c>
      <c r="K34" s="104">
        <f t="shared" si="4"/>
        <v>10000</v>
      </c>
      <c r="L34" s="97"/>
      <c r="M34" s="98"/>
    </row>
    <row r="35" ht="22.5" customHeight="1">
      <c r="A35" s="88" t="s">
        <v>98</v>
      </c>
      <c r="B35" s="89">
        <v>45665.0</v>
      </c>
      <c r="C35" s="90" t="s">
        <v>44</v>
      </c>
      <c r="D35" s="91" t="s">
        <v>45</v>
      </c>
      <c r="E35" s="91" t="s">
        <v>99</v>
      </c>
      <c r="F35" s="92" t="s">
        <v>47</v>
      </c>
      <c r="G35" s="93">
        <v>65000.0</v>
      </c>
      <c r="H35" s="94">
        <v>0.0</v>
      </c>
      <c r="I35" s="95">
        <f t="shared" si="3"/>
        <v>65000</v>
      </c>
      <c r="J35" s="93">
        <v>65000.0</v>
      </c>
      <c r="K35" s="96">
        <f t="shared" si="4"/>
        <v>0</v>
      </c>
      <c r="L35" s="97"/>
      <c r="M35" s="98"/>
    </row>
    <row r="36" ht="22.5" customHeight="1">
      <c r="A36" s="88" t="s">
        <v>95</v>
      </c>
      <c r="B36" s="89">
        <v>45665.0</v>
      </c>
      <c r="C36" s="90" t="s">
        <v>44</v>
      </c>
      <c r="D36" s="91" t="s">
        <v>45</v>
      </c>
      <c r="E36" s="91" t="s">
        <v>100</v>
      </c>
      <c r="F36" s="92" t="s">
        <v>47</v>
      </c>
      <c r="G36" s="93">
        <v>25000.0</v>
      </c>
      <c r="H36" s="94">
        <v>0.0</v>
      </c>
      <c r="I36" s="95">
        <f t="shared" si="3"/>
        <v>25000</v>
      </c>
      <c r="J36" s="93">
        <v>25000.0</v>
      </c>
      <c r="K36" s="96">
        <f t="shared" si="4"/>
        <v>0</v>
      </c>
      <c r="L36" s="97"/>
      <c r="M36" s="98"/>
    </row>
    <row r="37" ht="22.5" customHeight="1">
      <c r="A37" s="88" t="s">
        <v>101</v>
      </c>
      <c r="B37" s="89">
        <v>45665.0</v>
      </c>
      <c r="C37" s="90" t="s">
        <v>44</v>
      </c>
      <c r="D37" s="91" t="s">
        <v>57</v>
      </c>
      <c r="E37" s="91" t="s">
        <v>102</v>
      </c>
      <c r="F37" s="92" t="s">
        <v>47</v>
      </c>
      <c r="G37" s="93">
        <v>60000.0</v>
      </c>
      <c r="H37" s="94">
        <v>0.0</v>
      </c>
      <c r="I37" s="95">
        <f t="shared" si="3"/>
        <v>60000</v>
      </c>
      <c r="J37" s="93">
        <v>60000.0</v>
      </c>
      <c r="K37" s="96">
        <f t="shared" si="4"/>
        <v>0</v>
      </c>
      <c r="L37" s="97"/>
      <c r="M37" s="98"/>
    </row>
    <row r="38" ht="22.5" customHeight="1">
      <c r="A38" s="88" t="s">
        <v>103</v>
      </c>
      <c r="B38" s="89">
        <v>45665.0</v>
      </c>
      <c r="C38" s="90" t="s">
        <v>44</v>
      </c>
      <c r="D38" s="91" t="s">
        <v>45</v>
      </c>
      <c r="E38" s="91" t="s">
        <v>104</v>
      </c>
      <c r="F38" s="92" t="s">
        <v>47</v>
      </c>
      <c r="G38" s="93">
        <v>20000.0</v>
      </c>
      <c r="H38" s="94">
        <v>0.0</v>
      </c>
      <c r="I38" s="95">
        <f t="shared" si="3"/>
        <v>20000</v>
      </c>
      <c r="J38" s="93">
        <v>20000.0</v>
      </c>
      <c r="K38" s="96">
        <f t="shared" si="4"/>
        <v>0</v>
      </c>
      <c r="L38" s="97"/>
      <c r="M38" s="98"/>
    </row>
    <row r="39" ht="22.5" customHeight="1">
      <c r="A39" s="88" t="s">
        <v>105</v>
      </c>
      <c r="B39" s="89">
        <v>45665.0</v>
      </c>
      <c r="C39" s="90" t="s">
        <v>44</v>
      </c>
      <c r="D39" s="91" t="s">
        <v>57</v>
      </c>
      <c r="E39" s="91" t="s">
        <v>106</v>
      </c>
      <c r="F39" s="92" t="s">
        <v>47</v>
      </c>
      <c r="G39" s="93">
        <v>1425000.0</v>
      </c>
      <c r="H39" s="94">
        <v>0.0</v>
      </c>
      <c r="I39" s="95">
        <f t="shared" si="3"/>
        <v>1425000</v>
      </c>
      <c r="J39" s="93">
        <v>1425000.0</v>
      </c>
      <c r="K39" s="96">
        <f t="shared" si="4"/>
        <v>0</v>
      </c>
      <c r="L39" s="97"/>
      <c r="M39" s="98"/>
    </row>
    <row r="40" ht="22.5" customHeight="1">
      <c r="A40" s="88" t="s">
        <v>107</v>
      </c>
      <c r="B40" s="89">
        <v>45665.0</v>
      </c>
      <c r="C40" s="90" t="s">
        <v>44</v>
      </c>
      <c r="D40" s="91" t="s">
        <v>57</v>
      </c>
      <c r="E40" s="91" t="s">
        <v>108</v>
      </c>
      <c r="F40" s="92" t="s">
        <v>47</v>
      </c>
      <c r="G40" s="93">
        <v>10000.0</v>
      </c>
      <c r="H40" s="94">
        <v>0.0</v>
      </c>
      <c r="I40" s="95">
        <f t="shared" si="3"/>
        <v>10000</v>
      </c>
      <c r="J40" s="93">
        <v>10000.0</v>
      </c>
      <c r="K40" s="96">
        <f t="shared" si="4"/>
        <v>0</v>
      </c>
      <c r="L40" s="97"/>
      <c r="M40" s="106"/>
    </row>
    <row r="41" ht="22.5" customHeight="1">
      <c r="A41" s="88" t="s">
        <v>109</v>
      </c>
      <c r="B41" s="89">
        <v>45666.0</v>
      </c>
      <c r="C41" s="103" t="s">
        <v>83</v>
      </c>
      <c r="D41" s="91" t="s">
        <v>45</v>
      </c>
      <c r="E41" s="91" t="s">
        <v>110</v>
      </c>
      <c r="F41" s="92" t="s">
        <v>47</v>
      </c>
      <c r="G41" s="93">
        <v>40000.0</v>
      </c>
      <c r="H41" s="94">
        <v>0.0</v>
      </c>
      <c r="I41" s="95">
        <f t="shared" si="3"/>
        <v>40000</v>
      </c>
      <c r="J41" s="93">
        <v>0.0</v>
      </c>
      <c r="K41" s="104">
        <f t="shared" si="4"/>
        <v>40000</v>
      </c>
      <c r="L41" s="97"/>
      <c r="M41" s="98"/>
    </row>
    <row r="42" ht="22.5" customHeight="1">
      <c r="A42" s="101">
        <v>784650.0</v>
      </c>
      <c r="B42" s="89">
        <v>45666.0</v>
      </c>
      <c r="C42" s="90" t="s">
        <v>44</v>
      </c>
      <c r="D42" s="91" t="s">
        <v>45</v>
      </c>
      <c r="E42" s="91" t="s">
        <v>111</v>
      </c>
      <c r="F42" s="92" t="s">
        <v>47</v>
      </c>
      <c r="G42" s="93">
        <v>245000.0</v>
      </c>
      <c r="H42" s="94">
        <v>0.0</v>
      </c>
      <c r="I42" s="95">
        <f t="shared" si="3"/>
        <v>245000</v>
      </c>
      <c r="J42" s="93">
        <v>245000.0</v>
      </c>
      <c r="K42" s="96">
        <f t="shared" si="4"/>
        <v>0</v>
      </c>
      <c r="L42" s="97"/>
      <c r="M42" s="98"/>
    </row>
    <row r="43" ht="22.5" customHeight="1">
      <c r="A43" s="101">
        <v>954739.0</v>
      </c>
      <c r="B43" s="89">
        <v>45666.0</v>
      </c>
      <c r="C43" s="90" t="s">
        <v>44</v>
      </c>
      <c r="D43" s="91" t="s">
        <v>45</v>
      </c>
      <c r="E43" s="91" t="s">
        <v>112</v>
      </c>
      <c r="F43" s="92" t="s">
        <v>47</v>
      </c>
      <c r="G43" s="93">
        <v>70000.0</v>
      </c>
      <c r="H43" s="94">
        <v>0.0</v>
      </c>
      <c r="I43" s="95">
        <f t="shared" si="3"/>
        <v>70000</v>
      </c>
      <c r="J43" s="93">
        <v>70000.0</v>
      </c>
      <c r="K43" s="96">
        <f t="shared" si="4"/>
        <v>0</v>
      </c>
      <c r="L43" s="97"/>
      <c r="M43" s="98"/>
    </row>
    <row r="44" ht="22.5" customHeight="1">
      <c r="A44" s="101">
        <v>954739.0</v>
      </c>
      <c r="B44" s="89">
        <v>45666.0</v>
      </c>
      <c r="C44" s="90" t="s">
        <v>44</v>
      </c>
      <c r="D44" s="91" t="s">
        <v>45</v>
      </c>
      <c r="E44" s="91" t="s">
        <v>49</v>
      </c>
      <c r="F44" s="92" t="s">
        <v>47</v>
      </c>
      <c r="G44" s="93">
        <v>40000.0</v>
      </c>
      <c r="H44" s="94">
        <v>0.0</v>
      </c>
      <c r="I44" s="95">
        <f t="shared" si="3"/>
        <v>40000</v>
      </c>
      <c r="J44" s="93">
        <v>40000.0</v>
      </c>
      <c r="K44" s="96">
        <f t="shared" si="4"/>
        <v>0</v>
      </c>
      <c r="L44" s="97"/>
      <c r="M44" s="98"/>
    </row>
    <row r="45" ht="22.5" customHeight="1">
      <c r="A45" s="88" t="s">
        <v>113</v>
      </c>
      <c r="B45" s="89">
        <v>45666.0</v>
      </c>
      <c r="C45" s="90" t="s">
        <v>44</v>
      </c>
      <c r="D45" s="91" t="s">
        <v>45</v>
      </c>
      <c r="E45" s="91" t="s">
        <v>49</v>
      </c>
      <c r="F45" s="92" t="s">
        <v>47</v>
      </c>
      <c r="G45" s="93">
        <v>40000.0</v>
      </c>
      <c r="H45" s="94">
        <v>0.0</v>
      </c>
      <c r="I45" s="95">
        <f t="shared" si="3"/>
        <v>40000</v>
      </c>
      <c r="J45" s="93">
        <v>40000.0</v>
      </c>
      <c r="K45" s="96">
        <f t="shared" si="4"/>
        <v>0</v>
      </c>
      <c r="L45" s="97"/>
      <c r="M45" s="98"/>
    </row>
    <row r="46" ht="22.5" customHeight="1">
      <c r="A46" s="88" t="s">
        <v>113</v>
      </c>
      <c r="B46" s="89">
        <v>45666.0</v>
      </c>
      <c r="C46" s="90" t="s">
        <v>44</v>
      </c>
      <c r="D46" s="91" t="s">
        <v>45</v>
      </c>
      <c r="E46" s="91" t="s">
        <v>114</v>
      </c>
      <c r="F46" s="92" t="s">
        <v>47</v>
      </c>
      <c r="G46" s="93">
        <v>20000.0</v>
      </c>
      <c r="H46" s="94">
        <v>0.0</v>
      </c>
      <c r="I46" s="95">
        <f t="shared" si="3"/>
        <v>20000</v>
      </c>
      <c r="J46" s="93">
        <v>20000.0</v>
      </c>
      <c r="K46" s="96">
        <f t="shared" si="4"/>
        <v>0</v>
      </c>
      <c r="L46" s="97"/>
      <c r="M46" s="98"/>
    </row>
    <row r="47" ht="22.5" customHeight="1">
      <c r="A47" s="88" t="s">
        <v>115</v>
      </c>
      <c r="B47" s="89">
        <v>45666.0</v>
      </c>
      <c r="C47" s="90" t="s">
        <v>44</v>
      </c>
      <c r="D47" s="91" t="s">
        <v>45</v>
      </c>
      <c r="E47" s="91" t="s">
        <v>116</v>
      </c>
      <c r="F47" s="92" t="s">
        <v>47</v>
      </c>
      <c r="G47" s="93">
        <v>60000.0</v>
      </c>
      <c r="H47" s="94">
        <v>0.0</v>
      </c>
      <c r="I47" s="95">
        <f t="shared" si="3"/>
        <v>60000</v>
      </c>
      <c r="J47" s="93">
        <v>60000.0</v>
      </c>
      <c r="K47" s="96">
        <f t="shared" si="4"/>
        <v>0</v>
      </c>
      <c r="L47" s="97"/>
      <c r="M47" s="98"/>
    </row>
    <row r="48" ht="22.5" customHeight="1">
      <c r="A48" s="88" t="s">
        <v>117</v>
      </c>
      <c r="B48" s="89">
        <v>45667.0</v>
      </c>
      <c r="C48" s="90" t="s">
        <v>44</v>
      </c>
      <c r="D48" s="91" t="s">
        <v>45</v>
      </c>
      <c r="E48" s="91" t="s">
        <v>118</v>
      </c>
      <c r="F48" s="92" t="s">
        <v>47</v>
      </c>
      <c r="G48" s="93">
        <v>15000.0</v>
      </c>
      <c r="H48" s="94">
        <v>0.0</v>
      </c>
      <c r="I48" s="95">
        <f t="shared" si="3"/>
        <v>15000</v>
      </c>
      <c r="J48" s="93">
        <v>15000.0</v>
      </c>
      <c r="K48" s="96">
        <f t="shared" si="4"/>
        <v>0</v>
      </c>
      <c r="L48" s="97"/>
      <c r="M48" s="98"/>
    </row>
    <row r="49" ht="22.5" customHeight="1">
      <c r="A49" s="101">
        <v>954719.0</v>
      </c>
      <c r="B49" s="89">
        <v>45667.0</v>
      </c>
      <c r="C49" s="90" t="s">
        <v>44</v>
      </c>
      <c r="D49" s="91" t="s">
        <v>45</v>
      </c>
      <c r="E49" s="91" t="s">
        <v>49</v>
      </c>
      <c r="F49" s="92" t="s">
        <v>47</v>
      </c>
      <c r="G49" s="93">
        <v>10000.0</v>
      </c>
      <c r="H49" s="94">
        <v>0.0</v>
      </c>
      <c r="I49" s="95">
        <f t="shared" si="3"/>
        <v>10000</v>
      </c>
      <c r="J49" s="93">
        <v>10000.0</v>
      </c>
      <c r="K49" s="96">
        <f t="shared" si="4"/>
        <v>0</v>
      </c>
      <c r="L49" s="97"/>
      <c r="M49" s="98"/>
    </row>
    <row r="50" ht="22.5" customHeight="1">
      <c r="A50" s="101">
        <v>954725.0</v>
      </c>
      <c r="B50" s="89">
        <v>45667.0</v>
      </c>
      <c r="C50" s="90" t="s">
        <v>44</v>
      </c>
      <c r="D50" s="91" t="s">
        <v>45</v>
      </c>
      <c r="E50" s="91" t="s">
        <v>67</v>
      </c>
      <c r="F50" s="92" t="s">
        <v>47</v>
      </c>
      <c r="G50" s="93">
        <v>150000.0</v>
      </c>
      <c r="H50" s="94">
        <v>0.0</v>
      </c>
      <c r="I50" s="95">
        <f t="shared" si="3"/>
        <v>150000</v>
      </c>
      <c r="J50" s="93">
        <v>150000.0</v>
      </c>
      <c r="K50" s="96">
        <f t="shared" si="4"/>
        <v>0</v>
      </c>
      <c r="L50" s="97"/>
      <c r="M50" s="98"/>
    </row>
    <row r="51" ht="22.5" customHeight="1">
      <c r="A51" s="101">
        <v>954725.0</v>
      </c>
      <c r="B51" s="89">
        <v>45667.0</v>
      </c>
      <c r="C51" s="90" t="s">
        <v>44</v>
      </c>
      <c r="D51" s="91" t="s">
        <v>45</v>
      </c>
      <c r="E51" s="91" t="s">
        <v>46</v>
      </c>
      <c r="F51" s="92" t="s">
        <v>47</v>
      </c>
      <c r="G51" s="93">
        <v>60000.0</v>
      </c>
      <c r="H51" s="94">
        <v>0.0</v>
      </c>
      <c r="I51" s="95">
        <f t="shared" si="3"/>
        <v>60000</v>
      </c>
      <c r="J51" s="93">
        <v>60000.0</v>
      </c>
      <c r="K51" s="96">
        <f t="shared" si="4"/>
        <v>0</v>
      </c>
      <c r="L51" s="97"/>
      <c r="M51" s="98"/>
    </row>
    <row r="52" ht="22.5" customHeight="1">
      <c r="A52" s="101">
        <v>954725.0</v>
      </c>
      <c r="B52" s="89">
        <v>45667.0</v>
      </c>
      <c r="C52" s="90" t="s">
        <v>44</v>
      </c>
      <c r="D52" s="91" t="s">
        <v>45</v>
      </c>
      <c r="E52" s="91" t="s">
        <v>119</v>
      </c>
      <c r="F52" s="92" t="s">
        <v>47</v>
      </c>
      <c r="G52" s="93">
        <v>85000.0</v>
      </c>
      <c r="H52" s="94">
        <v>0.0</v>
      </c>
      <c r="I52" s="95">
        <f t="shared" si="3"/>
        <v>85000</v>
      </c>
      <c r="J52" s="93">
        <v>85000.0</v>
      </c>
      <c r="K52" s="96">
        <f t="shared" si="4"/>
        <v>0</v>
      </c>
      <c r="L52" s="97"/>
      <c r="M52" s="98"/>
    </row>
    <row r="53" ht="22.5" customHeight="1">
      <c r="A53" s="101">
        <v>954725.0</v>
      </c>
      <c r="B53" s="89">
        <v>45667.0</v>
      </c>
      <c r="C53" s="90" t="s">
        <v>44</v>
      </c>
      <c r="D53" s="91" t="s">
        <v>45</v>
      </c>
      <c r="E53" s="91" t="s">
        <v>120</v>
      </c>
      <c r="F53" s="92" t="s">
        <v>47</v>
      </c>
      <c r="G53" s="93">
        <v>40000.0</v>
      </c>
      <c r="H53" s="94">
        <v>0.0</v>
      </c>
      <c r="I53" s="95">
        <f t="shared" si="3"/>
        <v>40000</v>
      </c>
      <c r="J53" s="93">
        <v>40000.0</v>
      </c>
      <c r="K53" s="96">
        <f t="shared" si="4"/>
        <v>0</v>
      </c>
      <c r="L53" s="97"/>
      <c r="M53" s="98"/>
    </row>
    <row r="54" ht="22.5" customHeight="1">
      <c r="A54" s="101">
        <v>954725.0</v>
      </c>
      <c r="B54" s="89">
        <v>45667.0</v>
      </c>
      <c r="C54" s="90" t="s">
        <v>44</v>
      </c>
      <c r="D54" s="91" t="s">
        <v>45</v>
      </c>
      <c r="E54" s="91" t="s">
        <v>49</v>
      </c>
      <c r="F54" s="92" t="s">
        <v>47</v>
      </c>
      <c r="G54" s="93">
        <v>40000.0</v>
      </c>
      <c r="H54" s="94">
        <v>0.0</v>
      </c>
      <c r="I54" s="95">
        <f t="shared" si="3"/>
        <v>40000</v>
      </c>
      <c r="J54" s="93">
        <v>40000.0</v>
      </c>
      <c r="K54" s="96">
        <f t="shared" si="4"/>
        <v>0</v>
      </c>
      <c r="L54" s="97"/>
      <c r="M54" s="98"/>
    </row>
    <row r="55" ht="22.5" customHeight="1">
      <c r="A55" s="101">
        <v>784649.0</v>
      </c>
      <c r="B55" s="89">
        <v>45668.0</v>
      </c>
      <c r="C55" s="90" t="s">
        <v>44</v>
      </c>
      <c r="D55" s="91" t="s">
        <v>45</v>
      </c>
      <c r="E55" s="91" t="s">
        <v>121</v>
      </c>
      <c r="F55" s="92" t="s">
        <v>47</v>
      </c>
      <c r="G55" s="93">
        <v>30000.0</v>
      </c>
      <c r="H55" s="94">
        <v>0.0</v>
      </c>
      <c r="I55" s="95">
        <f t="shared" si="3"/>
        <v>30000</v>
      </c>
      <c r="J55" s="93">
        <v>30000.0</v>
      </c>
      <c r="K55" s="96">
        <f t="shared" si="4"/>
        <v>0</v>
      </c>
      <c r="L55" s="97"/>
      <c r="M55" s="98"/>
    </row>
    <row r="56" ht="22.5" customHeight="1">
      <c r="A56" s="88" t="s">
        <v>122</v>
      </c>
      <c r="B56" s="89">
        <v>45668.0</v>
      </c>
      <c r="C56" s="90" t="s">
        <v>44</v>
      </c>
      <c r="D56" s="91" t="s">
        <v>45</v>
      </c>
      <c r="E56" s="91" t="s">
        <v>123</v>
      </c>
      <c r="F56" s="92" t="s">
        <v>47</v>
      </c>
      <c r="G56" s="93">
        <v>25000.0</v>
      </c>
      <c r="H56" s="94">
        <v>0.0</v>
      </c>
      <c r="I56" s="95">
        <f t="shared" si="3"/>
        <v>25000</v>
      </c>
      <c r="J56" s="93">
        <v>25000.0</v>
      </c>
      <c r="K56" s="96">
        <f t="shared" si="4"/>
        <v>0</v>
      </c>
      <c r="L56" s="97"/>
      <c r="M56" s="98"/>
    </row>
    <row r="57" ht="22.5" customHeight="1">
      <c r="A57" s="88" t="s">
        <v>124</v>
      </c>
      <c r="B57" s="89">
        <v>45668.0</v>
      </c>
      <c r="C57" s="90" t="s">
        <v>44</v>
      </c>
      <c r="D57" s="91" t="s">
        <v>45</v>
      </c>
      <c r="E57" s="91" t="s">
        <v>125</v>
      </c>
      <c r="F57" s="92" t="s">
        <v>47</v>
      </c>
      <c r="G57" s="93">
        <v>50000.0</v>
      </c>
      <c r="H57" s="94">
        <v>0.0</v>
      </c>
      <c r="I57" s="95">
        <f t="shared" si="3"/>
        <v>50000</v>
      </c>
      <c r="J57" s="93">
        <v>50000.0</v>
      </c>
      <c r="K57" s="96">
        <f t="shared" si="4"/>
        <v>0</v>
      </c>
      <c r="L57" s="97"/>
      <c r="M57" s="98"/>
    </row>
    <row r="58" ht="22.5" customHeight="1">
      <c r="A58" s="101">
        <v>954718.0</v>
      </c>
      <c r="B58" s="89">
        <v>45668.0</v>
      </c>
      <c r="C58" s="90" t="s">
        <v>44</v>
      </c>
      <c r="D58" s="91" t="s">
        <v>45</v>
      </c>
      <c r="E58" s="91" t="s">
        <v>67</v>
      </c>
      <c r="F58" s="92" t="s">
        <v>47</v>
      </c>
      <c r="G58" s="93">
        <v>170000.0</v>
      </c>
      <c r="H58" s="94">
        <v>0.0</v>
      </c>
      <c r="I58" s="95">
        <f t="shared" si="3"/>
        <v>170000</v>
      </c>
      <c r="J58" s="93">
        <v>170000.0</v>
      </c>
      <c r="K58" s="96">
        <f t="shared" si="4"/>
        <v>0</v>
      </c>
      <c r="L58" s="97"/>
      <c r="M58" s="98"/>
    </row>
    <row r="59" ht="22.5" customHeight="1">
      <c r="A59" s="88" t="s">
        <v>126</v>
      </c>
      <c r="B59" s="89">
        <v>45668.0</v>
      </c>
      <c r="C59" s="90" t="s">
        <v>44</v>
      </c>
      <c r="D59" s="91" t="s">
        <v>45</v>
      </c>
      <c r="E59" s="91" t="s">
        <v>127</v>
      </c>
      <c r="F59" s="92" t="s">
        <v>47</v>
      </c>
      <c r="G59" s="93">
        <v>45000.0</v>
      </c>
      <c r="H59" s="94">
        <v>0.0</v>
      </c>
      <c r="I59" s="95">
        <f t="shared" si="3"/>
        <v>45000</v>
      </c>
      <c r="J59" s="93">
        <v>45000.0</v>
      </c>
      <c r="K59" s="96">
        <f t="shared" si="4"/>
        <v>0</v>
      </c>
      <c r="L59" s="97"/>
      <c r="M59" s="98"/>
    </row>
    <row r="60" ht="22.5" customHeight="1">
      <c r="A60" s="88" t="s">
        <v>101</v>
      </c>
      <c r="B60" s="89">
        <v>45668.0</v>
      </c>
      <c r="C60" s="90" t="s">
        <v>44</v>
      </c>
      <c r="D60" s="91" t="s">
        <v>45</v>
      </c>
      <c r="E60" s="91" t="s">
        <v>128</v>
      </c>
      <c r="F60" s="92" t="s">
        <v>47</v>
      </c>
      <c r="G60" s="93">
        <v>20000.0</v>
      </c>
      <c r="H60" s="94">
        <v>0.0</v>
      </c>
      <c r="I60" s="95">
        <f t="shared" si="3"/>
        <v>20000</v>
      </c>
      <c r="J60" s="93">
        <v>20000.0</v>
      </c>
      <c r="K60" s="96">
        <f t="shared" si="4"/>
        <v>0</v>
      </c>
      <c r="L60" s="97"/>
      <c r="M60" s="98"/>
    </row>
    <row r="61" ht="22.5" customHeight="1">
      <c r="A61" s="88" t="s">
        <v>129</v>
      </c>
      <c r="B61" s="89">
        <v>45668.0</v>
      </c>
      <c r="C61" s="90" t="s">
        <v>44</v>
      </c>
      <c r="D61" s="91" t="s">
        <v>45</v>
      </c>
      <c r="E61" s="91" t="s">
        <v>46</v>
      </c>
      <c r="F61" s="92" t="s">
        <v>47</v>
      </c>
      <c r="G61" s="93">
        <v>40000.0</v>
      </c>
      <c r="H61" s="94">
        <v>0.0</v>
      </c>
      <c r="I61" s="95">
        <f t="shared" si="3"/>
        <v>40000</v>
      </c>
      <c r="J61" s="93">
        <v>40000.0</v>
      </c>
      <c r="K61" s="96">
        <f t="shared" si="4"/>
        <v>0</v>
      </c>
      <c r="L61" s="97"/>
      <c r="M61" s="98"/>
    </row>
    <row r="62" ht="22.5" customHeight="1">
      <c r="A62" s="88" t="s">
        <v>130</v>
      </c>
      <c r="B62" s="89">
        <v>45669.0</v>
      </c>
      <c r="C62" s="90" t="s">
        <v>44</v>
      </c>
      <c r="D62" s="91" t="s">
        <v>45</v>
      </c>
      <c r="E62" s="91" t="s">
        <v>131</v>
      </c>
      <c r="F62" s="92" t="s">
        <v>47</v>
      </c>
      <c r="G62" s="93">
        <v>35000.0</v>
      </c>
      <c r="H62" s="94">
        <v>0.0</v>
      </c>
      <c r="I62" s="95">
        <f t="shared" si="3"/>
        <v>35000</v>
      </c>
      <c r="J62" s="93">
        <v>35000.0</v>
      </c>
      <c r="K62" s="96">
        <f t="shared" si="4"/>
        <v>0</v>
      </c>
      <c r="L62" s="97"/>
      <c r="M62" s="98"/>
    </row>
    <row r="63" ht="22.5" customHeight="1">
      <c r="A63" s="88" t="s">
        <v>132</v>
      </c>
      <c r="B63" s="89">
        <v>45670.0</v>
      </c>
      <c r="C63" s="90" t="s">
        <v>44</v>
      </c>
      <c r="D63" s="91" t="s">
        <v>45</v>
      </c>
      <c r="E63" s="91" t="s">
        <v>133</v>
      </c>
      <c r="F63" s="92" t="s">
        <v>47</v>
      </c>
      <c r="G63" s="93">
        <v>350000.0</v>
      </c>
      <c r="H63" s="94">
        <v>0.0</v>
      </c>
      <c r="I63" s="95">
        <f t="shared" si="3"/>
        <v>350000</v>
      </c>
      <c r="J63" s="93">
        <v>350000.0</v>
      </c>
      <c r="K63" s="96">
        <f t="shared" si="4"/>
        <v>0</v>
      </c>
      <c r="L63" s="97"/>
      <c r="M63" s="98"/>
    </row>
    <row r="64" ht="22.5" customHeight="1">
      <c r="A64" s="88" t="s">
        <v>89</v>
      </c>
      <c r="B64" s="89">
        <v>45670.0</v>
      </c>
      <c r="C64" s="90" t="s">
        <v>44</v>
      </c>
      <c r="D64" s="91" t="s">
        <v>57</v>
      </c>
      <c r="E64" s="91" t="s">
        <v>134</v>
      </c>
      <c r="F64" s="92" t="s">
        <v>47</v>
      </c>
      <c r="G64" s="93">
        <v>400000.0</v>
      </c>
      <c r="H64" s="94">
        <v>0.0</v>
      </c>
      <c r="I64" s="95">
        <f t="shared" si="3"/>
        <v>400000</v>
      </c>
      <c r="J64" s="93">
        <v>400000.0</v>
      </c>
      <c r="K64" s="96">
        <f t="shared" si="4"/>
        <v>0</v>
      </c>
      <c r="L64" s="97"/>
      <c r="M64" s="98"/>
    </row>
    <row r="65" ht="22.5" customHeight="1">
      <c r="A65" s="88" t="s">
        <v>135</v>
      </c>
      <c r="B65" s="89">
        <v>45671.0</v>
      </c>
      <c r="C65" s="103" t="s">
        <v>83</v>
      </c>
      <c r="D65" s="91" t="s">
        <v>57</v>
      </c>
      <c r="E65" s="91" t="s">
        <v>136</v>
      </c>
      <c r="F65" s="92" t="s">
        <v>47</v>
      </c>
      <c r="G65" s="93">
        <v>30000.0</v>
      </c>
      <c r="H65" s="94">
        <v>0.0</v>
      </c>
      <c r="I65" s="95">
        <f t="shared" si="3"/>
        <v>30000</v>
      </c>
      <c r="J65" s="96">
        <v>0.0</v>
      </c>
      <c r="K65" s="104">
        <f t="shared" si="4"/>
        <v>30000</v>
      </c>
      <c r="L65" s="97"/>
      <c r="M65" s="98"/>
    </row>
    <row r="66" ht="22.5" customHeight="1">
      <c r="A66" s="101">
        <v>954717.0</v>
      </c>
      <c r="B66" s="89">
        <v>45671.0</v>
      </c>
      <c r="C66" s="90" t="s">
        <v>44</v>
      </c>
      <c r="D66" s="91" t="s">
        <v>45</v>
      </c>
      <c r="E66" s="91" t="s">
        <v>46</v>
      </c>
      <c r="F66" s="92" t="s">
        <v>47</v>
      </c>
      <c r="G66" s="93">
        <v>55000.0</v>
      </c>
      <c r="H66" s="94">
        <v>0.0</v>
      </c>
      <c r="I66" s="95">
        <f t="shared" si="3"/>
        <v>55000</v>
      </c>
      <c r="J66" s="93">
        <v>55000.0</v>
      </c>
      <c r="K66" s="96">
        <f t="shared" si="4"/>
        <v>0</v>
      </c>
      <c r="L66" s="97"/>
      <c r="M66" s="102"/>
    </row>
    <row r="67" ht="22.5" customHeight="1">
      <c r="A67" s="88" t="s">
        <v>137</v>
      </c>
      <c r="B67" s="89">
        <v>45672.0</v>
      </c>
      <c r="C67" s="90" t="s">
        <v>44</v>
      </c>
      <c r="D67" s="91" t="s">
        <v>45</v>
      </c>
      <c r="E67" s="91" t="s">
        <v>138</v>
      </c>
      <c r="F67" s="92" t="s">
        <v>47</v>
      </c>
      <c r="G67" s="93">
        <v>650000.0</v>
      </c>
      <c r="H67" s="94">
        <v>0.0</v>
      </c>
      <c r="I67" s="95">
        <f t="shared" si="3"/>
        <v>650000</v>
      </c>
      <c r="J67" s="93">
        <v>650000.0</v>
      </c>
      <c r="K67" s="96">
        <f t="shared" si="4"/>
        <v>0</v>
      </c>
      <c r="L67" s="97"/>
      <c r="M67" s="98"/>
    </row>
    <row r="68" ht="22.5" customHeight="1">
      <c r="A68" s="88" t="s">
        <v>139</v>
      </c>
      <c r="B68" s="89">
        <v>45672.0</v>
      </c>
      <c r="C68" s="90" t="s">
        <v>44</v>
      </c>
      <c r="D68" s="91" t="s">
        <v>57</v>
      </c>
      <c r="E68" s="91" t="s">
        <v>140</v>
      </c>
      <c r="F68" s="92" t="s">
        <v>47</v>
      </c>
      <c r="G68" s="93">
        <v>50000.0</v>
      </c>
      <c r="H68" s="94">
        <v>0.0</v>
      </c>
      <c r="I68" s="95">
        <f t="shared" si="3"/>
        <v>50000</v>
      </c>
      <c r="J68" s="93">
        <v>50000.0</v>
      </c>
      <c r="K68" s="96">
        <f t="shared" si="4"/>
        <v>0</v>
      </c>
      <c r="L68" s="97"/>
      <c r="M68" s="98"/>
    </row>
    <row r="69" ht="22.5" customHeight="1">
      <c r="A69" s="88" t="s">
        <v>141</v>
      </c>
      <c r="B69" s="89">
        <v>45672.0</v>
      </c>
      <c r="C69" s="90" t="s">
        <v>44</v>
      </c>
      <c r="D69" s="91" t="s">
        <v>57</v>
      </c>
      <c r="E69" s="91" t="s">
        <v>142</v>
      </c>
      <c r="F69" s="92" t="s">
        <v>47</v>
      </c>
      <c r="G69" s="93">
        <v>100000.0</v>
      </c>
      <c r="H69" s="94">
        <v>0.0</v>
      </c>
      <c r="I69" s="95">
        <f t="shared" si="3"/>
        <v>100000</v>
      </c>
      <c r="J69" s="93">
        <v>100000.0</v>
      </c>
      <c r="K69" s="96">
        <f t="shared" si="4"/>
        <v>0</v>
      </c>
      <c r="L69" s="97"/>
      <c r="M69" s="98"/>
    </row>
    <row r="70" ht="22.5" customHeight="1">
      <c r="A70" s="88" t="s">
        <v>91</v>
      </c>
      <c r="B70" s="89">
        <v>45672.0</v>
      </c>
      <c r="C70" s="90" t="s">
        <v>44</v>
      </c>
      <c r="D70" s="91" t="s">
        <v>57</v>
      </c>
      <c r="E70" s="91" t="s">
        <v>143</v>
      </c>
      <c r="F70" s="92" t="s">
        <v>47</v>
      </c>
      <c r="G70" s="93">
        <v>16000.0</v>
      </c>
      <c r="H70" s="94">
        <v>0.0</v>
      </c>
      <c r="I70" s="95">
        <f t="shared" si="3"/>
        <v>16000</v>
      </c>
      <c r="J70" s="93">
        <v>16000.0</v>
      </c>
      <c r="K70" s="96">
        <f t="shared" si="4"/>
        <v>0</v>
      </c>
      <c r="L70" s="97"/>
      <c r="M70" s="98"/>
    </row>
    <row r="71" ht="22.5" customHeight="1">
      <c r="A71" s="88" t="s">
        <v>144</v>
      </c>
      <c r="B71" s="89">
        <v>45672.0</v>
      </c>
      <c r="C71" s="90" t="s">
        <v>44</v>
      </c>
      <c r="D71" s="91" t="s">
        <v>57</v>
      </c>
      <c r="E71" s="91" t="s">
        <v>66</v>
      </c>
      <c r="F71" s="92" t="s">
        <v>47</v>
      </c>
      <c r="G71" s="93">
        <v>150000.0</v>
      </c>
      <c r="H71" s="94">
        <v>0.0</v>
      </c>
      <c r="I71" s="95">
        <f t="shared" si="3"/>
        <v>150000</v>
      </c>
      <c r="J71" s="93">
        <v>150000.0</v>
      </c>
      <c r="K71" s="96">
        <f t="shared" si="4"/>
        <v>0</v>
      </c>
      <c r="L71" s="97"/>
      <c r="M71" s="98"/>
    </row>
    <row r="72" ht="22.5" customHeight="1">
      <c r="A72" s="88" t="s">
        <v>145</v>
      </c>
      <c r="B72" s="89">
        <v>45673.0</v>
      </c>
      <c r="C72" s="90" t="s">
        <v>44</v>
      </c>
      <c r="D72" s="91" t="s">
        <v>45</v>
      </c>
      <c r="E72" s="91" t="s">
        <v>146</v>
      </c>
      <c r="F72" s="92" t="s">
        <v>47</v>
      </c>
      <c r="G72" s="93">
        <v>70000.0</v>
      </c>
      <c r="H72" s="94">
        <v>0.0</v>
      </c>
      <c r="I72" s="95">
        <f t="shared" si="3"/>
        <v>70000</v>
      </c>
      <c r="J72" s="93">
        <v>70000.0</v>
      </c>
      <c r="K72" s="96">
        <f t="shared" si="4"/>
        <v>0</v>
      </c>
      <c r="L72" s="97"/>
      <c r="M72" s="98"/>
    </row>
    <row r="73" ht="22.5" customHeight="1">
      <c r="A73" s="88" t="s">
        <v>147</v>
      </c>
      <c r="B73" s="89">
        <v>45673.0</v>
      </c>
      <c r="C73" s="90" t="s">
        <v>44</v>
      </c>
      <c r="D73" s="91" t="s">
        <v>57</v>
      </c>
      <c r="E73" s="91" t="s">
        <v>148</v>
      </c>
      <c r="F73" s="92" t="s">
        <v>47</v>
      </c>
      <c r="G73" s="93">
        <v>200000.0</v>
      </c>
      <c r="H73" s="94">
        <v>0.0</v>
      </c>
      <c r="I73" s="95">
        <f t="shared" si="3"/>
        <v>200000</v>
      </c>
      <c r="J73" s="93">
        <v>200000.0</v>
      </c>
      <c r="K73" s="96">
        <f t="shared" si="4"/>
        <v>0</v>
      </c>
      <c r="L73" s="97"/>
      <c r="M73" s="98"/>
    </row>
    <row r="74" ht="22.5" customHeight="1">
      <c r="A74" s="88" t="s">
        <v>149</v>
      </c>
      <c r="B74" s="89">
        <v>45675.0</v>
      </c>
      <c r="C74" s="90" t="s">
        <v>44</v>
      </c>
      <c r="D74" s="91" t="s">
        <v>45</v>
      </c>
      <c r="E74" s="91" t="s">
        <v>125</v>
      </c>
      <c r="F74" s="92" t="s">
        <v>47</v>
      </c>
      <c r="G74" s="93">
        <v>50000.0</v>
      </c>
      <c r="H74" s="94">
        <v>0.0</v>
      </c>
      <c r="I74" s="95">
        <f t="shared" si="3"/>
        <v>50000</v>
      </c>
      <c r="J74" s="93">
        <v>50000.0</v>
      </c>
      <c r="K74" s="96">
        <f t="shared" si="4"/>
        <v>0</v>
      </c>
      <c r="L74" s="97"/>
      <c r="M74" s="98"/>
    </row>
    <row r="75" ht="22.5" customHeight="1">
      <c r="A75" s="88" t="s">
        <v>80</v>
      </c>
      <c r="B75" s="89">
        <v>45675.0</v>
      </c>
      <c r="C75" s="90" t="s">
        <v>44</v>
      </c>
      <c r="D75" s="91" t="s">
        <v>45</v>
      </c>
      <c r="E75" s="91" t="s">
        <v>150</v>
      </c>
      <c r="F75" s="92" t="s">
        <v>47</v>
      </c>
      <c r="G75" s="93">
        <v>15000.0</v>
      </c>
      <c r="H75" s="94">
        <v>0.0</v>
      </c>
      <c r="I75" s="95">
        <f t="shared" si="3"/>
        <v>15000</v>
      </c>
      <c r="J75" s="93">
        <v>15000.0</v>
      </c>
      <c r="K75" s="96">
        <f t="shared" si="4"/>
        <v>0</v>
      </c>
      <c r="L75" s="97"/>
      <c r="M75" s="98"/>
    </row>
    <row r="76" ht="22.5" customHeight="1">
      <c r="A76" s="101">
        <v>954721.0</v>
      </c>
      <c r="B76" s="89">
        <v>45675.0</v>
      </c>
      <c r="C76" s="90" t="s">
        <v>44</v>
      </c>
      <c r="D76" s="91" t="s">
        <v>45</v>
      </c>
      <c r="E76" s="91" t="s">
        <v>69</v>
      </c>
      <c r="F76" s="92" t="s">
        <v>47</v>
      </c>
      <c r="G76" s="93">
        <v>45000.0</v>
      </c>
      <c r="H76" s="94">
        <v>0.0</v>
      </c>
      <c r="I76" s="95">
        <f t="shared" si="3"/>
        <v>45000</v>
      </c>
      <c r="J76" s="93">
        <v>45000.0</v>
      </c>
      <c r="K76" s="96">
        <f t="shared" si="4"/>
        <v>0</v>
      </c>
      <c r="L76" s="97"/>
      <c r="M76" s="98"/>
    </row>
    <row r="77" ht="22.5" customHeight="1">
      <c r="A77" s="88" t="s">
        <v>151</v>
      </c>
      <c r="B77" s="89">
        <v>45675.0</v>
      </c>
      <c r="C77" s="90" t="s">
        <v>44</v>
      </c>
      <c r="D77" s="91" t="s">
        <v>45</v>
      </c>
      <c r="E77" s="91" t="s">
        <v>152</v>
      </c>
      <c r="F77" s="92" t="s">
        <v>47</v>
      </c>
      <c r="G77" s="93">
        <v>15000.0</v>
      </c>
      <c r="H77" s="94">
        <v>0.0</v>
      </c>
      <c r="I77" s="95">
        <f t="shared" si="3"/>
        <v>15000</v>
      </c>
      <c r="J77" s="93">
        <v>15000.0</v>
      </c>
      <c r="K77" s="96">
        <f t="shared" si="4"/>
        <v>0</v>
      </c>
      <c r="L77" s="97"/>
      <c r="M77" s="98"/>
    </row>
    <row r="78" ht="22.5" customHeight="1">
      <c r="A78" s="88" t="s">
        <v>153</v>
      </c>
      <c r="B78" s="89">
        <v>45675.0</v>
      </c>
      <c r="C78" s="90" t="s">
        <v>44</v>
      </c>
      <c r="D78" s="91" t="s">
        <v>45</v>
      </c>
      <c r="E78" s="91" t="s">
        <v>92</v>
      </c>
      <c r="F78" s="92" t="s">
        <v>47</v>
      </c>
      <c r="G78" s="93">
        <v>125000.0</v>
      </c>
      <c r="H78" s="94">
        <v>0.0</v>
      </c>
      <c r="I78" s="95">
        <f t="shared" si="3"/>
        <v>125000</v>
      </c>
      <c r="J78" s="93">
        <v>125000.0</v>
      </c>
      <c r="K78" s="96">
        <f t="shared" si="4"/>
        <v>0</v>
      </c>
      <c r="L78" s="97"/>
      <c r="M78" s="98"/>
    </row>
    <row r="79" ht="22.5" customHeight="1">
      <c r="A79" s="101">
        <v>98.0</v>
      </c>
      <c r="B79" s="89">
        <v>45675.0</v>
      </c>
      <c r="C79" s="90" t="s">
        <v>44</v>
      </c>
      <c r="D79" s="91" t="s">
        <v>45</v>
      </c>
      <c r="E79" s="91" t="s">
        <v>154</v>
      </c>
      <c r="F79" s="92" t="s">
        <v>47</v>
      </c>
      <c r="G79" s="93">
        <v>100000.0</v>
      </c>
      <c r="H79" s="94">
        <v>0.0</v>
      </c>
      <c r="I79" s="95">
        <f t="shared" si="3"/>
        <v>100000</v>
      </c>
      <c r="J79" s="93">
        <v>100000.0</v>
      </c>
      <c r="K79" s="96">
        <f t="shared" si="4"/>
        <v>0</v>
      </c>
      <c r="L79" s="97"/>
      <c r="M79" s="98"/>
    </row>
    <row r="80" ht="22.5" customHeight="1">
      <c r="A80" s="101">
        <v>98.0</v>
      </c>
      <c r="B80" s="89">
        <v>45675.0</v>
      </c>
      <c r="C80" s="90" t="s">
        <v>44</v>
      </c>
      <c r="D80" s="91" t="s">
        <v>45</v>
      </c>
      <c r="E80" s="91" t="s">
        <v>92</v>
      </c>
      <c r="F80" s="92" t="s">
        <v>47</v>
      </c>
      <c r="G80" s="93">
        <v>100000.0</v>
      </c>
      <c r="H80" s="94">
        <v>0.0</v>
      </c>
      <c r="I80" s="95">
        <f t="shared" si="3"/>
        <v>100000</v>
      </c>
      <c r="J80" s="93">
        <v>100000.0</v>
      </c>
      <c r="K80" s="96">
        <f t="shared" si="4"/>
        <v>0</v>
      </c>
      <c r="L80" s="97"/>
      <c r="M80" s="98"/>
    </row>
    <row r="81" ht="22.5" customHeight="1">
      <c r="A81" s="88" t="s">
        <v>78</v>
      </c>
      <c r="B81" s="89">
        <v>45675.0</v>
      </c>
      <c r="C81" s="90" t="s">
        <v>44</v>
      </c>
      <c r="D81" s="91" t="s">
        <v>45</v>
      </c>
      <c r="E81" s="91" t="s">
        <v>155</v>
      </c>
      <c r="F81" s="92" t="s">
        <v>47</v>
      </c>
      <c r="G81" s="93">
        <v>15000.0</v>
      </c>
      <c r="H81" s="94">
        <v>0.0</v>
      </c>
      <c r="I81" s="95">
        <f t="shared" si="3"/>
        <v>15000</v>
      </c>
      <c r="J81" s="93">
        <v>15000.0</v>
      </c>
      <c r="K81" s="96">
        <f t="shared" si="4"/>
        <v>0</v>
      </c>
      <c r="L81" s="97"/>
      <c r="M81" s="98"/>
    </row>
    <row r="82" ht="22.5" customHeight="1">
      <c r="A82" s="101">
        <v>954724.0</v>
      </c>
      <c r="B82" s="89">
        <v>45675.0</v>
      </c>
      <c r="C82" s="90" t="s">
        <v>44</v>
      </c>
      <c r="D82" s="91" t="s">
        <v>45</v>
      </c>
      <c r="E82" s="91" t="s">
        <v>49</v>
      </c>
      <c r="F82" s="92" t="s">
        <v>47</v>
      </c>
      <c r="G82" s="93">
        <v>45000.0</v>
      </c>
      <c r="H82" s="94">
        <v>0.0</v>
      </c>
      <c r="I82" s="95">
        <f t="shared" si="3"/>
        <v>45000</v>
      </c>
      <c r="J82" s="93">
        <v>45000.0</v>
      </c>
      <c r="K82" s="96">
        <f t="shared" si="4"/>
        <v>0</v>
      </c>
      <c r="L82" s="97"/>
      <c r="M82" s="98"/>
    </row>
    <row r="83" ht="22.5" customHeight="1">
      <c r="A83" s="88" t="s">
        <v>156</v>
      </c>
      <c r="B83" s="89">
        <v>45675.0</v>
      </c>
      <c r="C83" s="90" t="s">
        <v>44</v>
      </c>
      <c r="D83" s="91" t="s">
        <v>45</v>
      </c>
      <c r="E83" s="91" t="s">
        <v>69</v>
      </c>
      <c r="F83" s="92" t="s">
        <v>47</v>
      </c>
      <c r="G83" s="93">
        <v>35000.0</v>
      </c>
      <c r="H83" s="94">
        <v>0.0</v>
      </c>
      <c r="I83" s="95">
        <f t="shared" si="3"/>
        <v>35000</v>
      </c>
      <c r="J83" s="93">
        <v>35000.0</v>
      </c>
      <c r="K83" s="96">
        <f t="shared" si="4"/>
        <v>0</v>
      </c>
      <c r="L83" s="97"/>
      <c r="M83" s="98"/>
    </row>
    <row r="84" ht="22.5" customHeight="1">
      <c r="A84" s="88" t="s">
        <v>157</v>
      </c>
      <c r="B84" s="89">
        <v>45675.0</v>
      </c>
      <c r="C84" s="90" t="s">
        <v>44</v>
      </c>
      <c r="D84" s="91" t="s">
        <v>57</v>
      </c>
      <c r="E84" s="91" t="s">
        <v>158</v>
      </c>
      <c r="F84" s="92" t="s">
        <v>47</v>
      </c>
      <c r="G84" s="93">
        <v>10000.0</v>
      </c>
      <c r="H84" s="94">
        <v>0.0</v>
      </c>
      <c r="I84" s="95">
        <f t="shared" si="3"/>
        <v>10000</v>
      </c>
      <c r="J84" s="93">
        <v>10000.0</v>
      </c>
      <c r="K84" s="96">
        <f t="shared" si="4"/>
        <v>0</v>
      </c>
      <c r="L84" s="97"/>
      <c r="M84" s="98"/>
    </row>
    <row r="85" ht="22.5" customHeight="1">
      <c r="A85" s="88" t="s">
        <v>159</v>
      </c>
      <c r="B85" s="89">
        <v>45675.0</v>
      </c>
      <c r="C85" s="90" t="s">
        <v>44</v>
      </c>
      <c r="D85" s="91" t="s">
        <v>160</v>
      </c>
      <c r="E85" s="91" t="s">
        <v>161</v>
      </c>
      <c r="F85" s="92" t="s">
        <v>47</v>
      </c>
      <c r="G85" s="93">
        <v>10000.0</v>
      </c>
      <c r="H85" s="94">
        <v>0.0</v>
      </c>
      <c r="I85" s="95">
        <f t="shared" si="3"/>
        <v>10000</v>
      </c>
      <c r="J85" s="93">
        <v>10000.0</v>
      </c>
      <c r="K85" s="96">
        <f t="shared" si="4"/>
        <v>0</v>
      </c>
      <c r="L85" s="97"/>
      <c r="M85" s="98"/>
    </row>
    <row r="86" ht="22.5" customHeight="1">
      <c r="A86" s="88" t="s">
        <v>162</v>
      </c>
      <c r="B86" s="89">
        <v>45675.0</v>
      </c>
      <c r="C86" s="90" t="s">
        <v>44</v>
      </c>
      <c r="D86" s="91" t="s">
        <v>160</v>
      </c>
      <c r="E86" s="91" t="s">
        <v>163</v>
      </c>
      <c r="F86" s="92" t="s">
        <v>47</v>
      </c>
      <c r="G86" s="93">
        <v>10000.0</v>
      </c>
      <c r="H86" s="94">
        <v>0.0</v>
      </c>
      <c r="I86" s="95">
        <f t="shared" si="3"/>
        <v>10000</v>
      </c>
      <c r="J86" s="93">
        <v>10000.0</v>
      </c>
      <c r="K86" s="96">
        <f t="shared" si="4"/>
        <v>0</v>
      </c>
      <c r="L86" s="97"/>
      <c r="M86" s="98"/>
    </row>
    <row r="87" ht="22.5" customHeight="1">
      <c r="A87" s="101">
        <v>954741.0</v>
      </c>
      <c r="B87" s="89">
        <v>45675.0</v>
      </c>
      <c r="C87" s="90" t="s">
        <v>44</v>
      </c>
      <c r="D87" s="91" t="s">
        <v>45</v>
      </c>
      <c r="E87" s="91" t="s">
        <v>46</v>
      </c>
      <c r="F87" s="92" t="s">
        <v>47</v>
      </c>
      <c r="G87" s="93">
        <v>50000.0</v>
      </c>
      <c r="H87" s="94">
        <v>0.0</v>
      </c>
      <c r="I87" s="95">
        <f t="shared" si="3"/>
        <v>50000</v>
      </c>
      <c r="J87" s="93">
        <v>50000.0</v>
      </c>
      <c r="K87" s="96">
        <f t="shared" si="4"/>
        <v>0</v>
      </c>
      <c r="L87" s="97"/>
      <c r="M87" s="98"/>
    </row>
    <row r="88" ht="22.5" customHeight="1">
      <c r="A88" s="101">
        <v>954741.0</v>
      </c>
      <c r="B88" s="89">
        <v>45675.0</v>
      </c>
      <c r="C88" s="90" t="s">
        <v>44</v>
      </c>
      <c r="D88" s="91" t="s">
        <v>45</v>
      </c>
      <c r="E88" s="91" t="s">
        <v>164</v>
      </c>
      <c r="F88" s="92" t="s">
        <v>47</v>
      </c>
      <c r="G88" s="93">
        <v>75000.0</v>
      </c>
      <c r="H88" s="94">
        <v>0.0</v>
      </c>
      <c r="I88" s="95">
        <f t="shared" si="3"/>
        <v>75000</v>
      </c>
      <c r="J88" s="93">
        <v>75000.0</v>
      </c>
      <c r="K88" s="96">
        <f t="shared" si="4"/>
        <v>0</v>
      </c>
      <c r="L88" s="97"/>
      <c r="M88" s="98"/>
    </row>
    <row r="89" ht="22.5" customHeight="1">
      <c r="A89" s="101">
        <v>954741.0</v>
      </c>
      <c r="B89" s="89">
        <v>45675.0</v>
      </c>
      <c r="C89" s="90" t="s">
        <v>44</v>
      </c>
      <c r="D89" s="91" t="s">
        <v>45</v>
      </c>
      <c r="E89" s="91" t="s">
        <v>165</v>
      </c>
      <c r="F89" s="92" t="s">
        <v>47</v>
      </c>
      <c r="G89" s="93">
        <v>45000.0</v>
      </c>
      <c r="H89" s="94">
        <v>0.0</v>
      </c>
      <c r="I89" s="95">
        <f t="shared" si="3"/>
        <v>45000</v>
      </c>
      <c r="J89" s="93">
        <v>45000.0</v>
      </c>
      <c r="K89" s="96">
        <f t="shared" si="4"/>
        <v>0</v>
      </c>
      <c r="L89" s="97"/>
      <c r="M89" s="98"/>
    </row>
    <row r="90" ht="22.5" customHeight="1">
      <c r="A90" s="101">
        <v>954741.0</v>
      </c>
      <c r="B90" s="89">
        <v>45675.0</v>
      </c>
      <c r="C90" s="90" t="s">
        <v>44</v>
      </c>
      <c r="D90" s="91" t="s">
        <v>45</v>
      </c>
      <c r="E90" s="91" t="s">
        <v>92</v>
      </c>
      <c r="F90" s="92" t="s">
        <v>47</v>
      </c>
      <c r="G90" s="93">
        <v>125000.0</v>
      </c>
      <c r="H90" s="94">
        <v>0.0</v>
      </c>
      <c r="I90" s="95">
        <f t="shared" si="3"/>
        <v>125000</v>
      </c>
      <c r="J90" s="93">
        <v>125000.0</v>
      </c>
      <c r="K90" s="96">
        <f t="shared" si="4"/>
        <v>0</v>
      </c>
      <c r="L90" s="97"/>
      <c r="M90" s="98"/>
    </row>
    <row r="91" ht="22.5" customHeight="1">
      <c r="A91" s="101">
        <v>954741.0</v>
      </c>
      <c r="B91" s="89">
        <v>45675.0</v>
      </c>
      <c r="C91" s="90" t="s">
        <v>44</v>
      </c>
      <c r="D91" s="91" t="s">
        <v>45</v>
      </c>
      <c r="E91" s="91" t="s">
        <v>166</v>
      </c>
      <c r="F91" s="92" t="s">
        <v>47</v>
      </c>
      <c r="G91" s="93">
        <v>35000.0</v>
      </c>
      <c r="H91" s="94">
        <v>0.0</v>
      </c>
      <c r="I91" s="95">
        <f t="shared" si="3"/>
        <v>35000</v>
      </c>
      <c r="J91" s="93">
        <v>35000.0</v>
      </c>
      <c r="K91" s="96">
        <f t="shared" si="4"/>
        <v>0</v>
      </c>
      <c r="L91" s="97"/>
      <c r="M91" s="98"/>
    </row>
    <row r="92" ht="22.5" customHeight="1">
      <c r="A92" s="101">
        <v>954741.0</v>
      </c>
      <c r="B92" s="89">
        <v>45675.0</v>
      </c>
      <c r="C92" s="90" t="s">
        <v>44</v>
      </c>
      <c r="D92" s="91" t="s">
        <v>45</v>
      </c>
      <c r="E92" s="91" t="s">
        <v>46</v>
      </c>
      <c r="F92" s="92" t="s">
        <v>47</v>
      </c>
      <c r="G92" s="93">
        <v>50000.0</v>
      </c>
      <c r="H92" s="94">
        <v>0.0</v>
      </c>
      <c r="I92" s="95">
        <f t="shared" si="3"/>
        <v>50000</v>
      </c>
      <c r="J92" s="93">
        <v>50000.0</v>
      </c>
      <c r="K92" s="96">
        <f t="shared" si="4"/>
        <v>0</v>
      </c>
      <c r="L92" s="97"/>
      <c r="M92" s="98"/>
    </row>
    <row r="93" ht="22.5" customHeight="1">
      <c r="A93" s="88" t="s">
        <v>113</v>
      </c>
      <c r="B93" s="89">
        <v>45675.0</v>
      </c>
      <c r="C93" s="90" t="s">
        <v>44</v>
      </c>
      <c r="D93" s="91" t="s">
        <v>57</v>
      </c>
      <c r="E93" s="91" t="s">
        <v>167</v>
      </c>
      <c r="F93" s="92" t="s">
        <v>47</v>
      </c>
      <c r="G93" s="93">
        <v>200000.0</v>
      </c>
      <c r="H93" s="94">
        <v>0.0</v>
      </c>
      <c r="I93" s="95">
        <f t="shared" si="3"/>
        <v>200000</v>
      </c>
      <c r="J93" s="93">
        <v>200000.0</v>
      </c>
      <c r="K93" s="96">
        <f t="shared" si="4"/>
        <v>0</v>
      </c>
      <c r="L93" s="97"/>
      <c r="M93" s="98"/>
    </row>
    <row r="94" ht="22.5" customHeight="1">
      <c r="A94" s="101">
        <v>954741.0</v>
      </c>
      <c r="B94" s="89">
        <v>45676.0</v>
      </c>
      <c r="C94" s="90" t="s">
        <v>44</v>
      </c>
      <c r="D94" s="91" t="s">
        <v>45</v>
      </c>
      <c r="E94" s="91" t="s">
        <v>168</v>
      </c>
      <c r="F94" s="92" t="s">
        <v>47</v>
      </c>
      <c r="G94" s="93">
        <v>45000.0</v>
      </c>
      <c r="H94" s="94">
        <v>0.0</v>
      </c>
      <c r="I94" s="95">
        <f t="shared" si="3"/>
        <v>45000</v>
      </c>
      <c r="J94" s="93">
        <v>45000.0</v>
      </c>
      <c r="K94" s="96">
        <f t="shared" si="4"/>
        <v>0</v>
      </c>
      <c r="L94" s="97"/>
      <c r="M94" s="98"/>
    </row>
    <row r="95" ht="22.5" customHeight="1">
      <c r="A95" s="101">
        <v>954741.0</v>
      </c>
      <c r="B95" s="89">
        <v>45676.0</v>
      </c>
      <c r="C95" s="90" t="s">
        <v>44</v>
      </c>
      <c r="D95" s="91" t="s">
        <v>45</v>
      </c>
      <c r="E95" s="91" t="s">
        <v>169</v>
      </c>
      <c r="F95" s="92" t="s">
        <v>47</v>
      </c>
      <c r="G95" s="93">
        <v>50000.0</v>
      </c>
      <c r="H95" s="94">
        <v>0.0</v>
      </c>
      <c r="I95" s="95">
        <f t="shared" si="3"/>
        <v>50000</v>
      </c>
      <c r="J95" s="93">
        <v>50000.0</v>
      </c>
      <c r="K95" s="96">
        <f t="shared" si="4"/>
        <v>0</v>
      </c>
      <c r="L95" s="97"/>
      <c r="M95" s="98"/>
    </row>
    <row r="96" ht="22.5" customHeight="1">
      <c r="A96" s="101">
        <v>954724.0</v>
      </c>
      <c r="B96" s="89">
        <v>45676.0</v>
      </c>
      <c r="C96" s="90" t="s">
        <v>44</v>
      </c>
      <c r="D96" s="91" t="s">
        <v>45</v>
      </c>
      <c r="E96" s="91" t="s">
        <v>119</v>
      </c>
      <c r="F96" s="92" t="s">
        <v>47</v>
      </c>
      <c r="G96" s="93">
        <v>75000.0</v>
      </c>
      <c r="H96" s="94">
        <v>0.0</v>
      </c>
      <c r="I96" s="95">
        <f t="shared" si="3"/>
        <v>75000</v>
      </c>
      <c r="J96" s="93">
        <v>75000.0</v>
      </c>
      <c r="K96" s="96">
        <f t="shared" si="4"/>
        <v>0</v>
      </c>
      <c r="L96" s="97"/>
      <c r="M96" s="98"/>
    </row>
    <row r="97" ht="22.5" customHeight="1">
      <c r="A97" s="101">
        <v>954724.0</v>
      </c>
      <c r="B97" s="89">
        <v>45676.0</v>
      </c>
      <c r="C97" s="90" t="s">
        <v>44</v>
      </c>
      <c r="D97" s="91" t="s">
        <v>45</v>
      </c>
      <c r="E97" s="91" t="s">
        <v>170</v>
      </c>
      <c r="F97" s="92" t="s">
        <v>47</v>
      </c>
      <c r="G97" s="93">
        <v>20000.0</v>
      </c>
      <c r="H97" s="94">
        <v>0.0</v>
      </c>
      <c r="I97" s="95">
        <f t="shared" si="3"/>
        <v>20000</v>
      </c>
      <c r="J97" s="93">
        <v>20000.0</v>
      </c>
      <c r="K97" s="96">
        <f t="shared" si="4"/>
        <v>0</v>
      </c>
      <c r="L97" s="97"/>
      <c r="M97" s="98"/>
    </row>
    <row r="98" ht="22.5" customHeight="1">
      <c r="A98" s="88" t="s">
        <v>171</v>
      </c>
      <c r="B98" s="89">
        <v>45676.0</v>
      </c>
      <c r="C98" s="90" t="s">
        <v>44</v>
      </c>
      <c r="D98" s="91" t="s">
        <v>45</v>
      </c>
      <c r="E98" s="91" t="s">
        <v>69</v>
      </c>
      <c r="F98" s="92" t="s">
        <v>47</v>
      </c>
      <c r="G98" s="93">
        <v>35000.0</v>
      </c>
      <c r="H98" s="94">
        <v>0.0</v>
      </c>
      <c r="I98" s="95">
        <f t="shared" si="3"/>
        <v>35000</v>
      </c>
      <c r="J98" s="93">
        <v>35000.0</v>
      </c>
      <c r="K98" s="96">
        <f t="shared" si="4"/>
        <v>0</v>
      </c>
      <c r="L98" s="97"/>
      <c r="M98" s="98"/>
    </row>
    <row r="99" ht="22.5" customHeight="1">
      <c r="A99" s="88" t="s">
        <v>172</v>
      </c>
      <c r="B99" s="89">
        <v>45676.0</v>
      </c>
      <c r="C99" s="90" t="s">
        <v>44</v>
      </c>
      <c r="D99" s="91" t="s">
        <v>45</v>
      </c>
      <c r="E99" s="91" t="s">
        <v>173</v>
      </c>
      <c r="F99" s="92" t="s">
        <v>47</v>
      </c>
      <c r="G99" s="93">
        <v>10000.0</v>
      </c>
      <c r="H99" s="94">
        <v>0.0</v>
      </c>
      <c r="I99" s="95">
        <f t="shared" si="3"/>
        <v>10000</v>
      </c>
      <c r="J99" s="93">
        <v>10000.0</v>
      </c>
      <c r="K99" s="96">
        <f t="shared" si="4"/>
        <v>0</v>
      </c>
      <c r="L99" s="97"/>
      <c r="M99" s="98"/>
    </row>
    <row r="100" ht="22.5" customHeight="1">
      <c r="A100" s="88" t="s">
        <v>174</v>
      </c>
      <c r="B100" s="89">
        <v>45676.0</v>
      </c>
      <c r="C100" s="90" t="s">
        <v>44</v>
      </c>
      <c r="D100" s="91" t="s">
        <v>45</v>
      </c>
      <c r="E100" s="91" t="s">
        <v>175</v>
      </c>
      <c r="F100" s="92" t="s">
        <v>47</v>
      </c>
      <c r="G100" s="93">
        <v>10000.0</v>
      </c>
      <c r="H100" s="94">
        <v>0.0</v>
      </c>
      <c r="I100" s="95">
        <f t="shared" si="3"/>
        <v>10000</v>
      </c>
      <c r="J100" s="93">
        <v>10000.0</v>
      </c>
      <c r="K100" s="96">
        <f t="shared" si="4"/>
        <v>0</v>
      </c>
      <c r="L100" s="97"/>
      <c r="M100" s="98"/>
    </row>
    <row r="101" ht="22.5" customHeight="1">
      <c r="A101" s="88" t="s">
        <v>117</v>
      </c>
      <c r="B101" s="89">
        <v>45676.0</v>
      </c>
      <c r="C101" s="90" t="s">
        <v>44</v>
      </c>
      <c r="D101" s="91" t="s">
        <v>57</v>
      </c>
      <c r="E101" s="91" t="s">
        <v>176</v>
      </c>
      <c r="F101" s="92" t="s">
        <v>47</v>
      </c>
      <c r="G101" s="93">
        <v>230000.0</v>
      </c>
      <c r="H101" s="94">
        <v>0.0</v>
      </c>
      <c r="I101" s="95">
        <f t="shared" si="3"/>
        <v>230000</v>
      </c>
      <c r="J101" s="93">
        <v>230000.0</v>
      </c>
      <c r="K101" s="96">
        <f t="shared" si="4"/>
        <v>0</v>
      </c>
      <c r="L101" s="97"/>
      <c r="M101" s="98"/>
    </row>
    <row r="102" ht="22.5" customHeight="1">
      <c r="A102" s="88" t="s">
        <v>115</v>
      </c>
      <c r="B102" s="89">
        <v>45677.0</v>
      </c>
      <c r="C102" s="105" t="s">
        <v>96</v>
      </c>
      <c r="D102" s="91" t="s">
        <v>57</v>
      </c>
      <c r="E102" s="91" t="s">
        <v>177</v>
      </c>
      <c r="F102" s="92" t="s">
        <v>47</v>
      </c>
      <c r="G102" s="93">
        <v>625000.0</v>
      </c>
      <c r="H102" s="94">
        <v>0.0</v>
      </c>
      <c r="I102" s="95">
        <f t="shared" si="3"/>
        <v>625000</v>
      </c>
      <c r="J102" s="96">
        <v>625000.0</v>
      </c>
      <c r="K102" s="96">
        <f t="shared" si="4"/>
        <v>0</v>
      </c>
      <c r="L102" s="97"/>
      <c r="M102" s="98"/>
    </row>
    <row r="103" ht="22.5" customHeight="1">
      <c r="A103" s="88" t="s">
        <v>178</v>
      </c>
      <c r="B103" s="89">
        <v>45677.0</v>
      </c>
      <c r="C103" s="90" t="s">
        <v>44</v>
      </c>
      <c r="D103" s="91" t="s">
        <v>45</v>
      </c>
      <c r="E103" s="91" t="s">
        <v>179</v>
      </c>
      <c r="F103" s="92" t="s">
        <v>47</v>
      </c>
      <c r="G103" s="93">
        <v>175000.0</v>
      </c>
      <c r="H103" s="94">
        <v>0.0</v>
      </c>
      <c r="I103" s="95">
        <f t="shared" si="3"/>
        <v>175000</v>
      </c>
      <c r="J103" s="93">
        <v>175000.0</v>
      </c>
      <c r="K103" s="96">
        <f t="shared" si="4"/>
        <v>0</v>
      </c>
      <c r="L103" s="97"/>
      <c r="M103" s="98"/>
    </row>
    <row r="104" ht="22.5" customHeight="1">
      <c r="A104" s="88" t="s">
        <v>180</v>
      </c>
      <c r="B104" s="89">
        <v>45678.0</v>
      </c>
      <c r="C104" s="90" t="s">
        <v>44</v>
      </c>
      <c r="D104" s="91" t="s">
        <v>45</v>
      </c>
      <c r="E104" s="91" t="s">
        <v>67</v>
      </c>
      <c r="F104" s="92" t="s">
        <v>47</v>
      </c>
      <c r="G104" s="93">
        <v>100000.0</v>
      </c>
      <c r="H104" s="94">
        <v>0.0</v>
      </c>
      <c r="I104" s="95">
        <f t="shared" si="3"/>
        <v>100000</v>
      </c>
      <c r="J104" s="93">
        <v>100000.0</v>
      </c>
      <c r="K104" s="96">
        <f t="shared" si="4"/>
        <v>0</v>
      </c>
      <c r="L104" s="97"/>
      <c r="M104" s="98"/>
    </row>
    <row r="105" ht="22.5" customHeight="1">
      <c r="A105" s="101">
        <v>954726.0</v>
      </c>
      <c r="B105" s="89">
        <v>45678.0</v>
      </c>
      <c r="C105" s="90" t="s">
        <v>44</v>
      </c>
      <c r="D105" s="91" t="s">
        <v>45</v>
      </c>
      <c r="E105" s="91" t="s">
        <v>49</v>
      </c>
      <c r="F105" s="92" t="s">
        <v>47</v>
      </c>
      <c r="G105" s="93">
        <v>25000.0</v>
      </c>
      <c r="H105" s="94">
        <v>0.0</v>
      </c>
      <c r="I105" s="95">
        <f t="shared" si="3"/>
        <v>25000</v>
      </c>
      <c r="J105" s="93">
        <v>25000.0</v>
      </c>
      <c r="K105" s="96">
        <f t="shared" si="4"/>
        <v>0</v>
      </c>
      <c r="L105" s="97"/>
      <c r="M105" s="98"/>
    </row>
    <row r="106" ht="22.5" customHeight="1">
      <c r="A106" s="101">
        <v>954728.0</v>
      </c>
      <c r="B106" s="89">
        <v>45678.0</v>
      </c>
      <c r="C106" s="90" t="s">
        <v>44</v>
      </c>
      <c r="D106" s="91" t="s">
        <v>45</v>
      </c>
      <c r="E106" s="91" t="s">
        <v>119</v>
      </c>
      <c r="F106" s="92" t="s">
        <v>47</v>
      </c>
      <c r="G106" s="93">
        <v>120000.0</v>
      </c>
      <c r="H106" s="94">
        <v>0.0</v>
      </c>
      <c r="I106" s="95">
        <f t="shared" si="3"/>
        <v>120000</v>
      </c>
      <c r="J106" s="93">
        <v>120000.0</v>
      </c>
      <c r="K106" s="96">
        <f t="shared" si="4"/>
        <v>0</v>
      </c>
      <c r="L106" s="97"/>
      <c r="M106" s="98"/>
    </row>
    <row r="107" ht="22.5" customHeight="1">
      <c r="A107" s="101">
        <v>954731.0</v>
      </c>
      <c r="B107" s="89">
        <v>45679.0</v>
      </c>
      <c r="C107" s="90" t="s">
        <v>44</v>
      </c>
      <c r="D107" s="91" t="s">
        <v>45</v>
      </c>
      <c r="E107" s="91" t="s">
        <v>46</v>
      </c>
      <c r="F107" s="92" t="s">
        <v>47</v>
      </c>
      <c r="G107" s="93">
        <v>60000.0</v>
      </c>
      <c r="H107" s="94">
        <v>0.0</v>
      </c>
      <c r="I107" s="95">
        <f t="shared" si="3"/>
        <v>60000</v>
      </c>
      <c r="J107" s="93">
        <v>60000.0</v>
      </c>
      <c r="K107" s="96">
        <f t="shared" si="4"/>
        <v>0</v>
      </c>
      <c r="L107" s="97"/>
      <c r="M107" s="98"/>
    </row>
    <row r="108" ht="22.5" customHeight="1">
      <c r="A108" s="88" t="s">
        <v>181</v>
      </c>
      <c r="B108" s="89">
        <v>45679.0</v>
      </c>
      <c r="C108" s="90" t="s">
        <v>44</v>
      </c>
      <c r="D108" s="91" t="s">
        <v>45</v>
      </c>
      <c r="E108" s="91" t="s">
        <v>69</v>
      </c>
      <c r="F108" s="92" t="s">
        <v>47</v>
      </c>
      <c r="G108" s="93">
        <v>35000.0</v>
      </c>
      <c r="H108" s="94">
        <v>0.0</v>
      </c>
      <c r="I108" s="95">
        <f t="shared" si="3"/>
        <v>35000</v>
      </c>
      <c r="J108" s="93">
        <v>35000.0</v>
      </c>
      <c r="K108" s="96">
        <f t="shared" si="4"/>
        <v>0</v>
      </c>
      <c r="L108" s="97"/>
      <c r="M108" s="98"/>
    </row>
    <row r="109" ht="22.5" customHeight="1">
      <c r="A109" s="88" t="s">
        <v>181</v>
      </c>
      <c r="B109" s="89">
        <v>45679.0</v>
      </c>
      <c r="C109" s="90" t="s">
        <v>44</v>
      </c>
      <c r="D109" s="91" t="s">
        <v>45</v>
      </c>
      <c r="E109" s="91" t="s">
        <v>182</v>
      </c>
      <c r="F109" s="92" t="s">
        <v>47</v>
      </c>
      <c r="G109" s="93">
        <v>40000.0</v>
      </c>
      <c r="H109" s="94">
        <v>0.0</v>
      </c>
      <c r="I109" s="95">
        <f t="shared" si="3"/>
        <v>40000</v>
      </c>
      <c r="J109" s="93">
        <v>40000.0</v>
      </c>
      <c r="K109" s="96">
        <f t="shared" si="4"/>
        <v>0</v>
      </c>
      <c r="L109" s="97"/>
      <c r="M109" s="98"/>
    </row>
    <row r="110" ht="22.5" customHeight="1">
      <c r="A110" s="88" t="s">
        <v>183</v>
      </c>
      <c r="B110" s="89">
        <v>45679.0</v>
      </c>
      <c r="C110" s="90" t="s">
        <v>44</v>
      </c>
      <c r="D110" s="91" t="s">
        <v>45</v>
      </c>
      <c r="E110" s="91" t="s">
        <v>119</v>
      </c>
      <c r="F110" s="92" t="s">
        <v>47</v>
      </c>
      <c r="G110" s="93">
        <v>80000.0</v>
      </c>
      <c r="H110" s="94">
        <v>0.0</v>
      </c>
      <c r="I110" s="95">
        <f t="shared" si="3"/>
        <v>80000</v>
      </c>
      <c r="J110" s="93">
        <v>80000.0</v>
      </c>
      <c r="K110" s="96">
        <f t="shared" si="4"/>
        <v>0</v>
      </c>
      <c r="L110" s="97"/>
      <c r="M110" s="98"/>
    </row>
    <row r="111" ht="22.5" customHeight="1">
      <c r="A111" s="88" t="s">
        <v>184</v>
      </c>
      <c r="B111" s="89">
        <v>45679.0</v>
      </c>
      <c r="C111" s="90" t="s">
        <v>44</v>
      </c>
      <c r="D111" s="91" t="s">
        <v>45</v>
      </c>
      <c r="E111" s="91" t="s">
        <v>185</v>
      </c>
      <c r="F111" s="92" t="s">
        <v>47</v>
      </c>
      <c r="G111" s="93">
        <v>5000.0</v>
      </c>
      <c r="H111" s="94">
        <v>0.0</v>
      </c>
      <c r="I111" s="95">
        <f t="shared" si="3"/>
        <v>5000</v>
      </c>
      <c r="J111" s="93">
        <v>5000.0</v>
      </c>
      <c r="K111" s="96">
        <f t="shared" si="4"/>
        <v>0</v>
      </c>
      <c r="L111" s="97"/>
      <c r="M111" s="98"/>
    </row>
    <row r="112" ht="22.5" customHeight="1">
      <c r="A112" s="88" t="s">
        <v>186</v>
      </c>
      <c r="B112" s="89">
        <v>45679.0</v>
      </c>
      <c r="C112" s="90" t="s">
        <v>44</v>
      </c>
      <c r="D112" s="91" t="s">
        <v>45</v>
      </c>
      <c r="E112" s="91" t="s">
        <v>187</v>
      </c>
      <c r="F112" s="92" t="s">
        <v>47</v>
      </c>
      <c r="G112" s="93">
        <v>15000.0</v>
      </c>
      <c r="H112" s="94">
        <v>0.0</v>
      </c>
      <c r="I112" s="95">
        <f t="shared" si="3"/>
        <v>15000</v>
      </c>
      <c r="J112" s="93">
        <v>15000.0</v>
      </c>
      <c r="K112" s="96">
        <f t="shared" si="4"/>
        <v>0</v>
      </c>
      <c r="L112" s="97"/>
      <c r="M112" s="98"/>
    </row>
    <row r="113" ht="22.5" customHeight="1">
      <c r="A113" s="88" t="s">
        <v>188</v>
      </c>
      <c r="B113" s="89">
        <v>45680.0</v>
      </c>
      <c r="C113" s="90" t="s">
        <v>44</v>
      </c>
      <c r="D113" s="91" t="s">
        <v>45</v>
      </c>
      <c r="E113" s="91" t="s">
        <v>49</v>
      </c>
      <c r="F113" s="92" t="s">
        <v>47</v>
      </c>
      <c r="G113" s="93">
        <v>30000.0</v>
      </c>
      <c r="H113" s="94">
        <v>0.0</v>
      </c>
      <c r="I113" s="95">
        <f t="shared" si="3"/>
        <v>30000</v>
      </c>
      <c r="J113" s="93">
        <v>30000.0</v>
      </c>
      <c r="K113" s="96">
        <f t="shared" si="4"/>
        <v>0</v>
      </c>
      <c r="L113" s="97"/>
      <c r="M113" s="98"/>
    </row>
    <row r="114" ht="22.5" customHeight="1">
      <c r="A114" s="88" t="s">
        <v>189</v>
      </c>
      <c r="B114" s="89">
        <v>45680.0</v>
      </c>
      <c r="C114" s="90" t="s">
        <v>44</v>
      </c>
      <c r="D114" s="91" t="s">
        <v>45</v>
      </c>
      <c r="E114" s="91" t="s">
        <v>190</v>
      </c>
      <c r="F114" s="92" t="s">
        <v>47</v>
      </c>
      <c r="G114" s="93">
        <v>70000.0</v>
      </c>
      <c r="H114" s="94">
        <v>0.0</v>
      </c>
      <c r="I114" s="95">
        <f t="shared" si="3"/>
        <v>70000</v>
      </c>
      <c r="J114" s="93">
        <v>70000.0</v>
      </c>
      <c r="K114" s="96">
        <f t="shared" si="4"/>
        <v>0</v>
      </c>
      <c r="L114" s="97"/>
      <c r="M114" s="98"/>
    </row>
    <row r="115" ht="22.5" customHeight="1">
      <c r="A115" s="101">
        <v>954732.0</v>
      </c>
      <c r="B115" s="89">
        <v>45680.0</v>
      </c>
      <c r="C115" s="90" t="s">
        <v>44</v>
      </c>
      <c r="D115" s="91" t="s">
        <v>45</v>
      </c>
      <c r="E115" s="91" t="s">
        <v>191</v>
      </c>
      <c r="F115" s="92" t="s">
        <v>47</v>
      </c>
      <c r="G115" s="93">
        <v>75000.0</v>
      </c>
      <c r="H115" s="94">
        <v>0.0</v>
      </c>
      <c r="I115" s="95">
        <f t="shared" si="3"/>
        <v>75000</v>
      </c>
      <c r="J115" s="93">
        <v>75000.0</v>
      </c>
      <c r="K115" s="96">
        <f t="shared" si="4"/>
        <v>0</v>
      </c>
      <c r="L115" s="97"/>
      <c r="M115" s="98"/>
    </row>
    <row r="116" ht="22.5" customHeight="1">
      <c r="A116" s="101">
        <v>954734.0</v>
      </c>
      <c r="B116" s="89">
        <v>45680.0</v>
      </c>
      <c r="C116" s="90" t="s">
        <v>44</v>
      </c>
      <c r="D116" s="91" t="s">
        <v>45</v>
      </c>
      <c r="E116" s="91" t="s">
        <v>192</v>
      </c>
      <c r="F116" s="92" t="s">
        <v>47</v>
      </c>
      <c r="G116" s="93">
        <v>120000.0</v>
      </c>
      <c r="H116" s="94">
        <v>0.0</v>
      </c>
      <c r="I116" s="95">
        <f t="shared" si="3"/>
        <v>120000</v>
      </c>
      <c r="J116" s="93">
        <v>120000.0</v>
      </c>
      <c r="K116" s="96">
        <f t="shared" si="4"/>
        <v>0</v>
      </c>
      <c r="L116" s="97"/>
      <c r="M116" s="98"/>
    </row>
    <row r="117" ht="22.5" customHeight="1">
      <c r="A117" s="101">
        <v>954730.0</v>
      </c>
      <c r="B117" s="89">
        <v>45680.0</v>
      </c>
      <c r="C117" s="90" t="s">
        <v>44</v>
      </c>
      <c r="D117" s="91" t="s">
        <v>45</v>
      </c>
      <c r="E117" s="91" t="s">
        <v>193</v>
      </c>
      <c r="F117" s="92" t="s">
        <v>47</v>
      </c>
      <c r="G117" s="93">
        <v>120000.0</v>
      </c>
      <c r="H117" s="94">
        <v>0.0</v>
      </c>
      <c r="I117" s="95">
        <f t="shared" si="3"/>
        <v>120000</v>
      </c>
      <c r="J117" s="93">
        <v>120000.0</v>
      </c>
      <c r="K117" s="96">
        <f t="shared" si="4"/>
        <v>0</v>
      </c>
      <c r="L117" s="97"/>
      <c r="M117" s="98"/>
    </row>
    <row r="118" ht="22.5" customHeight="1">
      <c r="A118" s="101">
        <v>954735.0</v>
      </c>
      <c r="B118" s="89">
        <v>45680.0</v>
      </c>
      <c r="C118" s="90" t="s">
        <v>44</v>
      </c>
      <c r="D118" s="91" t="s">
        <v>45</v>
      </c>
      <c r="E118" s="91" t="s">
        <v>194</v>
      </c>
      <c r="F118" s="92" t="s">
        <v>47</v>
      </c>
      <c r="G118" s="93">
        <v>65000.0</v>
      </c>
      <c r="H118" s="94">
        <v>0.0</v>
      </c>
      <c r="I118" s="95">
        <f t="shared" si="3"/>
        <v>65000</v>
      </c>
      <c r="J118" s="93">
        <v>65000.0</v>
      </c>
      <c r="K118" s="96">
        <f t="shared" si="4"/>
        <v>0</v>
      </c>
      <c r="L118" s="97"/>
      <c r="M118" s="98"/>
    </row>
    <row r="119" ht="22.5" customHeight="1">
      <c r="A119" s="101">
        <v>954735.0</v>
      </c>
      <c r="B119" s="89">
        <v>45680.0</v>
      </c>
      <c r="C119" s="90" t="s">
        <v>44</v>
      </c>
      <c r="D119" s="91" t="s">
        <v>45</v>
      </c>
      <c r="E119" s="91" t="s">
        <v>46</v>
      </c>
      <c r="F119" s="92" t="s">
        <v>47</v>
      </c>
      <c r="G119" s="93">
        <v>60000.0</v>
      </c>
      <c r="H119" s="94">
        <v>0.0</v>
      </c>
      <c r="I119" s="95">
        <f t="shared" si="3"/>
        <v>60000</v>
      </c>
      <c r="J119" s="93">
        <v>60000.0</v>
      </c>
      <c r="K119" s="96">
        <f t="shared" si="4"/>
        <v>0</v>
      </c>
      <c r="L119" s="97"/>
      <c r="M119" s="98"/>
    </row>
    <row r="120" ht="22.5" customHeight="1">
      <c r="A120" s="101">
        <v>954733.0</v>
      </c>
      <c r="B120" s="89">
        <v>45680.0</v>
      </c>
      <c r="C120" s="90" t="s">
        <v>44</v>
      </c>
      <c r="D120" s="91" t="s">
        <v>45</v>
      </c>
      <c r="E120" s="91" t="s">
        <v>195</v>
      </c>
      <c r="F120" s="92" t="s">
        <v>47</v>
      </c>
      <c r="G120" s="93">
        <v>15000.0</v>
      </c>
      <c r="H120" s="94">
        <v>0.0</v>
      </c>
      <c r="I120" s="95">
        <f t="shared" si="3"/>
        <v>15000</v>
      </c>
      <c r="J120" s="93">
        <v>15000.0</v>
      </c>
      <c r="K120" s="96">
        <f t="shared" si="4"/>
        <v>0</v>
      </c>
      <c r="L120" s="97"/>
      <c r="M120" s="98"/>
    </row>
    <row r="121" ht="22.5" customHeight="1">
      <c r="A121" s="88" t="s">
        <v>181</v>
      </c>
      <c r="B121" s="89">
        <v>45680.0</v>
      </c>
      <c r="C121" s="90" t="s">
        <v>44</v>
      </c>
      <c r="D121" s="91" t="s">
        <v>45</v>
      </c>
      <c r="E121" s="91" t="s">
        <v>196</v>
      </c>
      <c r="F121" s="92" t="s">
        <v>47</v>
      </c>
      <c r="G121" s="93">
        <v>15000.0</v>
      </c>
      <c r="H121" s="94">
        <v>0.0</v>
      </c>
      <c r="I121" s="95">
        <f t="shared" si="3"/>
        <v>15000</v>
      </c>
      <c r="J121" s="93">
        <v>15000.0</v>
      </c>
      <c r="K121" s="96">
        <f t="shared" si="4"/>
        <v>0</v>
      </c>
      <c r="L121" s="97"/>
      <c r="M121" s="98"/>
    </row>
    <row r="122" ht="22.5" customHeight="1">
      <c r="A122" s="88" t="s">
        <v>181</v>
      </c>
      <c r="B122" s="89">
        <v>45680.0</v>
      </c>
      <c r="C122" s="90" t="s">
        <v>44</v>
      </c>
      <c r="D122" s="91" t="s">
        <v>45</v>
      </c>
      <c r="E122" s="91" t="s">
        <v>197</v>
      </c>
      <c r="F122" s="92" t="s">
        <v>47</v>
      </c>
      <c r="G122" s="93">
        <v>35000.0</v>
      </c>
      <c r="H122" s="94">
        <v>0.0</v>
      </c>
      <c r="I122" s="95">
        <f t="shared" si="3"/>
        <v>35000</v>
      </c>
      <c r="J122" s="93">
        <v>35000.0</v>
      </c>
      <c r="K122" s="96">
        <f t="shared" si="4"/>
        <v>0</v>
      </c>
      <c r="L122" s="97"/>
      <c r="M122" s="98"/>
    </row>
    <row r="123" ht="22.5" customHeight="1">
      <c r="A123" s="101">
        <v>954738.0</v>
      </c>
      <c r="B123" s="89">
        <v>45680.0</v>
      </c>
      <c r="C123" s="90" t="s">
        <v>44</v>
      </c>
      <c r="D123" s="91" t="s">
        <v>45</v>
      </c>
      <c r="E123" s="91" t="s">
        <v>190</v>
      </c>
      <c r="F123" s="92" t="s">
        <v>47</v>
      </c>
      <c r="G123" s="93">
        <v>80000.0</v>
      </c>
      <c r="H123" s="94">
        <v>0.0</v>
      </c>
      <c r="I123" s="95">
        <f t="shared" si="3"/>
        <v>80000</v>
      </c>
      <c r="J123" s="93">
        <v>80000.0</v>
      </c>
      <c r="K123" s="96">
        <f t="shared" si="4"/>
        <v>0</v>
      </c>
      <c r="L123" s="97"/>
      <c r="M123" s="98"/>
    </row>
    <row r="124" ht="22.5" customHeight="1">
      <c r="A124" s="88" t="s">
        <v>198</v>
      </c>
      <c r="B124" s="89">
        <v>45680.0</v>
      </c>
      <c r="C124" s="90" t="s">
        <v>44</v>
      </c>
      <c r="D124" s="91" t="s">
        <v>45</v>
      </c>
      <c r="E124" s="91" t="s">
        <v>199</v>
      </c>
      <c r="F124" s="92" t="s">
        <v>47</v>
      </c>
      <c r="G124" s="93">
        <v>235000.0</v>
      </c>
      <c r="H124" s="94">
        <v>0.0</v>
      </c>
      <c r="I124" s="95">
        <f t="shared" si="3"/>
        <v>235000</v>
      </c>
      <c r="J124" s="93">
        <v>235000.0</v>
      </c>
      <c r="K124" s="96">
        <f t="shared" si="4"/>
        <v>0</v>
      </c>
      <c r="L124" s="97"/>
      <c r="M124" s="98"/>
    </row>
    <row r="125" ht="22.5" customHeight="1">
      <c r="A125" s="88" t="s">
        <v>200</v>
      </c>
      <c r="B125" s="89">
        <v>45680.0</v>
      </c>
      <c r="C125" s="90" t="s">
        <v>44</v>
      </c>
      <c r="D125" s="91" t="s">
        <v>45</v>
      </c>
      <c r="E125" s="91" t="s">
        <v>201</v>
      </c>
      <c r="F125" s="92" t="s">
        <v>47</v>
      </c>
      <c r="G125" s="93">
        <v>10000.0</v>
      </c>
      <c r="H125" s="94">
        <v>0.0</v>
      </c>
      <c r="I125" s="95">
        <f t="shared" si="3"/>
        <v>10000</v>
      </c>
      <c r="J125" s="93">
        <v>10000.0</v>
      </c>
      <c r="K125" s="96">
        <f t="shared" si="4"/>
        <v>0</v>
      </c>
      <c r="L125" s="97"/>
      <c r="M125" s="98"/>
    </row>
    <row r="126" ht="22.5" customHeight="1">
      <c r="A126" s="88" t="s">
        <v>202</v>
      </c>
      <c r="B126" s="89">
        <v>45680.0</v>
      </c>
      <c r="C126" s="90" t="s">
        <v>44</v>
      </c>
      <c r="D126" s="91" t="s">
        <v>45</v>
      </c>
      <c r="E126" s="91" t="s">
        <v>203</v>
      </c>
      <c r="F126" s="92" t="s">
        <v>47</v>
      </c>
      <c r="G126" s="93">
        <v>250000.0</v>
      </c>
      <c r="H126" s="94">
        <v>0.0</v>
      </c>
      <c r="I126" s="95">
        <f t="shared" si="3"/>
        <v>250000</v>
      </c>
      <c r="J126" s="93">
        <v>250000.0</v>
      </c>
      <c r="K126" s="96">
        <f t="shared" si="4"/>
        <v>0</v>
      </c>
      <c r="L126" s="97"/>
      <c r="M126" s="98"/>
    </row>
    <row r="127" ht="22.5" customHeight="1">
      <c r="A127" s="88" t="s">
        <v>204</v>
      </c>
      <c r="B127" s="89">
        <v>45680.0</v>
      </c>
      <c r="C127" s="90" t="s">
        <v>44</v>
      </c>
      <c r="D127" s="91" t="s">
        <v>45</v>
      </c>
      <c r="E127" s="91" t="s">
        <v>205</v>
      </c>
      <c r="F127" s="92" t="s">
        <v>47</v>
      </c>
      <c r="G127" s="93">
        <v>15000.0</v>
      </c>
      <c r="H127" s="94">
        <v>0.0</v>
      </c>
      <c r="I127" s="95">
        <f t="shared" si="3"/>
        <v>15000</v>
      </c>
      <c r="J127" s="93">
        <v>15000.0</v>
      </c>
      <c r="K127" s="96">
        <f t="shared" si="4"/>
        <v>0</v>
      </c>
      <c r="L127" s="97"/>
      <c r="M127" s="98"/>
    </row>
    <row r="128" ht="22.5" customHeight="1">
      <c r="A128" s="88" t="s">
        <v>206</v>
      </c>
      <c r="B128" s="89">
        <v>45680.0</v>
      </c>
      <c r="C128" s="90" t="s">
        <v>44</v>
      </c>
      <c r="D128" s="91" t="s">
        <v>45</v>
      </c>
      <c r="E128" s="91" t="s">
        <v>207</v>
      </c>
      <c r="F128" s="92" t="s">
        <v>47</v>
      </c>
      <c r="G128" s="93">
        <v>645000.0</v>
      </c>
      <c r="H128" s="94">
        <v>0.0</v>
      </c>
      <c r="I128" s="95">
        <f t="shared" si="3"/>
        <v>645000</v>
      </c>
      <c r="J128" s="93">
        <v>645000.0</v>
      </c>
      <c r="K128" s="96">
        <f t="shared" si="4"/>
        <v>0</v>
      </c>
      <c r="L128" s="97"/>
      <c r="M128" s="98"/>
    </row>
    <row r="129" ht="22.5" customHeight="1">
      <c r="A129" s="88" t="s">
        <v>208</v>
      </c>
      <c r="B129" s="89">
        <v>45680.0</v>
      </c>
      <c r="C129" s="90" t="s">
        <v>44</v>
      </c>
      <c r="D129" s="91" t="s">
        <v>45</v>
      </c>
      <c r="E129" s="91" t="s">
        <v>209</v>
      </c>
      <c r="F129" s="92" t="s">
        <v>47</v>
      </c>
      <c r="G129" s="93">
        <v>1000000.0</v>
      </c>
      <c r="H129" s="94">
        <v>0.0</v>
      </c>
      <c r="I129" s="95">
        <f t="shared" si="3"/>
        <v>1000000</v>
      </c>
      <c r="J129" s="93">
        <v>1000000.0</v>
      </c>
      <c r="K129" s="96">
        <f t="shared" si="4"/>
        <v>0</v>
      </c>
      <c r="L129" s="97"/>
      <c r="M129" s="98"/>
    </row>
    <row r="130" ht="22.5" customHeight="1">
      <c r="A130" s="88" t="s">
        <v>206</v>
      </c>
      <c r="B130" s="89">
        <v>45681.0</v>
      </c>
      <c r="C130" s="90" t="s">
        <v>44</v>
      </c>
      <c r="D130" s="91" t="s">
        <v>45</v>
      </c>
      <c r="E130" s="91" t="s">
        <v>210</v>
      </c>
      <c r="F130" s="92" t="s">
        <v>47</v>
      </c>
      <c r="G130" s="93">
        <v>65000.0</v>
      </c>
      <c r="H130" s="94">
        <v>0.0</v>
      </c>
      <c r="I130" s="95">
        <f t="shared" si="3"/>
        <v>65000</v>
      </c>
      <c r="J130" s="93">
        <v>65000.0</v>
      </c>
      <c r="K130" s="96">
        <f t="shared" si="4"/>
        <v>0</v>
      </c>
      <c r="L130" s="97"/>
      <c r="M130" s="98"/>
    </row>
    <row r="131" ht="22.5" customHeight="1">
      <c r="A131" s="101">
        <v>954736.0</v>
      </c>
      <c r="B131" s="89">
        <v>45681.0</v>
      </c>
      <c r="C131" s="90" t="s">
        <v>44</v>
      </c>
      <c r="D131" s="91" t="s">
        <v>45</v>
      </c>
      <c r="E131" s="91" t="s">
        <v>146</v>
      </c>
      <c r="F131" s="92" t="s">
        <v>47</v>
      </c>
      <c r="G131" s="93">
        <v>70000.0</v>
      </c>
      <c r="H131" s="94">
        <v>0.0</v>
      </c>
      <c r="I131" s="95">
        <f t="shared" si="3"/>
        <v>70000</v>
      </c>
      <c r="J131" s="93">
        <v>70000.0</v>
      </c>
      <c r="K131" s="96">
        <f t="shared" si="4"/>
        <v>0</v>
      </c>
      <c r="L131" s="97"/>
      <c r="M131" s="98"/>
    </row>
    <row r="132" ht="22.5" customHeight="1">
      <c r="A132" s="88" t="s">
        <v>211</v>
      </c>
      <c r="B132" s="89">
        <v>45682.0</v>
      </c>
      <c r="C132" s="90" t="s">
        <v>44</v>
      </c>
      <c r="D132" s="91" t="s">
        <v>45</v>
      </c>
      <c r="E132" s="91" t="s">
        <v>212</v>
      </c>
      <c r="F132" s="92" t="s">
        <v>47</v>
      </c>
      <c r="G132" s="93">
        <v>15000.0</v>
      </c>
      <c r="H132" s="94">
        <v>0.0</v>
      </c>
      <c r="I132" s="95">
        <f t="shared" si="3"/>
        <v>15000</v>
      </c>
      <c r="J132" s="93">
        <v>15000.0</v>
      </c>
      <c r="K132" s="96">
        <f t="shared" si="4"/>
        <v>0</v>
      </c>
      <c r="L132" s="97"/>
      <c r="M132" s="98"/>
    </row>
    <row r="133" ht="22.5" customHeight="1">
      <c r="A133" s="88" t="s">
        <v>213</v>
      </c>
      <c r="B133" s="89">
        <v>45682.0</v>
      </c>
      <c r="C133" s="90" t="s">
        <v>44</v>
      </c>
      <c r="D133" s="91" t="s">
        <v>45</v>
      </c>
      <c r="E133" s="91" t="s">
        <v>69</v>
      </c>
      <c r="F133" s="92" t="s">
        <v>47</v>
      </c>
      <c r="G133" s="93">
        <v>35000.0</v>
      </c>
      <c r="H133" s="94">
        <v>0.0</v>
      </c>
      <c r="I133" s="95">
        <f t="shared" si="3"/>
        <v>35000</v>
      </c>
      <c r="J133" s="93">
        <v>35000.0</v>
      </c>
      <c r="K133" s="96">
        <f t="shared" si="4"/>
        <v>0</v>
      </c>
      <c r="L133" s="97"/>
      <c r="M133" s="98"/>
    </row>
    <row r="134" ht="22.5" customHeight="1">
      <c r="A134" s="88" t="s">
        <v>186</v>
      </c>
      <c r="B134" s="89">
        <v>45682.0</v>
      </c>
      <c r="C134" s="90" t="s">
        <v>44</v>
      </c>
      <c r="D134" s="91" t="s">
        <v>45</v>
      </c>
      <c r="E134" s="91" t="s">
        <v>214</v>
      </c>
      <c r="F134" s="92" t="s">
        <v>47</v>
      </c>
      <c r="G134" s="93">
        <v>15000.0</v>
      </c>
      <c r="H134" s="94">
        <v>0.0</v>
      </c>
      <c r="I134" s="95">
        <f t="shared" si="3"/>
        <v>15000</v>
      </c>
      <c r="J134" s="93">
        <v>15000.0</v>
      </c>
      <c r="K134" s="96">
        <f t="shared" si="4"/>
        <v>0</v>
      </c>
      <c r="L134" s="97"/>
      <c r="M134" s="98"/>
    </row>
    <row r="135" ht="22.5" customHeight="1">
      <c r="A135" s="101">
        <v>954737.0</v>
      </c>
      <c r="B135" s="89">
        <v>45682.0</v>
      </c>
      <c r="C135" s="90" t="s">
        <v>44</v>
      </c>
      <c r="D135" s="91" t="s">
        <v>45</v>
      </c>
      <c r="E135" s="91" t="s">
        <v>49</v>
      </c>
      <c r="F135" s="92" t="s">
        <v>47</v>
      </c>
      <c r="G135" s="93">
        <v>30000.0</v>
      </c>
      <c r="H135" s="94">
        <v>0.0</v>
      </c>
      <c r="I135" s="95">
        <f t="shared" si="3"/>
        <v>30000</v>
      </c>
      <c r="J135" s="93">
        <v>30000.0</v>
      </c>
      <c r="K135" s="96">
        <f t="shared" si="4"/>
        <v>0</v>
      </c>
      <c r="L135" s="97"/>
      <c r="M135" s="98"/>
    </row>
    <row r="136" ht="22.5" customHeight="1">
      <c r="A136" s="88" t="s">
        <v>215</v>
      </c>
      <c r="B136" s="89">
        <v>45682.0</v>
      </c>
      <c r="C136" s="90" t="s">
        <v>44</v>
      </c>
      <c r="D136" s="91" t="s">
        <v>57</v>
      </c>
      <c r="E136" s="91" t="s">
        <v>216</v>
      </c>
      <c r="F136" s="92" t="s">
        <v>47</v>
      </c>
      <c r="G136" s="93">
        <v>10000.0</v>
      </c>
      <c r="H136" s="94">
        <v>0.0</v>
      </c>
      <c r="I136" s="95">
        <f t="shared" si="3"/>
        <v>10000</v>
      </c>
      <c r="J136" s="93">
        <v>10000.0</v>
      </c>
      <c r="K136" s="96">
        <f t="shared" si="4"/>
        <v>0</v>
      </c>
      <c r="L136" s="97"/>
      <c r="M136" s="98"/>
    </row>
    <row r="137" ht="22.5" customHeight="1">
      <c r="A137" s="88" t="s">
        <v>217</v>
      </c>
      <c r="B137" s="89">
        <v>45683.0</v>
      </c>
      <c r="C137" s="90" t="s">
        <v>44</v>
      </c>
      <c r="D137" s="91" t="s">
        <v>45</v>
      </c>
      <c r="E137" s="91" t="s">
        <v>92</v>
      </c>
      <c r="F137" s="92" t="s">
        <v>47</v>
      </c>
      <c r="G137" s="93">
        <v>50000.0</v>
      </c>
      <c r="H137" s="94">
        <v>0.0</v>
      </c>
      <c r="I137" s="95">
        <f t="shared" si="3"/>
        <v>50000</v>
      </c>
      <c r="J137" s="93">
        <v>50000.0</v>
      </c>
      <c r="K137" s="96">
        <f t="shared" si="4"/>
        <v>0</v>
      </c>
      <c r="L137" s="97"/>
      <c r="M137" s="98"/>
    </row>
    <row r="138" ht="22.5" customHeight="1">
      <c r="A138" s="88" t="s">
        <v>218</v>
      </c>
      <c r="B138" s="89">
        <v>45683.0</v>
      </c>
      <c r="C138" s="90" t="s">
        <v>44</v>
      </c>
      <c r="D138" s="91" t="s">
        <v>160</v>
      </c>
      <c r="E138" s="91" t="s">
        <v>219</v>
      </c>
      <c r="F138" s="92" t="s">
        <v>47</v>
      </c>
      <c r="G138" s="93">
        <v>60000.0</v>
      </c>
      <c r="H138" s="94">
        <v>0.0</v>
      </c>
      <c r="I138" s="95">
        <f t="shared" si="3"/>
        <v>60000</v>
      </c>
      <c r="J138" s="93">
        <v>60000.0</v>
      </c>
      <c r="K138" s="96">
        <f t="shared" si="4"/>
        <v>0</v>
      </c>
      <c r="L138" s="97"/>
      <c r="M138" s="98"/>
    </row>
    <row r="139" ht="22.5" customHeight="1">
      <c r="A139" s="88" t="s">
        <v>52</v>
      </c>
      <c r="B139" s="89">
        <v>45683.0</v>
      </c>
      <c r="C139" s="90" t="s">
        <v>44</v>
      </c>
      <c r="D139" s="91" t="s">
        <v>45</v>
      </c>
      <c r="E139" s="91" t="s">
        <v>128</v>
      </c>
      <c r="F139" s="92" t="s">
        <v>47</v>
      </c>
      <c r="G139" s="93">
        <v>10000.0</v>
      </c>
      <c r="H139" s="94">
        <v>0.0</v>
      </c>
      <c r="I139" s="95">
        <f t="shared" si="3"/>
        <v>10000</v>
      </c>
      <c r="J139" s="93">
        <v>10000.0</v>
      </c>
      <c r="K139" s="96">
        <f t="shared" si="4"/>
        <v>0</v>
      </c>
      <c r="L139" s="97"/>
      <c r="M139" s="98"/>
    </row>
    <row r="140" ht="22.5" customHeight="1">
      <c r="A140" s="88" t="s">
        <v>220</v>
      </c>
      <c r="B140" s="89">
        <v>45683.0</v>
      </c>
      <c r="C140" s="90" t="s">
        <v>44</v>
      </c>
      <c r="D140" s="91" t="s">
        <v>45</v>
      </c>
      <c r="E140" s="91" t="s">
        <v>221</v>
      </c>
      <c r="F140" s="92" t="s">
        <v>47</v>
      </c>
      <c r="G140" s="93">
        <v>15000.0</v>
      </c>
      <c r="H140" s="94">
        <v>0.0</v>
      </c>
      <c r="I140" s="95">
        <f t="shared" si="3"/>
        <v>15000</v>
      </c>
      <c r="J140" s="93">
        <v>15000.0</v>
      </c>
      <c r="K140" s="96">
        <f t="shared" si="4"/>
        <v>0</v>
      </c>
      <c r="L140" s="97"/>
      <c r="M140" s="98"/>
    </row>
    <row r="141" ht="22.5" customHeight="1">
      <c r="A141" s="88" t="s">
        <v>222</v>
      </c>
      <c r="B141" s="89">
        <v>45683.0</v>
      </c>
      <c r="C141" s="90" t="s">
        <v>44</v>
      </c>
      <c r="D141" s="91" t="s">
        <v>45</v>
      </c>
      <c r="E141" s="91" t="s">
        <v>123</v>
      </c>
      <c r="F141" s="92" t="s">
        <v>47</v>
      </c>
      <c r="G141" s="93">
        <v>28000.0</v>
      </c>
      <c r="H141" s="94">
        <v>0.0</v>
      </c>
      <c r="I141" s="95">
        <f t="shared" si="3"/>
        <v>28000</v>
      </c>
      <c r="J141" s="93">
        <v>28000.0</v>
      </c>
      <c r="K141" s="96">
        <f t="shared" si="4"/>
        <v>0</v>
      </c>
      <c r="L141" s="97"/>
      <c r="M141" s="102"/>
    </row>
    <row r="142" ht="22.5" customHeight="1">
      <c r="A142" s="88" t="s">
        <v>223</v>
      </c>
      <c r="B142" s="89">
        <v>45683.0</v>
      </c>
      <c r="C142" s="90" t="s">
        <v>44</v>
      </c>
      <c r="D142" s="91" t="s">
        <v>224</v>
      </c>
      <c r="E142" s="91" t="s">
        <v>225</v>
      </c>
      <c r="F142" s="92" t="s">
        <v>47</v>
      </c>
      <c r="G142" s="93">
        <v>850000.0</v>
      </c>
      <c r="H142" s="94">
        <v>0.0</v>
      </c>
      <c r="I142" s="95">
        <f t="shared" si="3"/>
        <v>850000</v>
      </c>
      <c r="J142" s="96">
        <v>850000.0</v>
      </c>
      <c r="K142" s="96">
        <f t="shared" si="4"/>
        <v>0</v>
      </c>
      <c r="L142" s="97"/>
      <c r="M142" s="98"/>
    </row>
    <row r="143" ht="22.5" customHeight="1">
      <c r="A143" s="101">
        <v>154.0</v>
      </c>
      <c r="B143" s="89">
        <v>45684.0</v>
      </c>
      <c r="C143" s="90" t="s">
        <v>44</v>
      </c>
      <c r="D143" s="91" t="s">
        <v>224</v>
      </c>
      <c r="E143" s="91" t="s">
        <v>226</v>
      </c>
      <c r="F143" s="92" t="s">
        <v>47</v>
      </c>
      <c r="G143" s="93">
        <v>512000.0</v>
      </c>
      <c r="H143" s="94">
        <v>12000.0</v>
      </c>
      <c r="I143" s="95">
        <f t="shared" si="3"/>
        <v>500000</v>
      </c>
      <c r="J143" s="93">
        <v>500000.0</v>
      </c>
      <c r="K143" s="96">
        <f t="shared" si="4"/>
        <v>0</v>
      </c>
      <c r="L143" s="97"/>
      <c r="M143" s="98"/>
    </row>
    <row r="144" ht="22.5" customHeight="1">
      <c r="A144" s="88" t="s">
        <v>227</v>
      </c>
      <c r="B144" s="89">
        <v>45684.0</v>
      </c>
      <c r="C144" s="90" t="s">
        <v>44</v>
      </c>
      <c r="D144" s="91" t="s">
        <v>45</v>
      </c>
      <c r="E144" s="91" t="s">
        <v>228</v>
      </c>
      <c r="F144" s="92" t="s">
        <v>47</v>
      </c>
      <c r="G144" s="93">
        <v>15000.0</v>
      </c>
      <c r="H144" s="94">
        <v>0.0</v>
      </c>
      <c r="I144" s="95">
        <f t="shared" si="3"/>
        <v>15000</v>
      </c>
      <c r="J144" s="93">
        <v>15000.0</v>
      </c>
      <c r="K144" s="96">
        <f t="shared" si="4"/>
        <v>0</v>
      </c>
      <c r="L144" s="97"/>
      <c r="M144" s="98"/>
    </row>
    <row r="145" ht="22.5" customHeight="1">
      <c r="A145" s="88" t="s">
        <v>229</v>
      </c>
      <c r="B145" s="89">
        <v>45684.0</v>
      </c>
      <c r="C145" s="90" t="s">
        <v>44</v>
      </c>
      <c r="D145" s="91" t="s">
        <v>230</v>
      </c>
      <c r="E145" s="91" t="s">
        <v>49</v>
      </c>
      <c r="F145" s="92" t="s">
        <v>47</v>
      </c>
      <c r="G145" s="93">
        <v>30000.0</v>
      </c>
      <c r="H145" s="94">
        <v>0.0</v>
      </c>
      <c r="I145" s="95">
        <f t="shared" si="3"/>
        <v>30000</v>
      </c>
      <c r="J145" s="93">
        <v>30000.0</v>
      </c>
      <c r="K145" s="96">
        <f t="shared" si="4"/>
        <v>0</v>
      </c>
      <c r="L145" s="97"/>
      <c r="M145" s="98"/>
    </row>
    <row r="146" ht="22.5" customHeight="1">
      <c r="A146" s="88" t="s">
        <v>231</v>
      </c>
      <c r="B146" s="89">
        <v>45684.0</v>
      </c>
      <c r="C146" s="90" t="s">
        <v>44</v>
      </c>
      <c r="D146" s="91" t="s">
        <v>45</v>
      </c>
      <c r="E146" s="91" t="s">
        <v>232</v>
      </c>
      <c r="F146" s="92" t="s">
        <v>47</v>
      </c>
      <c r="G146" s="93">
        <v>8000.0</v>
      </c>
      <c r="H146" s="94">
        <v>0.0</v>
      </c>
      <c r="I146" s="95">
        <f t="shared" si="3"/>
        <v>8000</v>
      </c>
      <c r="J146" s="93">
        <v>8000.0</v>
      </c>
      <c r="K146" s="96">
        <f t="shared" si="4"/>
        <v>0</v>
      </c>
      <c r="L146" s="97"/>
      <c r="M146" s="98"/>
    </row>
    <row r="147" ht="22.5" customHeight="1">
      <c r="A147" s="88" t="s">
        <v>233</v>
      </c>
      <c r="B147" s="89">
        <v>45684.0</v>
      </c>
      <c r="C147" s="90" t="s">
        <v>44</v>
      </c>
      <c r="D147" s="91" t="s">
        <v>45</v>
      </c>
      <c r="E147" s="91" t="s">
        <v>234</v>
      </c>
      <c r="F147" s="92" t="s">
        <v>47</v>
      </c>
      <c r="G147" s="93">
        <v>60000.0</v>
      </c>
      <c r="H147" s="94">
        <v>0.0</v>
      </c>
      <c r="I147" s="95">
        <f t="shared" si="3"/>
        <v>60000</v>
      </c>
      <c r="J147" s="93">
        <v>60000.0</v>
      </c>
      <c r="K147" s="96">
        <f t="shared" si="4"/>
        <v>0</v>
      </c>
      <c r="L147" s="97"/>
      <c r="M147" s="98"/>
    </row>
    <row r="148" ht="22.5" customHeight="1">
      <c r="A148" s="101">
        <v>202.0</v>
      </c>
      <c r="B148" s="89">
        <v>45684.0</v>
      </c>
      <c r="C148" s="90" t="s">
        <v>44</v>
      </c>
      <c r="D148" s="91" t="s">
        <v>45</v>
      </c>
      <c r="E148" s="91" t="s">
        <v>235</v>
      </c>
      <c r="F148" s="92" t="s">
        <v>47</v>
      </c>
      <c r="G148" s="93">
        <v>60000.0</v>
      </c>
      <c r="H148" s="94">
        <v>0.0</v>
      </c>
      <c r="I148" s="95">
        <f t="shared" si="3"/>
        <v>60000</v>
      </c>
      <c r="J148" s="93">
        <v>60000.0</v>
      </c>
      <c r="K148" s="96">
        <f t="shared" si="4"/>
        <v>0</v>
      </c>
      <c r="L148" s="97"/>
      <c r="M148" s="98"/>
    </row>
    <row r="149" ht="22.5" customHeight="1">
      <c r="A149" s="88" t="s">
        <v>236</v>
      </c>
      <c r="B149" s="89">
        <v>45684.0</v>
      </c>
      <c r="C149" s="90" t="s">
        <v>44</v>
      </c>
      <c r="D149" s="91" t="s">
        <v>237</v>
      </c>
      <c r="E149" s="91" t="s">
        <v>238</v>
      </c>
      <c r="F149" s="92" t="s">
        <v>47</v>
      </c>
      <c r="G149" s="93">
        <v>45000.0</v>
      </c>
      <c r="H149" s="94">
        <v>0.0</v>
      </c>
      <c r="I149" s="95">
        <f t="shared" si="3"/>
        <v>45000</v>
      </c>
      <c r="J149" s="93">
        <v>45000.0</v>
      </c>
      <c r="K149" s="96">
        <f t="shared" si="4"/>
        <v>0</v>
      </c>
      <c r="L149" s="97"/>
      <c r="M149" s="98"/>
    </row>
    <row r="150" ht="22.5" customHeight="1">
      <c r="A150" s="88" t="s">
        <v>239</v>
      </c>
      <c r="B150" s="89">
        <v>45685.0</v>
      </c>
      <c r="C150" s="90" t="s">
        <v>44</v>
      </c>
      <c r="D150" s="91" t="s">
        <v>45</v>
      </c>
      <c r="E150" s="91" t="s">
        <v>240</v>
      </c>
      <c r="F150" s="92" t="s">
        <v>47</v>
      </c>
      <c r="G150" s="93">
        <v>50000.0</v>
      </c>
      <c r="H150" s="94">
        <v>0.0</v>
      </c>
      <c r="I150" s="95">
        <f t="shared" si="3"/>
        <v>50000</v>
      </c>
      <c r="J150" s="93">
        <v>50000.0</v>
      </c>
      <c r="K150" s="96">
        <f t="shared" si="4"/>
        <v>0</v>
      </c>
      <c r="L150" s="97"/>
      <c r="M150" s="98"/>
    </row>
    <row r="151" ht="22.5" customHeight="1">
      <c r="A151" s="88" t="s">
        <v>241</v>
      </c>
      <c r="B151" s="89">
        <v>45685.0</v>
      </c>
      <c r="C151" s="90" t="s">
        <v>44</v>
      </c>
      <c r="D151" s="91" t="s">
        <v>45</v>
      </c>
      <c r="E151" s="91" t="s">
        <v>242</v>
      </c>
      <c r="F151" s="92" t="s">
        <v>47</v>
      </c>
      <c r="G151" s="93">
        <v>80000.0</v>
      </c>
      <c r="H151" s="94">
        <v>0.0</v>
      </c>
      <c r="I151" s="95">
        <f t="shared" si="3"/>
        <v>80000</v>
      </c>
      <c r="J151" s="93">
        <v>80000.0</v>
      </c>
      <c r="K151" s="96">
        <f t="shared" si="4"/>
        <v>0</v>
      </c>
      <c r="L151" s="97"/>
      <c r="M151" s="98"/>
    </row>
    <row r="152" ht="22.5" customHeight="1">
      <c r="A152" s="88" t="s">
        <v>243</v>
      </c>
      <c r="B152" s="89">
        <v>45685.0</v>
      </c>
      <c r="C152" s="90" t="s">
        <v>44</v>
      </c>
      <c r="D152" s="91" t="s">
        <v>57</v>
      </c>
      <c r="E152" s="91" t="s">
        <v>244</v>
      </c>
      <c r="F152" s="92" t="s">
        <v>47</v>
      </c>
      <c r="G152" s="93">
        <v>900000.0</v>
      </c>
      <c r="H152" s="94">
        <v>0.0</v>
      </c>
      <c r="I152" s="95">
        <f t="shared" si="3"/>
        <v>900000</v>
      </c>
      <c r="J152" s="93">
        <v>900000.0</v>
      </c>
      <c r="K152" s="96">
        <f t="shared" si="4"/>
        <v>0</v>
      </c>
      <c r="L152" s="97"/>
      <c r="M152" s="98"/>
    </row>
    <row r="153" ht="22.5" customHeight="1">
      <c r="A153" s="88" t="s">
        <v>245</v>
      </c>
      <c r="B153" s="89">
        <v>45685.0</v>
      </c>
      <c r="C153" s="90" t="s">
        <v>44</v>
      </c>
      <c r="D153" s="91" t="s">
        <v>57</v>
      </c>
      <c r="E153" s="91" t="s">
        <v>246</v>
      </c>
      <c r="F153" s="92" t="s">
        <v>47</v>
      </c>
      <c r="G153" s="93">
        <v>100000.0</v>
      </c>
      <c r="H153" s="94">
        <v>0.0</v>
      </c>
      <c r="I153" s="95">
        <f t="shared" si="3"/>
        <v>100000</v>
      </c>
      <c r="J153" s="93">
        <v>100000.0</v>
      </c>
      <c r="K153" s="96">
        <f t="shared" si="4"/>
        <v>0</v>
      </c>
      <c r="L153" s="97"/>
      <c r="M153" s="98"/>
    </row>
    <row r="154" ht="22.5" customHeight="1">
      <c r="A154" s="101">
        <v>939257.0</v>
      </c>
      <c r="B154" s="89">
        <v>45686.0</v>
      </c>
      <c r="C154" s="90" t="s">
        <v>44</v>
      </c>
      <c r="D154" s="91" t="s">
        <v>45</v>
      </c>
      <c r="E154" s="91" t="s">
        <v>247</v>
      </c>
      <c r="F154" s="92" t="s">
        <v>47</v>
      </c>
      <c r="G154" s="93">
        <v>375000.0</v>
      </c>
      <c r="H154" s="94">
        <v>0.0</v>
      </c>
      <c r="I154" s="95">
        <f t="shared" si="3"/>
        <v>375000</v>
      </c>
      <c r="J154" s="93">
        <v>375000.0</v>
      </c>
      <c r="K154" s="96">
        <f t="shared" si="4"/>
        <v>0</v>
      </c>
      <c r="L154" s="97"/>
      <c r="M154" s="98"/>
    </row>
    <row r="155" ht="22.5" customHeight="1">
      <c r="A155" s="88" t="s">
        <v>248</v>
      </c>
      <c r="B155" s="89">
        <v>45686.0</v>
      </c>
      <c r="C155" s="90" t="s">
        <v>44</v>
      </c>
      <c r="D155" s="91" t="s">
        <v>45</v>
      </c>
      <c r="E155" s="91" t="s">
        <v>249</v>
      </c>
      <c r="F155" s="92" t="s">
        <v>47</v>
      </c>
      <c r="G155" s="93">
        <v>10000.0</v>
      </c>
      <c r="H155" s="94">
        <v>0.0</v>
      </c>
      <c r="I155" s="95">
        <f t="shared" si="3"/>
        <v>10000</v>
      </c>
      <c r="J155" s="93">
        <v>10000.0</v>
      </c>
      <c r="K155" s="96">
        <f t="shared" si="4"/>
        <v>0</v>
      </c>
      <c r="L155" s="97"/>
      <c r="M155" s="98"/>
    </row>
    <row r="156" ht="22.5" customHeight="1">
      <c r="A156" s="88" t="s">
        <v>250</v>
      </c>
      <c r="B156" s="89">
        <v>45686.0</v>
      </c>
      <c r="C156" s="90" t="s">
        <v>44</v>
      </c>
      <c r="D156" s="91" t="s">
        <v>45</v>
      </c>
      <c r="E156" s="91" t="s">
        <v>251</v>
      </c>
      <c r="F156" s="92" t="s">
        <v>47</v>
      </c>
      <c r="G156" s="93">
        <v>100000.0</v>
      </c>
      <c r="H156" s="94">
        <v>0.0</v>
      </c>
      <c r="I156" s="95">
        <f t="shared" si="3"/>
        <v>100000</v>
      </c>
      <c r="J156" s="93">
        <v>100000.0</v>
      </c>
      <c r="K156" s="96">
        <f t="shared" si="4"/>
        <v>0</v>
      </c>
      <c r="L156" s="97"/>
      <c r="M156" s="98"/>
    </row>
    <row r="157" ht="22.5" customHeight="1">
      <c r="A157" s="101">
        <v>954750.0</v>
      </c>
      <c r="B157" s="89">
        <v>45686.0</v>
      </c>
      <c r="C157" s="90" t="s">
        <v>44</v>
      </c>
      <c r="D157" s="91" t="s">
        <v>45</v>
      </c>
      <c r="E157" s="91" t="s">
        <v>165</v>
      </c>
      <c r="F157" s="92" t="s">
        <v>47</v>
      </c>
      <c r="G157" s="93">
        <v>10000.0</v>
      </c>
      <c r="H157" s="94">
        <v>0.0</v>
      </c>
      <c r="I157" s="95">
        <f t="shared" si="3"/>
        <v>10000</v>
      </c>
      <c r="J157" s="93">
        <v>10000.0</v>
      </c>
      <c r="K157" s="96">
        <f t="shared" si="4"/>
        <v>0</v>
      </c>
      <c r="L157" s="97"/>
      <c r="M157" s="98"/>
    </row>
    <row r="158" ht="22.5" customHeight="1">
      <c r="A158" s="88" t="s">
        <v>252</v>
      </c>
      <c r="B158" s="89">
        <v>45686.0</v>
      </c>
      <c r="C158" s="90" t="s">
        <v>44</v>
      </c>
      <c r="D158" s="91" t="s">
        <v>45</v>
      </c>
      <c r="E158" s="91" t="s">
        <v>253</v>
      </c>
      <c r="F158" s="92" t="s">
        <v>47</v>
      </c>
      <c r="G158" s="93">
        <v>5000.0</v>
      </c>
      <c r="H158" s="94">
        <v>0.0</v>
      </c>
      <c r="I158" s="95">
        <f t="shared" si="3"/>
        <v>5000</v>
      </c>
      <c r="J158" s="93">
        <v>5000.0</v>
      </c>
      <c r="K158" s="96">
        <f t="shared" si="4"/>
        <v>0</v>
      </c>
      <c r="L158" s="97"/>
      <c r="M158" s="98"/>
    </row>
    <row r="159" ht="22.5" customHeight="1">
      <c r="A159" s="88" t="s">
        <v>254</v>
      </c>
      <c r="B159" s="89">
        <v>45687.0</v>
      </c>
      <c r="C159" s="90" t="s">
        <v>44</v>
      </c>
      <c r="D159" s="91" t="s">
        <v>45</v>
      </c>
      <c r="E159" s="91" t="s">
        <v>255</v>
      </c>
      <c r="F159" s="92" t="s">
        <v>47</v>
      </c>
      <c r="G159" s="93">
        <v>60000.0</v>
      </c>
      <c r="H159" s="94">
        <v>0.0</v>
      </c>
      <c r="I159" s="95">
        <f t="shared" si="3"/>
        <v>60000</v>
      </c>
      <c r="J159" s="96">
        <v>60000.0</v>
      </c>
      <c r="K159" s="96">
        <f t="shared" si="4"/>
        <v>0</v>
      </c>
      <c r="L159" s="97"/>
      <c r="M159" s="98"/>
    </row>
    <row r="160" ht="22.5" customHeight="1">
      <c r="A160" s="88" t="s">
        <v>256</v>
      </c>
      <c r="B160" s="89">
        <v>45687.0</v>
      </c>
      <c r="C160" s="90" t="s">
        <v>44</v>
      </c>
      <c r="D160" s="91" t="s">
        <v>45</v>
      </c>
      <c r="E160" s="91" t="s">
        <v>257</v>
      </c>
      <c r="F160" s="92" t="s">
        <v>47</v>
      </c>
      <c r="G160" s="93">
        <v>80000.0</v>
      </c>
      <c r="H160" s="94">
        <v>0.0</v>
      </c>
      <c r="I160" s="95">
        <f t="shared" si="3"/>
        <v>80000</v>
      </c>
      <c r="J160" s="96">
        <v>80000.0</v>
      </c>
      <c r="K160" s="96">
        <f t="shared" si="4"/>
        <v>0</v>
      </c>
      <c r="L160" s="97"/>
      <c r="M160" s="98"/>
    </row>
    <row r="161" ht="22.5" customHeight="1">
      <c r="A161" s="88" t="s">
        <v>258</v>
      </c>
      <c r="B161" s="89">
        <v>45687.0</v>
      </c>
      <c r="C161" s="90" t="s">
        <v>44</v>
      </c>
      <c r="D161" s="91" t="s">
        <v>45</v>
      </c>
      <c r="E161" s="91" t="s">
        <v>259</v>
      </c>
      <c r="F161" s="92" t="s">
        <v>47</v>
      </c>
      <c r="G161" s="93">
        <v>50000.0</v>
      </c>
      <c r="H161" s="94">
        <v>0.0</v>
      </c>
      <c r="I161" s="95">
        <f t="shared" si="3"/>
        <v>50000</v>
      </c>
      <c r="J161" s="93">
        <v>50000.0</v>
      </c>
      <c r="K161" s="96">
        <f t="shared" si="4"/>
        <v>0</v>
      </c>
      <c r="L161" s="97"/>
      <c r="M161" s="102"/>
    </row>
    <row r="162" ht="22.5" customHeight="1">
      <c r="A162" s="101">
        <v>954743.0</v>
      </c>
      <c r="B162" s="89">
        <v>45687.0</v>
      </c>
      <c r="C162" s="90" t="s">
        <v>44</v>
      </c>
      <c r="D162" s="91" t="s">
        <v>45</v>
      </c>
      <c r="E162" s="91" t="s">
        <v>260</v>
      </c>
      <c r="F162" s="92" t="s">
        <v>47</v>
      </c>
      <c r="G162" s="93">
        <v>30000.0</v>
      </c>
      <c r="H162" s="94">
        <v>0.0</v>
      </c>
      <c r="I162" s="95">
        <f t="shared" si="3"/>
        <v>30000</v>
      </c>
      <c r="J162" s="93">
        <v>30000.0</v>
      </c>
      <c r="K162" s="96">
        <f t="shared" si="4"/>
        <v>0</v>
      </c>
      <c r="L162" s="97"/>
      <c r="M162" s="102"/>
    </row>
    <row r="163" ht="22.5" customHeight="1">
      <c r="A163" s="88" t="s">
        <v>261</v>
      </c>
      <c r="B163" s="89">
        <v>45687.0</v>
      </c>
      <c r="C163" s="90" t="s">
        <v>44</v>
      </c>
      <c r="D163" s="91" t="s">
        <v>45</v>
      </c>
      <c r="E163" s="91" t="s">
        <v>262</v>
      </c>
      <c r="F163" s="92" t="s">
        <v>47</v>
      </c>
      <c r="G163" s="93">
        <v>10000.0</v>
      </c>
      <c r="H163" s="94">
        <v>0.0</v>
      </c>
      <c r="I163" s="95">
        <f t="shared" si="3"/>
        <v>10000</v>
      </c>
      <c r="J163" s="93">
        <v>10000.0</v>
      </c>
      <c r="K163" s="96">
        <f t="shared" si="4"/>
        <v>0</v>
      </c>
      <c r="L163" s="97"/>
      <c r="M163" s="98"/>
    </row>
    <row r="164" ht="22.5" customHeight="1">
      <c r="A164" s="88" t="s">
        <v>263</v>
      </c>
      <c r="B164" s="89">
        <v>45687.0</v>
      </c>
      <c r="C164" s="90" t="s">
        <v>44</v>
      </c>
      <c r="D164" s="91" t="s">
        <v>45</v>
      </c>
      <c r="E164" s="91" t="s">
        <v>92</v>
      </c>
      <c r="F164" s="92" t="s">
        <v>47</v>
      </c>
      <c r="G164" s="93">
        <v>125000.0</v>
      </c>
      <c r="H164" s="94">
        <v>0.0</v>
      </c>
      <c r="I164" s="95">
        <f t="shared" si="3"/>
        <v>125000</v>
      </c>
      <c r="J164" s="93">
        <v>125000.0</v>
      </c>
      <c r="K164" s="96">
        <f t="shared" si="4"/>
        <v>0</v>
      </c>
      <c r="L164" s="97"/>
      <c r="M164" s="98"/>
    </row>
    <row r="165" ht="22.5" customHeight="1">
      <c r="A165" s="88" t="s">
        <v>264</v>
      </c>
      <c r="B165" s="89">
        <v>45688.0</v>
      </c>
      <c r="C165" s="103" t="s">
        <v>83</v>
      </c>
      <c r="D165" s="91" t="s">
        <v>45</v>
      </c>
      <c r="E165" s="91" t="s">
        <v>265</v>
      </c>
      <c r="F165" s="92" t="s">
        <v>47</v>
      </c>
      <c r="G165" s="93">
        <v>25000.0</v>
      </c>
      <c r="H165" s="94">
        <v>0.0</v>
      </c>
      <c r="I165" s="95">
        <f t="shared" si="3"/>
        <v>25000</v>
      </c>
      <c r="J165" s="93">
        <v>0.0</v>
      </c>
      <c r="K165" s="104">
        <f t="shared" si="4"/>
        <v>25000</v>
      </c>
      <c r="L165" s="97"/>
      <c r="M165" s="98"/>
    </row>
    <row r="166" ht="22.5" customHeight="1">
      <c r="A166" s="88" t="s">
        <v>266</v>
      </c>
      <c r="B166" s="89">
        <v>45688.0</v>
      </c>
      <c r="C166" s="90" t="s">
        <v>44</v>
      </c>
      <c r="D166" s="91" t="s">
        <v>45</v>
      </c>
      <c r="E166" s="91" t="s">
        <v>92</v>
      </c>
      <c r="F166" s="92" t="s">
        <v>47</v>
      </c>
      <c r="G166" s="93">
        <v>125000.0</v>
      </c>
      <c r="H166" s="94">
        <v>0.0</v>
      </c>
      <c r="I166" s="95">
        <f t="shared" si="3"/>
        <v>125000</v>
      </c>
      <c r="J166" s="93">
        <v>125000.0</v>
      </c>
      <c r="K166" s="96">
        <f t="shared" si="4"/>
        <v>0</v>
      </c>
      <c r="L166" s="97"/>
      <c r="M166" s="98"/>
    </row>
    <row r="167" ht="22.5" customHeight="1">
      <c r="A167" s="101">
        <v>954748.0</v>
      </c>
      <c r="B167" s="89">
        <v>45688.0</v>
      </c>
      <c r="C167" s="90" t="s">
        <v>44</v>
      </c>
      <c r="D167" s="91" t="s">
        <v>45</v>
      </c>
      <c r="E167" s="91" t="s">
        <v>69</v>
      </c>
      <c r="F167" s="92" t="s">
        <v>47</v>
      </c>
      <c r="G167" s="93">
        <v>35000.0</v>
      </c>
      <c r="H167" s="94">
        <v>0.0</v>
      </c>
      <c r="I167" s="95">
        <f t="shared" si="3"/>
        <v>35000</v>
      </c>
      <c r="J167" s="93">
        <v>35000.0</v>
      </c>
      <c r="K167" s="96">
        <f t="shared" si="4"/>
        <v>0</v>
      </c>
      <c r="L167" s="97"/>
      <c r="M167" s="98"/>
    </row>
    <row r="168" ht="22.5" customHeight="1">
      <c r="A168" s="101">
        <v>954747.0</v>
      </c>
      <c r="B168" s="89">
        <v>45688.0</v>
      </c>
      <c r="C168" s="90" t="s">
        <v>44</v>
      </c>
      <c r="D168" s="91" t="s">
        <v>45</v>
      </c>
      <c r="E168" s="91" t="s">
        <v>69</v>
      </c>
      <c r="F168" s="92" t="s">
        <v>47</v>
      </c>
      <c r="G168" s="93">
        <v>35000.0</v>
      </c>
      <c r="H168" s="94">
        <v>0.0</v>
      </c>
      <c r="I168" s="95">
        <f t="shared" si="3"/>
        <v>35000</v>
      </c>
      <c r="J168" s="93">
        <v>35000.0</v>
      </c>
      <c r="K168" s="96">
        <f t="shared" si="4"/>
        <v>0</v>
      </c>
      <c r="L168" s="97"/>
      <c r="M168" s="98"/>
    </row>
    <row r="169" ht="22.5" customHeight="1">
      <c r="A169" s="101">
        <v>954747.0</v>
      </c>
      <c r="B169" s="89">
        <v>45688.0</v>
      </c>
      <c r="C169" s="90" t="s">
        <v>44</v>
      </c>
      <c r="D169" s="91" t="s">
        <v>45</v>
      </c>
      <c r="E169" s="91" t="s">
        <v>69</v>
      </c>
      <c r="F169" s="92" t="s">
        <v>47</v>
      </c>
      <c r="G169" s="93">
        <v>35000.0</v>
      </c>
      <c r="H169" s="94">
        <v>0.0</v>
      </c>
      <c r="I169" s="95">
        <f t="shared" si="3"/>
        <v>35000</v>
      </c>
      <c r="J169" s="93">
        <v>35000.0</v>
      </c>
      <c r="K169" s="96">
        <f t="shared" si="4"/>
        <v>0</v>
      </c>
      <c r="L169" s="97"/>
      <c r="M169" s="98"/>
    </row>
    <row r="170" ht="22.5" customHeight="1">
      <c r="A170" s="101">
        <v>201.0</v>
      </c>
      <c r="B170" s="89">
        <v>45689.0</v>
      </c>
      <c r="C170" s="90" t="s">
        <v>44</v>
      </c>
      <c r="D170" s="91" t="s">
        <v>57</v>
      </c>
      <c r="E170" s="91" t="s">
        <v>267</v>
      </c>
      <c r="F170" s="92" t="s">
        <v>47</v>
      </c>
      <c r="G170" s="93">
        <v>20000.0</v>
      </c>
      <c r="H170" s="94">
        <v>0.0</v>
      </c>
      <c r="I170" s="95">
        <f t="shared" si="3"/>
        <v>20000</v>
      </c>
      <c r="J170" s="93">
        <v>20000.0</v>
      </c>
      <c r="K170" s="96">
        <f t="shared" si="4"/>
        <v>0</v>
      </c>
      <c r="L170" s="97"/>
      <c r="M170" s="98"/>
    </row>
    <row r="171" ht="22.5" customHeight="1">
      <c r="A171" s="101">
        <v>939253.0</v>
      </c>
      <c r="B171" s="89">
        <v>45690.0</v>
      </c>
      <c r="C171" s="90" t="s">
        <v>44</v>
      </c>
      <c r="D171" s="91" t="s">
        <v>45</v>
      </c>
      <c r="E171" s="91" t="s">
        <v>268</v>
      </c>
      <c r="F171" s="92" t="s">
        <v>47</v>
      </c>
      <c r="G171" s="93">
        <v>15000.0</v>
      </c>
      <c r="H171" s="94">
        <v>0.0</v>
      </c>
      <c r="I171" s="95">
        <f t="shared" si="3"/>
        <v>15000</v>
      </c>
      <c r="J171" s="93">
        <v>15000.0</v>
      </c>
      <c r="K171" s="96">
        <f t="shared" si="4"/>
        <v>0</v>
      </c>
      <c r="L171" s="97"/>
      <c r="M171" s="102"/>
    </row>
    <row r="172" ht="22.5" customHeight="1">
      <c r="A172" s="101">
        <v>204.0</v>
      </c>
      <c r="B172" s="89">
        <v>45690.0</v>
      </c>
      <c r="C172" s="90" t="s">
        <v>44</v>
      </c>
      <c r="D172" s="91" t="s">
        <v>45</v>
      </c>
      <c r="E172" s="91" t="s">
        <v>92</v>
      </c>
      <c r="F172" s="92" t="s">
        <v>47</v>
      </c>
      <c r="G172" s="93">
        <v>80000.0</v>
      </c>
      <c r="H172" s="94">
        <v>0.0</v>
      </c>
      <c r="I172" s="95">
        <f t="shared" si="3"/>
        <v>80000</v>
      </c>
      <c r="J172" s="96">
        <v>80000.0</v>
      </c>
      <c r="K172" s="96">
        <f t="shared" si="4"/>
        <v>0</v>
      </c>
      <c r="L172" s="97"/>
      <c r="M172" s="98"/>
    </row>
    <row r="173" ht="22.5" customHeight="1">
      <c r="A173" s="101">
        <v>209.0</v>
      </c>
      <c r="B173" s="89">
        <v>45690.0</v>
      </c>
      <c r="C173" s="90" t="s">
        <v>44</v>
      </c>
      <c r="D173" s="91" t="s">
        <v>45</v>
      </c>
      <c r="E173" s="91" t="s">
        <v>269</v>
      </c>
      <c r="F173" s="92" t="s">
        <v>47</v>
      </c>
      <c r="G173" s="93">
        <v>1725000.0</v>
      </c>
      <c r="H173" s="94">
        <v>0.0</v>
      </c>
      <c r="I173" s="95">
        <f t="shared" si="3"/>
        <v>1725000</v>
      </c>
      <c r="J173" s="93">
        <v>1725000.0</v>
      </c>
      <c r="K173" s="96">
        <f t="shared" si="4"/>
        <v>0</v>
      </c>
      <c r="L173" s="97"/>
      <c r="M173" s="98"/>
    </row>
    <row r="174" ht="22.5" customHeight="1">
      <c r="A174" s="101">
        <v>170.0</v>
      </c>
      <c r="B174" s="89">
        <v>45690.0</v>
      </c>
      <c r="C174" s="90" t="s">
        <v>44</v>
      </c>
      <c r="D174" s="91" t="s">
        <v>57</v>
      </c>
      <c r="E174" s="91" t="s">
        <v>270</v>
      </c>
      <c r="F174" s="92" t="s">
        <v>47</v>
      </c>
      <c r="G174" s="93">
        <v>500000.0</v>
      </c>
      <c r="H174" s="94">
        <v>0.0</v>
      </c>
      <c r="I174" s="95">
        <f t="shared" si="3"/>
        <v>500000</v>
      </c>
      <c r="J174" s="93">
        <v>500000.0</v>
      </c>
      <c r="K174" s="96">
        <f t="shared" si="4"/>
        <v>0</v>
      </c>
      <c r="L174" s="97"/>
      <c r="M174" s="98"/>
    </row>
    <row r="175" ht="22.5" customHeight="1">
      <c r="A175" s="101">
        <v>203.0</v>
      </c>
      <c r="B175" s="89">
        <v>45691.0</v>
      </c>
      <c r="C175" s="90" t="s">
        <v>44</v>
      </c>
      <c r="D175" s="91" t="s">
        <v>45</v>
      </c>
      <c r="E175" s="91" t="s">
        <v>271</v>
      </c>
      <c r="F175" s="92" t="s">
        <v>47</v>
      </c>
      <c r="G175" s="93">
        <v>30000.0</v>
      </c>
      <c r="H175" s="94">
        <v>0.0</v>
      </c>
      <c r="I175" s="95">
        <f t="shared" si="3"/>
        <v>30000</v>
      </c>
      <c r="J175" s="93">
        <v>30000.0</v>
      </c>
      <c r="K175" s="96">
        <f t="shared" si="4"/>
        <v>0</v>
      </c>
      <c r="L175" s="97"/>
      <c r="M175" s="98"/>
    </row>
    <row r="176" ht="22.5" customHeight="1">
      <c r="A176" s="101">
        <v>232.0</v>
      </c>
      <c r="B176" s="89">
        <v>45691.0</v>
      </c>
      <c r="C176" s="90" t="s">
        <v>44</v>
      </c>
      <c r="D176" s="91" t="s">
        <v>45</v>
      </c>
      <c r="E176" s="91" t="s">
        <v>69</v>
      </c>
      <c r="F176" s="92" t="s">
        <v>47</v>
      </c>
      <c r="G176" s="93">
        <v>30000.0</v>
      </c>
      <c r="H176" s="94">
        <v>0.0</v>
      </c>
      <c r="I176" s="95">
        <f t="shared" si="3"/>
        <v>30000</v>
      </c>
      <c r="J176" s="93">
        <v>30000.0</v>
      </c>
      <c r="K176" s="96">
        <f t="shared" si="4"/>
        <v>0</v>
      </c>
      <c r="L176" s="97"/>
      <c r="M176" s="102"/>
    </row>
    <row r="177" ht="22.5" customHeight="1">
      <c r="A177" s="88" t="s">
        <v>272</v>
      </c>
      <c r="B177" s="89">
        <v>45691.0</v>
      </c>
      <c r="C177" s="90" t="s">
        <v>44</v>
      </c>
      <c r="D177" s="91" t="s">
        <v>45</v>
      </c>
      <c r="E177" s="91" t="s">
        <v>273</v>
      </c>
      <c r="F177" s="92" t="s">
        <v>47</v>
      </c>
      <c r="G177" s="107"/>
      <c r="H177" s="108"/>
      <c r="I177" s="95">
        <f t="shared" si="3"/>
        <v>0</v>
      </c>
      <c r="J177" s="96">
        <v>0.0</v>
      </c>
      <c r="K177" s="96">
        <f t="shared" si="4"/>
        <v>0</v>
      </c>
      <c r="L177" s="97"/>
      <c r="M177" s="98"/>
    </row>
    <row r="178" ht="22.5" customHeight="1">
      <c r="A178" s="101">
        <v>204.0</v>
      </c>
      <c r="B178" s="89">
        <v>45691.0</v>
      </c>
      <c r="C178" s="90" t="s">
        <v>44</v>
      </c>
      <c r="D178" s="91" t="s">
        <v>45</v>
      </c>
      <c r="E178" s="91" t="s">
        <v>274</v>
      </c>
      <c r="F178" s="92" t="s">
        <v>47</v>
      </c>
      <c r="G178" s="93">
        <v>40000.0</v>
      </c>
      <c r="H178" s="94">
        <v>0.0</v>
      </c>
      <c r="I178" s="95">
        <f t="shared" si="3"/>
        <v>40000</v>
      </c>
      <c r="J178" s="96">
        <v>40000.0</v>
      </c>
      <c r="K178" s="96">
        <f t="shared" si="4"/>
        <v>0</v>
      </c>
      <c r="L178" s="97"/>
      <c r="M178" s="98"/>
    </row>
    <row r="179" ht="22.5" customHeight="1">
      <c r="A179" s="101">
        <v>204.0</v>
      </c>
      <c r="B179" s="89">
        <v>45691.0</v>
      </c>
      <c r="C179" s="90" t="s">
        <v>44</v>
      </c>
      <c r="D179" s="91" t="s">
        <v>45</v>
      </c>
      <c r="E179" s="91" t="s">
        <v>275</v>
      </c>
      <c r="F179" s="92" t="s">
        <v>47</v>
      </c>
      <c r="G179" s="93">
        <v>40000.0</v>
      </c>
      <c r="H179" s="94">
        <v>0.0</v>
      </c>
      <c r="I179" s="95">
        <f t="shared" si="3"/>
        <v>40000</v>
      </c>
      <c r="J179" s="96">
        <v>40000.0</v>
      </c>
      <c r="K179" s="96">
        <f t="shared" si="4"/>
        <v>0</v>
      </c>
      <c r="L179" s="97"/>
      <c r="M179" s="98"/>
    </row>
    <row r="180" ht="22.5" customHeight="1">
      <c r="A180" s="101">
        <v>205.0</v>
      </c>
      <c r="B180" s="89">
        <v>45691.0</v>
      </c>
      <c r="C180" s="90" t="s">
        <v>44</v>
      </c>
      <c r="D180" s="91" t="s">
        <v>45</v>
      </c>
      <c r="E180" s="91" t="s">
        <v>276</v>
      </c>
      <c r="F180" s="92" t="s">
        <v>47</v>
      </c>
      <c r="G180" s="93">
        <v>75000.0</v>
      </c>
      <c r="H180" s="94">
        <v>0.0</v>
      </c>
      <c r="I180" s="95">
        <f t="shared" si="3"/>
        <v>75000</v>
      </c>
      <c r="J180" s="93">
        <v>75000.0</v>
      </c>
      <c r="K180" s="96">
        <f t="shared" si="4"/>
        <v>0</v>
      </c>
      <c r="L180" s="97"/>
      <c r="M180" s="98"/>
    </row>
    <row r="181" ht="22.5" customHeight="1">
      <c r="A181" s="88" t="s">
        <v>277</v>
      </c>
      <c r="B181" s="89">
        <v>45691.0</v>
      </c>
      <c r="C181" s="90" t="s">
        <v>44</v>
      </c>
      <c r="D181" s="91" t="s">
        <v>57</v>
      </c>
      <c r="E181" s="91" t="s">
        <v>278</v>
      </c>
      <c r="F181" s="92" t="s">
        <v>47</v>
      </c>
      <c r="G181" s="93">
        <v>40000.0</v>
      </c>
      <c r="H181" s="94">
        <v>0.0</v>
      </c>
      <c r="I181" s="95">
        <f t="shared" si="3"/>
        <v>40000</v>
      </c>
      <c r="J181" s="93">
        <v>40000.0</v>
      </c>
      <c r="K181" s="96">
        <f t="shared" si="4"/>
        <v>0</v>
      </c>
      <c r="L181" s="97"/>
      <c r="M181" s="98"/>
    </row>
    <row r="182" ht="22.5" customHeight="1">
      <c r="A182" s="88" t="s">
        <v>279</v>
      </c>
      <c r="B182" s="89">
        <v>45691.0</v>
      </c>
      <c r="C182" s="90" t="s">
        <v>44</v>
      </c>
      <c r="D182" s="91" t="s">
        <v>57</v>
      </c>
      <c r="E182" s="91" t="s">
        <v>280</v>
      </c>
      <c r="F182" s="92" t="s">
        <v>47</v>
      </c>
      <c r="G182" s="93">
        <v>180000.0</v>
      </c>
      <c r="H182" s="94">
        <v>0.0</v>
      </c>
      <c r="I182" s="95">
        <f t="shared" si="3"/>
        <v>180000</v>
      </c>
      <c r="J182" s="93">
        <v>180000.0</v>
      </c>
      <c r="K182" s="96">
        <f t="shared" si="4"/>
        <v>0</v>
      </c>
      <c r="L182" s="97"/>
      <c r="M182" s="98"/>
    </row>
    <row r="183" ht="22.5" customHeight="1">
      <c r="A183" s="101">
        <v>211.0</v>
      </c>
      <c r="B183" s="89">
        <v>45692.0</v>
      </c>
      <c r="C183" s="103" t="s">
        <v>83</v>
      </c>
      <c r="D183" s="91" t="s">
        <v>45</v>
      </c>
      <c r="E183" s="91" t="s">
        <v>49</v>
      </c>
      <c r="F183" s="92" t="s">
        <v>47</v>
      </c>
      <c r="G183" s="93">
        <v>25000.0</v>
      </c>
      <c r="H183" s="94">
        <v>0.0</v>
      </c>
      <c r="I183" s="95">
        <f t="shared" si="3"/>
        <v>25000</v>
      </c>
      <c r="J183" s="93">
        <v>0.0</v>
      </c>
      <c r="K183" s="104">
        <f t="shared" si="4"/>
        <v>25000</v>
      </c>
      <c r="L183" s="97"/>
      <c r="M183" s="98"/>
    </row>
    <row r="184" ht="22.5" customHeight="1">
      <c r="A184" s="101">
        <v>208.0</v>
      </c>
      <c r="B184" s="89">
        <v>45692.0</v>
      </c>
      <c r="C184" s="90" t="s">
        <v>44</v>
      </c>
      <c r="D184" s="91" t="s">
        <v>45</v>
      </c>
      <c r="E184" s="91" t="s">
        <v>281</v>
      </c>
      <c r="F184" s="92" t="s">
        <v>47</v>
      </c>
      <c r="G184" s="93">
        <v>40000.0</v>
      </c>
      <c r="H184" s="94">
        <v>0.0</v>
      </c>
      <c r="I184" s="95">
        <f t="shared" si="3"/>
        <v>40000</v>
      </c>
      <c r="J184" s="93">
        <v>40000.0</v>
      </c>
      <c r="K184" s="96">
        <f t="shared" si="4"/>
        <v>0</v>
      </c>
      <c r="L184" s="97"/>
      <c r="M184" s="98"/>
    </row>
    <row r="185" ht="22.5" customHeight="1">
      <c r="A185" s="101">
        <v>214.0</v>
      </c>
      <c r="B185" s="89">
        <v>45692.0</v>
      </c>
      <c r="C185" s="90" t="s">
        <v>44</v>
      </c>
      <c r="D185" s="91" t="s">
        <v>45</v>
      </c>
      <c r="E185" s="91" t="s">
        <v>282</v>
      </c>
      <c r="F185" s="92" t="s">
        <v>47</v>
      </c>
      <c r="G185" s="93">
        <v>140000.0</v>
      </c>
      <c r="H185" s="94">
        <v>0.0</v>
      </c>
      <c r="I185" s="95">
        <f t="shared" si="3"/>
        <v>140000</v>
      </c>
      <c r="J185" s="93">
        <v>140000.0</v>
      </c>
      <c r="K185" s="96">
        <f t="shared" si="4"/>
        <v>0</v>
      </c>
      <c r="L185" s="97"/>
      <c r="M185" s="98"/>
    </row>
    <row r="186" ht="22.5" customHeight="1">
      <c r="A186" s="101">
        <v>208.0</v>
      </c>
      <c r="B186" s="89">
        <v>45692.0</v>
      </c>
      <c r="C186" s="90" t="s">
        <v>44</v>
      </c>
      <c r="D186" s="91" t="s">
        <v>45</v>
      </c>
      <c r="E186" s="91" t="s">
        <v>283</v>
      </c>
      <c r="F186" s="92" t="s">
        <v>47</v>
      </c>
      <c r="G186" s="93">
        <v>70000.0</v>
      </c>
      <c r="H186" s="94">
        <v>0.0</v>
      </c>
      <c r="I186" s="95">
        <f t="shared" si="3"/>
        <v>70000</v>
      </c>
      <c r="J186" s="93">
        <v>70000.0</v>
      </c>
      <c r="K186" s="96">
        <f t="shared" si="4"/>
        <v>0</v>
      </c>
      <c r="L186" s="97"/>
      <c r="M186" s="98"/>
    </row>
    <row r="187" ht="22.5" customHeight="1">
      <c r="A187" s="88" t="s">
        <v>284</v>
      </c>
      <c r="B187" s="89">
        <v>45692.0</v>
      </c>
      <c r="C187" s="90" t="s">
        <v>44</v>
      </c>
      <c r="D187" s="91" t="s">
        <v>45</v>
      </c>
      <c r="E187" s="91" t="s">
        <v>285</v>
      </c>
      <c r="F187" s="92" t="s">
        <v>47</v>
      </c>
      <c r="G187" s="93">
        <v>460000.0</v>
      </c>
      <c r="H187" s="94">
        <v>0.0</v>
      </c>
      <c r="I187" s="95">
        <f t="shared" si="3"/>
        <v>460000</v>
      </c>
      <c r="J187" s="93">
        <v>460000.0</v>
      </c>
      <c r="K187" s="96">
        <f t="shared" si="4"/>
        <v>0</v>
      </c>
      <c r="L187" s="97"/>
      <c r="M187" s="98"/>
    </row>
    <row r="188" ht="22.5" customHeight="1">
      <c r="A188" s="88" t="s">
        <v>286</v>
      </c>
      <c r="B188" s="89">
        <v>45692.0</v>
      </c>
      <c r="C188" s="90" t="s">
        <v>44</v>
      </c>
      <c r="D188" s="91" t="s">
        <v>45</v>
      </c>
      <c r="E188" s="91" t="s">
        <v>287</v>
      </c>
      <c r="F188" s="92" t="s">
        <v>47</v>
      </c>
      <c r="G188" s="93">
        <v>1000000.0</v>
      </c>
      <c r="H188" s="94">
        <v>0.0</v>
      </c>
      <c r="I188" s="95">
        <f t="shared" si="3"/>
        <v>1000000</v>
      </c>
      <c r="J188" s="93">
        <v>1000000.0</v>
      </c>
      <c r="K188" s="96">
        <f t="shared" si="4"/>
        <v>0</v>
      </c>
      <c r="L188" s="97"/>
      <c r="M188" s="102"/>
    </row>
    <row r="189" ht="22.5" customHeight="1">
      <c r="A189" s="101">
        <v>241.0</v>
      </c>
      <c r="B189" s="89">
        <v>45693.0</v>
      </c>
      <c r="C189" s="103" t="s">
        <v>83</v>
      </c>
      <c r="D189" s="91" t="s">
        <v>45</v>
      </c>
      <c r="E189" s="91" t="s">
        <v>288</v>
      </c>
      <c r="F189" s="92" t="s">
        <v>47</v>
      </c>
      <c r="G189" s="93">
        <v>35000.0</v>
      </c>
      <c r="H189" s="94">
        <v>0.0</v>
      </c>
      <c r="I189" s="95">
        <f t="shared" si="3"/>
        <v>35000</v>
      </c>
      <c r="J189" s="93">
        <v>0.0</v>
      </c>
      <c r="K189" s="104">
        <f t="shared" si="4"/>
        <v>35000</v>
      </c>
      <c r="L189" s="97"/>
      <c r="M189" s="98"/>
    </row>
    <row r="190" ht="22.5" customHeight="1">
      <c r="A190" s="101">
        <v>241.0</v>
      </c>
      <c r="B190" s="89">
        <v>45693.0</v>
      </c>
      <c r="C190" s="103" t="s">
        <v>83</v>
      </c>
      <c r="D190" s="91" t="s">
        <v>45</v>
      </c>
      <c r="E190" s="91" t="s">
        <v>46</v>
      </c>
      <c r="F190" s="92" t="s">
        <v>47</v>
      </c>
      <c r="G190" s="93">
        <v>40000.0</v>
      </c>
      <c r="H190" s="94">
        <v>0.0</v>
      </c>
      <c r="I190" s="95">
        <f t="shared" si="3"/>
        <v>40000</v>
      </c>
      <c r="J190" s="93">
        <v>0.0</v>
      </c>
      <c r="K190" s="104">
        <f t="shared" si="4"/>
        <v>40000</v>
      </c>
      <c r="L190" s="97"/>
      <c r="M190" s="98"/>
    </row>
    <row r="191" ht="22.5" customHeight="1">
      <c r="A191" s="101">
        <v>241.0</v>
      </c>
      <c r="B191" s="89">
        <v>45693.0</v>
      </c>
      <c r="C191" s="103" t="s">
        <v>83</v>
      </c>
      <c r="D191" s="91" t="s">
        <v>45</v>
      </c>
      <c r="E191" s="91" t="s">
        <v>289</v>
      </c>
      <c r="F191" s="92" t="s">
        <v>47</v>
      </c>
      <c r="G191" s="93">
        <v>125000.0</v>
      </c>
      <c r="H191" s="94">
        <v>0.0</v>
      </c>
      <c r="I191" s="95">
        <f t="shared" si="3"/>
        <v>125000</v>
      </c>
      <c r="J191" s="93">
        <v>0.0</v>
      </c>
      <c r="K191" s="104">
        <f t="shared" si="4"/>
        <v>125000</v>
      </c>
      <c r="L191" s="97"/>
      <c r="M191" s="98"/>
    </row>
    <row r="192" ht="22.5" customHeight="1">
      <c r="A192" s="88" t="s">
        <v>290</v>
      </c>
      <c r="B192" s="89">
        <v>45693.0</v>
      </c>
      <c r="C192" s="103" t="s">
        <v>83</v>
      </c>
      <c r="D192" s="91" t="s">
        <v>45</v>
      </c>
      <c r="E192" s="91" t="s">
        <v>49</v>
      </c>
      <c r="F192" s="92" t="s">
        <v>47</v>
      </c>
      <c r="G192" s="93">
        <v>45000.0</v>
      </c>
      <c r="H192" s="94">
        <v>0.0</v>
      </c>
      <c r="I192" s="95">
        <f t="shared" si="3"/>
        <v>45000</v>
      </c>
      <c r="J192" s="93">
        <v>0.0</v>
      </c>
      <c r="K192" s="104">
        <f t="shared" si="4"/>
        <v>45000</v>
      </c>
      <c r="L192" s="97"/>
      <c r="M192" s="98"/>
    </row>
    <row r="193" ht="22.5" customHeight="1">
      <c r="A193" s="101">
        <v>939256.0</v>
      </c>
      <c r="B193" s="89">
        <v>45693.0</v>
      </c>
      <c r="C193" s="90" t="s">
        <v>44</v>
      </c>
      <c r="D193" s="91" t="s">
        <v>45</v>
      </c>
      <c r="E193" s="91" t="s">
        <v>49</v>
      </c>
      <c r="F193" s="92" t="s">
        <v>47</v>
      </c>
      <c r="G193" s="93">
        <v>50000.0</v>
      </c>
      <c r="H193" s="94">
        <v>0.0</v>
      </c>
      <c r="I193" s="95">
        <f t="shared" si="3"/>
        <v>50000</v>
      </c>
      <c r="J193" s="93">
        <v>50000.0</v>
      </c>
      <c r="K193" s="96">
        <f t="shared" si="4"/>
        <v>0</v>
      </c>
      <c r="L193" s="97"/>
      <c r="M193" s="98"/>
    </row>
    <row r="194" ht="22.5" customHeight="1">
      <c r="A194" s="101">
        <v>213.0</v>
      </c>
      <c r="B194" s="89">
        <v>45693.0</v>
      </c>
      <c r="C194" s="90" t="s">
        <v>44</v>
      </c>
      <c r="D194" s="91" t="s">
        <v>45</v>
      </c>
      <c r="E194" s="91" t="s">
        <v>291</v>
      </c>
      <c r="F194" s="92" t="s">
        <v>47</v>
      </c>
      <c r="G194" s="93">
        <v>8000.0</v>
      </c>
      <c r="H194" s="94">
        <v>0.0</v>
      </c>
      <c r="I194" s="95">
        <f t="shared" si="3"/>
        <v>8000</v>
      </c>
      <c r="J194" s="93">
        <v>8000.0</v>
      </c>
      <c r="K194" s="96">
        <f t="shared" si="4"/>
        <v>0</v>
      </c>
      <c r="L194" s="97"/>
      <c r="M194" s="98"/>
    </row>
    <row r="195" ht="22.5" customHeight="1">
      <c r="A195" s="101">
        <v>212.0</v>
      </c>
      <c r="B195" s="89">
        <v>45693.0</v>
      </c>
      <c r="C195" s="90" t="s">
        <v>44</v>
      </c>
      <c r="D195" s="91" t="s">
        <v>45</v>
      </c>
      <c r="E195" s="91" t="s">
        <v>262</v>
      </c>
      <c r="F195" s="92" t="s">
        <v>47</v>
      </c>
      <c r="G195" s="93">
        <v>5000.0</v>
      </c>
      <c r="H195" s="94">
        <v>0.0</v>
      </c>
      <c r="I195" s="95">
        <f t="shared" si="3"/>
        <v>5000</v>
      </c>
      <c r="J195" s="93">
        <v>5000.0</v>
      </c>
      <c r="K195" s="96">
        <f t="shared" si="4"/>
        <v>0</v>
      </c>
      <c r="L195" s="97"/>
      <c r="M195" s="98"/>
    </row>
    <row r="196" ht="22.5" customHeight="1">
      <c r="A196" s="101">
        <v>217.0</v>
      </c>
      <c r="B196" s="89">
        <v>45693.0</v>
      </c>
      <c r="C196" s="90" t="s">
        <v>44</v>
      </c>
      <c r="D196" s="91" t="s">
        <v>45</v>
      </c>
      <c r="E196" s="91" t="s">
        <v>292</v>
      </c>
      <c r="F196" s="92" t="s">
        <v>47</v>
      </c>
      <c r="G196" s="93">
        <v>150000.0</v>
      </c>
      <c r="H196" s="94">
        <v>0.0</v>
      </c>
      <c r="I196" s="95">
        <f t="shared" si="3"/>
        <v>150000</v>
      </c>
      <c r="J196" s="93">
        <v>150000.0</v>
      </c>
      <c r="K196" s="96">
        <f t="shared" si="4"/>
        <v>0</v>
      </c>
      <c r="L196" s="97"/>
      <c r="M196" s="102"/>
    </row>
    <row r="197" ht="22.5" customHeight="1">
      <c r="A197" s="88" t="s">
        <v>293</v>
      </c>
      <c r="B197" s="89">
        <v>45693.0</v>
      </c>
      <c r="C197" s="90" t="s">
        <v>44</v>
      </c>
      <c r="D197" s="91" t="s">
        <v>57</v>
      </c>
      <c r="E197" s="91" t="s">
        <v>294</v>
      </c>
      <c r="F197" s="92" t="s">
        <v>47</v>
      </c>
      <c r="G197" s="93">
        <v>600000.0</v>
      </c>
      <c r="H197" s="94">
        <v>0.0</v>
      </c>
      <c r="I197" s="95">
        <f t="shared" si="3"/>
        <v>600000</v>
      </c>
      <c r="J197" s="96">
        <v>600000.0</v>
      </c>
      <c r="K197" s="96">
        <f t="shared" si="4"/>
        <v>0</v>
      </c>
      <c r="L197" s="97"/>
      <c r="M197" s="98"/>
    </row>
    <row r="198" ht="22.5" customHeight="1">
      <c r="A198" s="101">
        <v>939256.0</v>
      </c>
      <c r="B198" s="89">
        <v>45693.0</v>
      </c>
      <c r="C198" s="90" t="s">
        <v>44</v>
      </c>
      <c r="D198" s="91" t="s">
        <v>45</v>
      </c>
      <c r="E198" s="91" t="s">
        <v>295</v>
      </c>
      <c r="F198" s="92" t="s">
        <v>47</v>
      </c>
      <c r="G198" s="93">
        <v>100000.0</v>
      </c>
      <c r="H198" s="94">
        <v>0.0</v>
      </c>
      <c r="I198" s="95">
        <f t="shared" si="3"/>
        <v>100000</v>
      </c>
      <c r="J198" s="93">
        <v>100000.0</v>
      </c>
      <c r="K198" s="96">
        <f t="shared" si="4"/>
        <v>0</v>
      </c>
      <c r="L198" s="97"/>
      <c r="M198" s="98"/>
    </row>
    <row r="199" ht="22.5" customHeight="1">
      <c r="A199" s="101">
        <v>216.0</v>
      </c>
      <c r="B199" s="89">
        <v>45693.0</v>
      </c>
      <c r="C199" s="90" t="s">
        <v>44</v>
      </c>
      <c r="D199" s="91" t="s">
        <v>45</v>
      </c>
      <c r="E199" s="91" t="s">
        <v>296</v>
      </c>
      <c r="F199" s="92" t="s">
        <v>47</v>
      </c>
      <c r="G199" s="93">
        <v>35000.0</v>
      </c>
      <c r="H199" s="94">
        <v>0.0</v>
      </c>
      <c r="I199" s="95">
        <f t="shared" si="3"/>
        <v>35000</v>
      </c>
      <c r="J199" s="93">
        <v>35000.0</v>
      </c>
      <c r="K199" s="96">
        <f t="shared" si="4"/>
        <v>0</v>
      </c>
      <c r="L199" s="97"/>
      <c r="M199" s="98"/>
    </row>
    <row r="200" ht="22.5" customHeight="1">
      <c r="A200" s="88" t="s">
        <v>75</v>
      </c>
      <c r="B200" s="89">
        <v>45693.0</v>
      </c>
      <c r="C200" s="90" t="s">
        <v>44</v>
      </c>
      <c r="D200" s="91" t="s">
        <v>57</v>
      </c>
      <c r="E200" s="91" t="s">
        <v>297</v>
      </c>
      <c r="F200" s="92" t="s">
        <v>47</v>
      </c>
      <c r="G200" s="93">
        <v>85000.0</v>
      </c>
      <c r="H200" s="94">
        <v>0.0</v>
      </c>
      <c r="I200" s="95">
        <f t="shared" si="3"/>
        <v>85000</v>
      </c>
      <c r="J200" s="93">
        <v>85000.0</v>
      </c>
      <c r="K200" s="96">
        <f t="shared" si="4"/>
        <v>0</v>
      </c>
      <c r="L200" s="97"/>
      <c r="M200" s="98"/>
    </row>
    <row r="201" ht="22.5" customHeight="1">
      <c r="A201" s="88" t="s">
        <v>298</v>
      </c>
      <c r="B201" s="89">
        <v>45693.0</v>
      </c>
      <c r="C201" s="90" t="s">
        <v>44</v>
      </c>
      <c r="D201" s="91" t="s">
        <v>57</v>
      </c>
      <c r="E201" s="91" t="s">
        <v>299</v>
      </c>
      <c r="F201" s="92" t="s">
        <v>47</v>
      </c>
      <c r="G201" s="93">
        <v>100000.0</v>
      </c>
      <c r="H201" s="94">
        <v>0.0</v>
      </c>
      <c r="I201" s="95">
        <f t="shared" si="3"/>
        <v>100000</v>
      </c>
      <c r="J201" s="93">
        <v>100000.0</v>
      </c>
      <c r="K201" s="96">
        <f t="shared" si="4"/>
        <v>0</v>
      </c>
      <c r="L201" s="97"/>
      <c r="M201" s="98"/>
    </row>
    <row r="202" ht="22.5" customHeight="1">
      <c r="A202" s="88" t="s">
        <v>300</v>
      </c>
      <c r="B202" s="89">
        <v>45693.0</v>
      </c>
      <c r="C202" s="90" t="s">
        <v>44</v>
      </c>
      <c r="D202" s="91" t="s">
        <v>57</v>
      </c>
      <c r="E202" s="91" t="s">
        <v>301</v>
      </c>
      <c r="F202" s="92" t="s">
        <v>47</v>
      </c>
      <c r="G202" s="93">
        <v>360000.0</v>
      </c>
      <c r="H202" s="94">
        <v>0.0</v>
      </c>
      <c r="I202" s="95">
        <f t="shared" si="3"/>
        <v>360000</v>
      </c>
      <c r="J202" s="93">
        <v>360000.0</v>
      </c>
      <c r="K202" s="96">
        <f t="shared" si="4"/>
        <v>0</v>
      </c>
      <c r="L202" s="97"/>
      <c r="M202" s="98"/>
    </row>
    <row r="203" ht="22.5" customHeight="1">
      <c r="A203" s="88" t="s">
        <v>302</v>
      </c>
      <c r="B203" s="89">
        <v>45693.0</v>
      </c>
      <c r="C203" s="90" t="s">
        <v>44</v>
      </c>
      <c r="D203" s="91" t="s">
        <v>45</v>
      </c>
      <c r="E203" s="91" t="s">
        <v>303</v>
      </c>
      <c r="F203" s="92" t="s">
        <v>47</v>
      </c>
      <c r="G203" s="93">
        <v>25000.0</v>
      </c>
      <c r="H203" s="94">
        <v>0.0</v>
      </c>
      <c r="I203" s="95">
        <f t="shared" si="3"/>
        <v>25000</v>
      </c>
      <c r="J203" s="96">
        <v>25000.0</v>
      </c>
      <c r="K203" s="96">
        <f t="shared" si="4"/>
        <v>0</v>
      </c>
      <c r="L203" s="97"/>
      <c r="M203" s="98"/>
    </row>
    <row r="204" ht="22.5" customHeight="1">
      <c r="A204" s="101">
        <v>218.0</v>
      </c>
      <c r="B204" s="89">
        <v>45694.0</v>
      </c>
      <c r="C204" s="90" t="s">
        <v>44</v>
      </c>
      <c r="D204" s="91" t="s">
        <v>45</v>
      </c>
      <c r="E204" s="91" t="s">
        <v>304</v>
      </c>
      <c r="F204" s="92" t="s">
        <v>47</v>
      </c>
      <c r="G204" s="93">
        <v>25000.0</v>
      </c>
      <c r="H204" s="94">
        <v>0.0</v>
      </c>
      <c r="I204" s="95">
        <f t="shared" si="3"/>
        <v>25000</v>
      </c>
      <c r="J204" s="93">
        <v>25000.0</v>
      </c>
      <c r="K204" s="96">
        <f t="shared" si="4"/>
        <v>0</v>
      </c>
      <c r="L204" s="97"/>
      <c r="M204" s="98"/>
    </row>
    <row r="205" ht="22.5" customHeight="1">
      <c r="A205" s="101">
        <v>215.0</v>
      </c>
      <c r="B205" s="89">
        <v>45694.0</v>
      </c>
      <c r="C205" s="90" t="s">
        <v>44</v>
      </c>
      <c r="D205" s="91" t="s">
        <v>57</v>
      </c>
      <c r="E205" s="91" t="s">
        <v>305</v>
      </c>
      <c r="F205" s="92" t="s">
        <v>47</v>
      </c>
      <c r="G205" s="93">
        <v>20000.0</v>
      </c>
      <c r="H205" s="94">
        <v>0.0</v>
      </c>
      <c r="I205" s="95">
        <f t="shared" si="3"/>
        <v>20000</v>
      </c>
      <c r="J205" s="93">
        <v>20000.0</v>
      </c>
      <c r="K205" s="96">
        <f t="shared" si="4"/>
        <v>0</v>
      </c>
      <c r="L205" s="97"/>
      <c r="M205" s="98"/>
    </row>
    <row r="206" ht="22.5" customHeight="1">
      <c r="A206" s="88" t="s">
        <v>306</v>
      </c>
      <c r="B206" s="89">
        <v>45694.0</v>
      </c>
      <c r="C206" s="90" t="s">
        <v>44</v>
      </c>
      <c r="D206" s="91" t="s">
        <v>45</v>
      </c>
      <c r="E206" s="91" t="s">
        <v>307</v>
      </c>
      <c r="F206" s="92" t="s">
        <v>47</v>
      </c>
      <c r="G206" s="93">
        <v>175000.0</v>
      </c>
      <c r="H206" s="94">
        <v>0.0</v>
      </c>
      <c r="I206" s="95">
        <f t="shared" si="3"/>
        <v>175000</v>
      </c>
      <c r="J206" s="93">
        <v>175000.0</v>
      </c>
      <c r="K206" s="96">
        <f t="shared" si="4"/>
        <v>0</v>
      </c>
      <c r="L206" s="97"/>
      <c r="M206" s="98"/>
    </row>
    <row r="207" ht="22.5" customHeight="1">
      <c r="A207" s="88" t="s">
        <v>308</v>
      </c>
      <c r="B207" s="89">
        <v>45694.0</v>
      </c>
      <c r="C207" s="90" t="s">
        <v>44</v>
      </c>
      <c r="D207" s="91" t="s">
        <v>45</v>
      </c>
      <c r="E207" s="91" t="s">
        <v>309</v>
      </c>
      <c r="F207" s="92" t="s">
        <v>47</v>
      </c>
      <c r="G207" s="93">
        <v>25000.0</v>
      </c>
      <c r="H207" s="94">
        <v>0.0</v>
      </c>
      <c r="I207" s="95">
        <f t="shared" si="3"/>
        <v>25000</v>
      </c>
      <c r="J207" s="93">
        <v>25000.0</v>
      </c>
      <c r="K207" s="96">
        <f t="shared" si="4"/>
        <v>0</v>
      </c>
      <c r="L207" s="97"/>
      <c r="M207" s="98"/>
    </row>
    <row r="208" ht="22.5" customHeight="1">
      <c r="A208" s="88" t="s">
        <v>310</v>
      </c>
      <c r="B208" s="89">
        <v>45694.0</v>
      </c>
      <c r="C208" s="90" t="s">
        <v>44</v>
      </c>
      <c r="D208" s="91" t="s">
        <v>45</v>
      </c>
      <c r="E208" s="91" t="s">
        <v>311</v>
      </c>
      <c r="F208" s="92" t="s">
        <v>47</v>
      </c>
      <c r="G208" s="93">
        <v>35000.0</v>
      </c>
      <c r="H208" s="94">
        <v>0.0</v>
      </c>
      <c r="I208" s="95">
        <f t="shared" si="3"/>
        <v>35000</v>
      </c>
      <c r="J208" s="93">
        <v>35000.0</v>
      </c>
      <c r="K208" s="96">
        <f t="shared" si="4"/>
        <v>0</v>
      </c>
      <c r="L208" s="97"/>
      <c r="M208" s="98"/>
    </row>
    <row r="209" ht="22.5" customHeight="1">
      <c r="A209" s="101">
        <v>160.0</v>
      </c>
      <c r="B209" s="89">
        <v>45694.0</v>
      </c>
      <c r="C209" s="90" t="s">
        <v>44</v>
      </c>
      <c r="D209" s="91" t="s">
        <v>57</v>
      </c>
      <c r="E209" s="91" t="s">
        <v>312</v>
      </c>
      <c r="F209" s="92" t="s">
        <v>47</v>
      </c>
      <c r="G209" s="93">
        <v>1240000.0</v>
      </c>
      <c r="H209" s="94">
        <v>0.0</v>
      </c>
      <c r="I209" s="95">
        <f t="shared" si="3"/>
        <v>1240000</v>
      </c>
      <c r="J209" s="93">
        <v>1240000.0</v>
      </c>
      <c r="K209" s="96">
        <f t="shared" si="4"/>
        <v>0</v>
      </c>
      <c r="L209" s="97"/>
      <c r="M209" s="98"/>
    </row>
    <row r="210" ht="22.5" customHeight="1">
      <c r="A210" s="101">
        <v>222.0</v>
      </c>
      <c r="B210" s="89">
        <v>45694.0</v>
      </c>
      <c r="C210" s="90" t="s">
        <v>44</v>
      </c>
      <c r="D210" s="91" t="s">
        <v>45</v>
      </c>
      <c r="E210" s="91" t="s">
        <v>313</v>
      </c>
      <c r="F210" s="92" t="s">
        <v>47</v>
      </c>
      <c r="G210" s="93">
        <v>25000.0</v>
      </c>
      <c r="H210" s="94">
        <v>0.0</v>
      </c>
      <c r="I210" s="95">
        <f t="shared" si="3"/>
        <v>25000</v>
      </c>
      <c r="J210" s="93">
        <v>25000.0</v>
      </c>
      <c r="K210" s="96">
        <f t="shared" si="4"/>
        <v>0</v>
      </c>
      <c r="L210" s="97"/>
      <c r="M210" s="98"/>
    </row>
    <row r="211" ht="22.5" customHeight="1">
      <c r="A211" s="101">
        <v>222.0</v>
      </c>
      <c r="B211" s="89">
        <v>45694.0</v>
      </c>
      <c r="C211" s="90" t="s">
        <v>44</v>
      </c>
      <c r="D211" s="91" t="s">
        <v>45</v>
      </c>
      <c r="E211" s="91" t="s">
        <v>314</v>
      </c>
      <c r="F211" s="92" t="s">
        <v>47</v>
      </c>
      <c r="G211" s="93">
        <v>15000.0</v>
      </c>
      <c r="H211" s="94">
        <v>0.0</v>
      </c>
      <c r="I211" s="95">
        <f t="shared" si="3"/>
        <v>15000</v>
      </c>
      <c r="J211" s="93">
        <v>15000.0</v>
      </c>
      <c r="K211" s="96">
        <f t="shared" si="4"/>
        <v>0</v>
      </c>
      <c r="L211" s="97"/>
      <c r="M211" s="98"/>
    </row>
    <row r="212" ht="22.5" customHeight="1">
      <c r="A212" s="101">
        <v>162.0</v>
      </c>
      <c r="B212" s="89">
        <v>45695.0</v>
      </c>
      <c r="C212" s="90" t="s">
        <v>44</v>
      </c>
      <c r="D212" s="91" t="s">
        <v>57</v>
      </c>
      <c r="E212" s="91" t="s">
        <v>315</v>
      </c>
      <c r="F212" s="92" t="s">
        <v>47</v>
      </c>
      <c r="G212" s="93">
        <v>360000.0</v>
      </c>
      <c r="H212" s="94">
        <v>0.0</v>
      </c>
      <c r="I212" s="95">
        <f t="shared" si="3"/>
        <v>360000</v>
      </c>
      <c r="J212" s="93">
        <v>360000.0</v>
      </c>
      <c r="K212" s="96">
        <f t="shared" si="4"/>
        <v>0</v>
      </c>
      <c r="L212" s="97"/>
      <c r="M212" s="98"/>
    </row>
    <row r="213" ht="22.5" customHeight="1">
      <c r="A213" s="101">
        <v>161.0</v>
      </c>
      <c r="B213" s="89">
        <v>45695.0</v>
      </c>
      <c r="C213" s="90" t="s">
        <v>44</v>
      </c>
      <c r="D213" s="91" t="s">
        <v>45</v>
      </c>
      <c r="E213" s="91" t="s">
        <v>316</v>
      </c>
      <c r="F213" s="92" t="s">
        <v>47</v>
      </c>
      <c r="G213" s="93">
        <v>500000.0</v>
      </c>
      <c r="H213" s="94">
        <v>0.0</v>
      </c>
      <c r="I213" s="95">
        <f t="shared" si="3"/>
        <v>500000</v>
      </c>
      <c r="J213" s="93">
        <v>500000.0</v>
      </c>
      <c r="K213" s="96">
        <f t="shared" si="4"/>
        <v>0</v>
      </c>
      <c r="L213" s="97"/>
      <c r="M213" s="98"/>
    </row>
    <row r="214" ht="22.5" customHeight="1">
      <c r="A214" s="101">
        <v>224.0</v>
      </c>
      <c r="B214" s="89">
        <v>45695.0</v>
      </c>
      <c r="C214" s="90" t="s">
        <v>44</v>
      </c>
      <c r="D214" s="91" t="s">
        <v>57</v>
      </c>
      <c r="E214" s="91" t="s">
        <v>317</v>
      </c>
      <c r="F214" s="92" t="s">
        <v>47</v>
      </c>
      <c r="G214" s="93">
        <v>15000.0</v>
      </c>
      <c r="H214" s="94">
        <v>0.0</v>
      </c>
      <c r="I214" s="95">
        <f t="shared" si="3"/>
        <v>15000</v>
      </c>
      <c r="J214" s="93">
        <v>15000.0</v>
      </c>
      <c r="K214" s="96">
        <f t="shared" si="4"/>
        <v>0</v>
      </c>
      <c r="L214" s="97"/>
      <c r="M214" s="98"/>
    </row>
    <row r="215" ht="22.5" customHeight="1">
      <c r="A215" s="101">
        <v>225.0</v>
      </c>
      <c r="B215" s="89">
        <v>45695.0</v>
      </c>
      <c r="C215" s="90" t="s">
        <v>44</v>
      </c>
      <c r="D215" s="91" t="s">
        <v>57</v>
      </c>
      <c r="E215" s="91" t="s">
        <v>318</v>
      </c>
      <c r="F215" s="92" t="s">
        <v>47</v>
      </c>
      <c r="G215" s="93">
        <v>15000.0</v>
      </c>
      <c r="H215" s="94">
        <v>0.0</v>
      </c>
      <c r="I215" s="95">
        <f t="shared" si="3"/>
        <v>15000</v>
      </c>
      <c r="J215" s="93">
        <v>15000.0</v>
      </c>
      <c r="K215" s="96">
        <f t="shared" si="4"/>
        <v>0</v>
      </c>
      <c r="L215" s="97"/>
      <c r="M215" s="98"/>
    </row>
    <row r="216" ht="22.5" customHeight="1">
      <c r="A216" s="101">
        <v>226.0</v>
      </c>
      <c r="B216" s="89">
        <v>45695.0</v>
      </c>
      <c r="C216" s="90" t="s">
        <v>44</v>
      </c>
      <c r="D216" s="91" t="s">
        <v>45</v>
      </c>
      <c r="E216" s="91" t="s">
        <v>319</v>
      </c>
      <c r="F216" s="92" t="s">
        <v>47</v>
      </c>
      <c r="G216" s="93">
        <v>10000.0</v>
      </c>
      <c r="H216" s="94">
        <v>0.0</v>
      </c>
      <c r="I216" s="95">
        <f t="shared" si="3"/>
        <v>10000</v>
      </c>
      <c r="J216" s="93">
        <v>10000.0</v>
      </c>
      <c r="K216" s="96">
        <f t="shared" si="4"/>
        <v>0</v>
      </c>
      <c r="L216" s="97"/>
      <c r="M216" s="98"/>
    </row>
    <row r="217" ht="22.5" customHeight="1">
      <c r="A217" s="101">
        <v>235.0</v>
      </c>
      <c r="B217" s="89">
        <v>45696.0</v>
      </c>
      <c r="C217" s="103" t="s">
        <v>83</v>
      </c>
      <c r="D217" s="91" t="s">
        <v>45</v>
      </c>
      <c r="E217" s="91" t="s">
        <v>292</v>
      </c>
      <c r="F217" s="92" t="s">
        <v>47</v>
      </c>
      <c r="G217" s="93">
        <v>135000.0</v>
      </c>
      <c r="H217" s="94">
        <v>0.0</v>
      </c>
      <c r="I217" s="95">
        <f t="shared" si="3"/>
        <v>135000</v>
      </c>
      <c r="J217" s="93">
        <v>0.0</v>
      </c>
      <c r="K217" s="104">
        <f t="shared" si="4"/>
        <v>135000</v>
      </c>
      <c r="L217" s="97"/>
      <c r="M217" s="98"/>
    </row>
    <row r="218" ht="22.5" customHeight="1">
      <c r="A218" s="88" t="s">
        <v>320</v>
      </c>
      <c r="B218" s="89">
        <v>45696.0</v>
      </c>
      <c r="C218" s="103" t="s">
        <v>83</v>
      </c>
      <c r="D218" s="91" t="s">
        <v>45</v>
      </c>
      <c r="E218" s="91" t="s">
        <v>321</v>
      </c>
      <c r="F218" s="92" t="s">
        <v>47</v>
      </c>
      <c r="G218" s="93">
        <v>25000.0</v>
      </c>
      <c r="H218" s="94">
        <v>0.0</v>
      </c>
      <c r="I218" s="95">
        <f t="shared" si="3"/>
        <v>25000</v>
      </c>
      <c r="J218" s="93">
        <v>0.0</v>
      </c>
      <c r="K218" s="104">
        <f t="shared" si="4"/>
        <v>25000</v>
      </c>
      <c r="L218" s="97"/>
      <c r="M218" s="98"/>
    </row>
    <row r="219" ht="22.5" customHeight="1">
      <c r="A219" s="101">
        <v>163.0</v>
      </c>
      <c r="B219" s="89">
        <v>45696.0</v>
      </c>
      <c r="C219" s="90" t="s">
        <v>44</v>
      </c>
      <c r="D219" s="91" t="s">
        <v>57</v>
      </c>
      <c r="E219" s="91" t="s">
        <v>322</v>
      </c>
      <c r="F219" s="92" t="s">
        <v>47</v>
      </c>
      <c r="G219" s="93">
        <v>490000.0</v>
      </c>
      <c r="H219" s="94">
        <v>0.0</v>
      </c>
      <c r="I219" s="95">
        <f t="shared" si="3"/>
        <v>490000</v>
      </c>
      <c r="J219" s="93">
        <v>490000.0</v>
      </c>
      <c r="K219" s="96">
        <f t="shared" si="4"/>
        <v>0</v>
      </c>
      <c r="L219" s="97"/>
      <c r="M219" s="98"/>
    </row>
    <row r="220" ht="22.5" customHeight="1">
      <c r="A220" s="101">
        <v>939259.0</v>
      </c>
      <c r="B220" s="89">
        <v>45696.0</v>
      </c>
      <c r="C220" s="90" t="s">
        <v>44</v>
      </c>
      <c r="D220" s="91" t="s">
        <v>45</v>
      </c>
      <c r="E220" s="91" t="s">
        <v>323</v>
      </c>
      <c r="F220" s="92" t="s">
        <v>47</v>
      </c>
      <c r="G220" s="93">
        <v>75000.0</v>
      </c>
      <c r="H220" s="94">
        <v>0.0</v>
      </c>
      <c r="I220" s="95">
        <f t="shared" si="3"/>
        <v>75000</v>
      </c>
      <c r="J220" s="93">
        <v>75000.0</v>
      </c>
      <c r="K220" s="96">
        <f t="shared" si="4"/>
        <v>0</v>
      </c>
      <c r="L220" s="97"/>
      <c r="M220" s="98"/>
    </row>
    <row r="221" ht="22.5" customHeight="1">
      <c r="A221" s="101">
        <v>939254.0</v>
      </c>
      <c r="B221" s="89">
        <v>45696.0</v>
      </c>
      <c r="C221" s="90" t="s">
        <v>44</v>
      </c>
      <c r="D221" s="91" t="s">
        <v>45</v>
      </c>
      <c r="E221" s="91" t="s">
        <v>123</v>
      </c>
      <c r="F221" s="92" t="s">
        <v>47</v>
      </c>
      <c r="G221" s="93">
        <v>25000.0</v>
      </c>
      <c r="H221" s="94">
        <v>0.0</v>
      </c>
      <c r="I221" s="95">
        <f t="shared" si="3"/>
        <v>25000</v>
      </c>
      <c r="J221" s="93">
        <v>25000.0</v>
      </c>
      <c r="K221" s="96">
        <f t="shared" si="4"/>
        <v>0</v>
      </c>
      <c r="L221" s="97"/>
      <c r="M221" s="98"/>
    </row>
    <row r="222" ht="22.5" customHeight="1">
      <c r="A222" s="101">
        <v>939260.0</v>
      </c>
      <c r="B222" s="89">
        <v>45696.0</v>
      </c>
      <c r="C222" s="90" t="s">
        <v>44</v>
      </c>
      <c r="D222" s="91" t="s">
        <v>45</v>
      </c>
      <c r="E222" s="91" t="s">
        <v>121</v>
      </c>
      <c r="F222" s="92" t="s">
        <v>47</v>
      </c>
      <c r="G222" s="93">
        <v>60000.0</v>
      </c>
      <c r="H222" s="94">
        <v>0.0</v>
      </c>
      <c r="I222" s="95">
        <f t="shared" si="3"/>
        <v>60000</v>
      </c>
      <c r="J222" s="93">
        <v>60000.0</v>
      </c>
      <c r="K222" s="96">
        <f t="shared" si="4"/>
        <v>0</v>
      </c>
      <c r="L222" s="97"/>
      <c r="M222" s="98"/>
    </row>
    <row r="223" ht="22.5" customHeight="1">
      <c r="A223" s="101">
        <v>939260.0</v>
      </c>
      <c r="B223" s="89">
        <v>45696.0</v>
      </c>
      <c r="C223" s="90" t="s">
        <v>44</v>
      </c>
      <c r="D223" s="91" t="s">
        <v>45</v>
      </c>
      <c r="E223" s="91" t="s">
        <v>324</v>
      </c>
      <c r="F223" s="92" t="s">
        <v>47</v>
      </c>
      <c r="G223" s="93">
        <v>60000.0</v>
      </c>
      <c r="H223" s="94">
        <v>0.0</v>
      </c>
      <c r="I223" s="95">
        <f t="shared" si="3"/>
        <v>60000</v>
      </c>
      <c r="J223" s="93">
        <v>60000.0</v>
      </c>
      <c r="K223" s="96">
        <f t="shared" si="4"/>
        <v>0</v>
      </c>
      <c r="L223" s="97"/>
      <c r="M223" s="98"/>
    </row>
    <row r="224" ht="22.5" customHeight="1">
      <c r="A224" s="101">
        <v>939260.0</v>
      </c>
      <c r="B224" s="89">
        <v>45696.0</v>
      </c>
      <c r="C224" s="90" t="s">
        <v>44</v>
      </c>
      <c r="D224" s="91" t="s">
        <v>45</v>
      </c>
      <c r="E224" s="91" t="s">
        <v>67</v>
      </c>
      <c r="F224" s="92" t="s">
        <v>47</v>
      </c>
      <c r="G224" s="93">
        <v>125000.0</v>
      </c>
      <c r="H224" s="94">
        <v>0.0</v>
      </c>
      <c r="I224" s="95">
        <f t="shared" si="3"/>
        <v>125000</v>
      </c>
      <c r="J224" s="93">
        <v>125000.0</v>
      </c>
      <c r="K224" s="96">
        <f t="shared" si="4"/>
        <v>0</v>
      </c>
      <c r="L224" s="97"/>
      <c r="M224" s="98"/>
    </row>
    <row r="225" ht="22.5" customHeight="1">
      <c r="A225" s="101">
        <v>939260.0</v>
      </c>
      <c r="B225" s="89">
        <v>45696.0</v>
      </c>
      <c r="C225" s="90" t="s">
        <v>44</v>
      </c>
      <c r="D225" s="91" t="s">
        <v>45</v>
      </c>
      <c r="E225" s="91" t="s">
        <v>292</v>
      </c>
      <c r="F225" s="92" t="s">
        <v>47</v>
      </c>
      <c r="G225" s="93">
        <v>150000.0</v>
      </c>
      <c r="H225" s="94">
        <v>0.0</v>
      </c>
      <c r="I225" s="95">
        <f t="shared" si="3"/>
        <v>150000</v>
      </c>
      <c r="J225" s="93">
        <v>150000.0</v>
      </c>
      <c r="K225" s="96">
        <f t="shared" si="4"/>
        <v>0</v>
      </c>
      <c r="L225" s="97"/>
      <c r="M225" s="98"/>
    </row>
    <row r="226" ht="22.5" customHeight="1">
      <c r="A226" s="88" t="s">
        <v>325</v>
      </c>
      <c r="B226" s="89">
        <v>45696.0</v>
      </c>
      <c r="C226" s="90" t="s">
        <v>44</v>
      </c>
      <c r="D226" s="91" t="s">
        <v>45</v>
      </c>
      <c r="E226" s="91" t="s">
        <v>326</v>
      </c>
      <c r="F226" s="92" t="s">
        <v>47</v>
      </c>
      <c r="G226" s="93">
        <v>20000.0</v>
      </c>
      <c r="H226" s="94">
        <v>0.0</v>
      </c>
      <c r="I226" s="95">
        <f t="shared" si="3"/>
        <v>20000</v>
      </c>
      <c r="J226" s="93">
        <v>20000.0</v>
      </c>
      <c r="K226" s="96">
        <f t="shared" si="4"/>
        <v>0</v>
      </c>
      <c r="L226" s="97"/>
      <c r="M226" s="98"/>
    </row>
    <row r="227" ht="22.5" customHeight="1">
      <c r="A227" s="101">
        <v>227.0</v>
      </c>
      <c r="B227" s="89">
        <v>45696.0</v>
      </c>
      <c r="C227" s="90" t="s">
        <v>44</v>
      </c>
      <c r="D227" s="91" t="s">
        <v>57</v>
      </c>
      <c r="E227" s="91" t="s">
        <v>327</v>
      </c>
      <c r="F227" s="92" t="s">
        <v>47</v>
      </c>
      <c r="G227" s="93">
        <v>30000.0</v>
      </c>
      <c r="H227" s="94">
        <v>0.0</v>
      </c>
      <c r="I227" s="95">
        <f t="shared" si="3"/>
        <v>30000</v>
      </c>
      <c r="J227" s="93">
        <v>30000.0</v>
      </c>
      <c r="K227" s="96">
        <f t="shared" si="4"/>
        <v>0</v>
      </c>
      <c r="L227" s="97"/>
      <c r="M227" s="98"/>
    </row>
    <row r="228" ht="22.5" customHeight="1">
      <c r="A228" s="101">
        <v>229.0</v>
      </c>
      <c r="B228" s="89">
        <v>45696.0</v>
      </c>
      <c r="C228" s="90" t="s">
        <v>44</v>
      </c>
      <c r="D228" s="91" t="s">
        <v>45</v>
      </c>
      <c r="E228" s="91" t="s">
        <v>328</v>
      </c>
      <c r="F228" s="92" t="s">
        <v>47</v>
      </c>
      <c r="G228" s="93">
        <v>60000.0</v>
      </c>
      <c r="H228" s="94">
        <v>0.0</v>
      </c>
      <c r="I228" s="95">
        <f t="shared" si="3"/>
        <v>60000</v>
      </c>
      <c r="J228" s="93">
        <v>60000.0</v>
      </c>
      <c r="K228" s="96">
        <f t="shared" si="4"/>
        <v>0</v>
      </c>
      <c r="L228" s="97"/>
      <c r="M228" s="98"/>
    </row>
    <row r="229" ht="22.5" customHeight="1">
      <c r="A229" s="101">
        <v>231.0</v>
      </c>
      <c r="B229" s="89">
        <v>45697.0</v>
      </c>
      <c r="C229" s="90" t="s">
        <v>44</v>
      </c>
      <c r="D229" s="91" t="s">
        <v>45</v>
      </c>
      <c r="E229" s="91" t="s">
        <v>329</v>
      </c>
      <c r="F229" s="92" t="s">
        <v>47</v>
      </c>
      <c r="G229" s="93">
        <v>25000.0</v>
      </c>
      <c r="H229" s="94">
        <v>0.0</v>
      </c>
      <c r="I229" s="95">
        <f t="shared" si="3"/>
        <v>25000</v>
      </c>
      <c r="J229" s="93">
        <v>25000.0</v>
      </c>
      <c r="K229" s="96">
        <f t="shared" si="4"/>
        <v>0</v>
      </c>
      <c r="L229" s="97"/>
      <c r="M229" s="98"/>
    </row>
    <row r="230" ht="22.5" customHeight="1">
      <c r="A230" s="101">
        <v>230.0</v>
      </c>
      <c r="B230" s="89">
        <v>45697.0</v>
      </c>
      <c r="C230" s="90" t="s">
        <v>44</v>
      </c>
      <c r="D230" s="91" t="s">
        <v>160</v>
      </c>
      <c r="E230" s="91" t="s">
        <v>232</v>
      </c>
      <c r="F230" s="92" t="s">
        <v>47</v>
      </c>
      <c r="G230" s="93">
        <v>8000.0</v>
      </c>
      <c r="H230" s="94">
        <v>0.0</v>
      </c>
      <c r="I230" s="95">
        <f t="shared" si="3"/>
        <v>8000</v>
      </c>
      <c r="J230" s="93">
        <v>8000.0</v>
      </c>
      <c r="K230" s="96">
        <f t="shared" si="4"/>
        <v>0</v>
      </c>
      <c r="L230" s="97"/>
      <c r="M230" s="98"/>
    </row>
    <row r="231" ht="22.5" customHeight="1">
      <c r="A231" s="101">
        <v>223.0</v>
      </c>
      <c r="B231" s="89">
        <v>45697.0</v>
      </c>
      <c r="C231" s="90" t="s">
        <v>44</v>
      </c>
      <c r="D231" s="91" t="s">
        <v>45</v>
      </c>
      <c r="E231" s="91" t="s">
        <v>69</v>
      </c>
      <c r="F231" s="92" t="s">
        <v>47</v>
      </c>
      <c r="G231" s="93">
        <v>35000.0</v>
      </c>
      <c r="H231" s="94">
        <v>0.0</v>
      </c>
      <c r="I231" s="95">
        <f t="shared" si="3"/>
        <v>35000</v>
      </c>
      <c r="J231" s="93">
        <v>35000.0</v>
      </c>
      <c r="K231" s="96">
        <f t="shared" si="4"/>
        <v>0</v>
      </c>
      <c r="L231" s="97"/>
      <c r="M231" s="98"/>
    </row>
    <row r="232" ht="22.5" customHeight="1">
      <c r="A232" s="101">
        <v>237.0</v>
      </c>
      <c r="B232" s="89">
        <v>45697.0</v>
      </c>
      <c r="C232" s="90" t="s">
        <v>44</v>
      </c>
      <c r="D232" s="91" t="s">
        <v>45</v>
      </c>
      <c r="E232" s="91" t="s">
        <v>330</v>
      </c>
      <c r="F232" s="92" t="s">
        <v>47</v>
      </c>
      <c r="G232" s="93">
        <v>70000.0</v>
      </c>
      <c r="H232" s="94">
        <v>0.0</v>
      </c>
      <c r="I232" s="95">
        <f t="shared" si="3"/>
        <v>70000</v>
      </c>
      <c r="J232" s="93">
        <v>70000.0</v>
      </c>
      <c r="K232" s="96">
        <f t="shared" si="4"/>
        <v>0</v>
      </c>
      <c r="L232" s="97"/>
      <c r="M232" s="98"/>
    </row>
    <row r="233" ht="22.5" customHeight="1">
      <c r="A233" s="101">
        <v>939255.0</v>
      </c>
      <c r="B233" s="89">
        <v>45697.0</v>
      </c>
      <c r="C233" s="90" t="s">
        <v>44</v>
      </c>
      <c r="D233" s="91" t="s">
        <v>45</v>
      </c>
      <c r="E233" s="91" t="s">
        <v>331</v>
      </c>
      <c r="F233" s="92" t="s">
        <v>47</v>
      </c>
      <c r="G233" s="93">
        <v>25000.0</v>
      </c>
      <c r="H233" s="94">
        <v>0.0</v>
      </c>
      <c r="I233" s="95">
        <f t="shared" si="3"/>
        <v>25000</v>
      </c>
      <c r="J233" s="93">
        <v>25000.0</v>
      </c>
      <c r="K233" s="96">
        <f t="shared" si="4"/>
        <v>0</v>
      </c>
      <c r="L233" s="97"/>
      <c r="M233" s="98"/>
    </row>
    <row r="234" ht="22.5" customHeight="1">
      <c r="A234" s="101">
        <v>939258.0</v>
      </c>
      <c r="B234" s="89">
        <v>45697.0</v>
      </c>
      <c r="C234" s="90" t="s">
        <v>44</v>
      </c>
      <c r="D234" s="91" t="s">
        <v>45</v>
      </c>
      <c r="E234" s="91" t="s">
        <v>257</v>
      </c>
      <c r="F234" s="92" t="s">
        <v>47</v>
      </c>
      <c r="G234" s="93">
        <v>250000.0</v>
      </c>
      <c r="H234" s="94">
        <v>0.0</v>
      </c>
      <c r="I234" s="95">
        <f t="shared" si="3"/>
        <v>250000</v>
      </c>
      <c r="J234" s="93">
        <v>250000.0</v>
      </c>
      <c r="K234" s="96">
        <f t="shared" si="4"/>
        <v>0</v>
      </c>
      <c r="L234" s="97"/>
      <c r="M234" s="98"/>
    </row>
    <row r="235" ht="22.5" customHeight="1">
      <c r="A235" s="88" t="s">
        <v>332</v>
      </c>
      <c r="B235" s="89">
        <v>45697.0</v>
      </c>
      <c r="C235" s="90" t="s">
        <v>44</v>
      </c>
      <c r="D235" s="91" t="s">
        <v>45</v>
      </c>
      <c r="E235" s="91" t="s">
        <v>123</v>
      </c>
      <c r="F235" s="92" t="s">
        <v>47</v>
      </c>
      <c r="G235" s="93">
        <v>5000.0</v>
      </c>
      <c r="H235" s="94">
        <v>0.0</v>
      </c>
      <c r="I235" s="95">
        <f t="shared" si="3"/>
        <v>5000</v>
      </c>
      <c r="J235" s="93">
        <v>5000.0</v>
      </c>
      <c r="K235" s="96">
        <f t="shared" si="4"/>
        <v>0</v>
      </c>
      <c r="L235" s="97"/>
      <c r="M235" s="98"/>
    </row>
    <row r="236" ht="22.5" customHeight="1">
      <c r="A236" s="101">
        <v>233.0</v>
      </c>
      <c r="B236" s="89">
        <v>45698.0</v>
      </c>
      <c r="C236" s="90" t="s">
        <v>44</v>
      </c>
      <c r="D236" s="91" t="s">
        <v>160</v>
      </c>
      <c r="E236" s="91" t="s">
        <v>214</v>
      </c>
      <c r="F236" s="92" t="s">
        <v>47</v>
      </c>
      <c r="G236" s="93">
        <v>10000.0</v>
      </c>
      <c r="H236" s="94">
        <v>0.0</v>
      </c>
      <c r="I236" s="95">
        <f t="shared" si="3"/>
        <v>10000</v>
      </c>
      <c r="J236" s="93">
        <v>10000.0</v>
      </c>
      <c r="K236" s="96">
        <f t="shared" si="4"/>
        <v>0</v>
      </c>
      <c r="L236" s="97"/>
      <c r="M236" s="98"/>
    </row>
    <row r="237" ht="22.5" customHeight="1">
      <c r="A237" s="101">
        <v>234.0</v>
      </c>
      <c r="B237" s="89">
        <v>45698.0</v>
      </c>
      <c r="C237" s="90" t="s">
        <v>44</v>
      </c>
      <c r="D237" s="91" t="s">
        <v>160</v>
      </c>
      <c r="E237" s="91" t="s">
        <v>214</v>
      </c>
      <c r="F237" s="92" t="s">
        <v>47</v>
      </c>
      <c r="G237" s="93">
        <v>10000.0</v>
      </c>
      <c r="H237" s="94">
        <v>0.0</v>
      </c>
      <c r="I237" s="95">
        <f t="shared" si="3"/>
        <v>10000</v>
      </c>
      <c r="J237" s="93">
        <v>10000.0</v>
      </c>
      <c r="K237" s="96">
        <f t="shared" si="4"/>
        <v>0</v>
      </c>
      <c r="L237" s="97"/>
      <c r="M237" s="98"/>
    </row>
    <row r="238" ht="22.5" customHeight="1">
      <c r="A238" s="88" t="s">
        <v>333</v>
      </c>
      <c r="B238" s="89">
        <v>45699.0</v>
      </c>
      <c r="C238" s="90" t="s">
        <v>44</v>
      </c>
      <c r="D238" s="91" t="s">
        <v>45</v>
      </c>
      <c r="E238" s="91" t="s">
        <v>334</v>
      </c>
      <c r="F238" s="92" t="s">
        <v>47</v>
      </c>
      <c r="G238" s="93">
        <v>500000.0</v>
      </c>
      <c r="H238" s="94">
        <v>0.0</v>
      </c>
      <c r="I238" s="95">
        <f t="shared" si="3"/>
        <v>500000</v>
      </c>
      <c r="J238" s="93">
        <v>500000.0</v>
      </c>
      <c r="K238" s="96">
        <f t="shared" si="4"/>
        <v>0</v>
      </c>
      <c r="L238" s="97"/>
      <c r="M238" s="98"/>
    </row>
    <row r="239" ht="22.5" customHeight="1">
      <c r="A239" s="88" t="s">
        <v>335</v>
      </c>
      <c r="B239" s="89">
        <v>45699.0</v>
      </c>
      <c r="C239" s="90" t="s">
        <v>44</v>
      </c>
      <c r="D239" s="91" t="s">
        <v>45</v>
      </c>
      <c r="E239" s="91" t="s">
        <v>154</v>
      </c>
      <c r="F239" s="92" t="s">
        <v>47</v>
      </c>
      <c r="G239" s="93">
        <v>100000.0</v>
      </c>
      <c r="H239" s="94">
        <v>0.0</v>
      </c>
      <c r="I239" s="95">
        <f t="shared" si="3"/>
        <v>100000</v>
      </c>
      <c r="J239" s="93">
        <v>100000.0</v>
      </c>
      <c r="K239" s="96">
        <f t="shared" si="4"/>
        <v>0</v>
      </c>
      <c r="L239" s="97"/>
      <c r="M239" s="98"/>
    </row>
    <row r="240" ht="22.5" customHeight="1">
      <c r="A240" s="101">
        <v>240.0</v>
      </c>
      <c r="B240" s="89">
        <v>45700.0</v>
      </c>
      <c r="C240" s="103" t="s">
        <v>83</v>
      </c>
      <c r="D240" s="91" t="s">
        <v>45</v>
      </c>
      <c r="E240" s="91" t="s">
        <v>336</v>
      </c>
      <c r="F240" s="92" t="s">
        <v>47</v>
      </c>
      <c r="G240" s="93">
        <v>35000.0</v>
      </c>
      <c r="H240" s="94">
        <v>0.0</v>
      </c>
      <c r="I240" s="95">
        <f t="shared" si="3"/>
        <v>35000</v>
      </c>
      <c r="J240" s="93">
        <v>0.0</v>
      </c>
      <c r="K240" s="104">
        <f t="shared" si="4"/>
        <v>35000</v>
      </c>
      <c r="L240" s="97"/>
      <c r="M240" s="98"/>
    </row>
    <row r="241" ht="22.5" customHeight="1">
      <c r="A241" s="101">
        <v>240.0</v>
      </c>
      <c r="B241" s="89">
        <v>45700.0</v>
      </c>
      <c r="C241" s="103" t="s">
        <v>83</v>
      </c>
      <c r="D241" s="91" t="s">
        <v>45</v>
      </c>
      <c r="E241" s="91" t="s">
        <v>337</v>
      </c>
      <c r="F241" s="92" t="s">
        <v>47</v>
      </c>
      <c r="G241" s="93">
        <v>30000.0</v>
      </c>
      <c r="H241" s="94">
        <v>0.0</v>
      </c>
      <c r="I241" s="95">
        <f t="shared" si="3"/>
        <v>30000</v>
      </c>
      <c r="J241" s="93">
        <v>0.0</v>
      </c>
      <c r="K241" s="104">
        <f t="shared" si="4"/>
        <v>30000</v>
      </c>
      <c r="L241" s="97"/>
      <c r="M241" s="98"/>
    </row>
    <row r="242" ht="22.5" customHeight="1">
      <c r="A242" s="101">
        <v>240.0</v>
      </c>
      <c r="B242" s="89">
        <v>45700.0</v>
      </c>
      <c r="C242" s="103" t="s">
        <v>83</v>
      </c>
      <c r="D242" s="91" t="s">
        <v>45</v>
      </c>
      <c r="E242" s="91" t="s">
        <v>338</v>
      </c>
      <c r="F242" s="92" t="s">
        <v>47</v>
      </c>
      <c r="G242" s="93">
        <v>50000.0</v>
      </c>
      <c r="H242" s="94">
        <v>0.0</v>
      </c>
      <c r="I242" s="95">
        <f t="shared" si="3"/>
        <v>50000</v>
      </c>
      <c r="J242" s="93">
        <v>0.0</v>
      </c>
      <c r="K242" s="104">
        <f t="shared" si="4"/>
        <v>50000</v>
      </c>
      <c r="L242" s="97"/>
      <c r="M242" s="98"/>
    </row>
    <row r="243" ht="22.5" customHeight="1">
      <c r="A243" s="101">
        <v>239.0</v>
      </c>
      <c r="B243" s="89">
        <v>45700.0</v>
      </c>
      <c r="C243" s="90" t="s">
        <v>44</v>
      </c>
      <c r="D243" s="91" t="s">
        <v>45</v>
      </c>
      <c r="E243" s="91" t="s">
        <v>49</v>
      </c>
      <c r="F243" s="92" t="s">
        <v>47</v>
      </c>
      <c r="G243" s="93">
        <v>30000.0</v>
      </c>
      <c r="H243" s="94">
        <v>0.0</v>
      </c>
      <c r="I243" s="95">
        <f t="shared" si="3"/>
        <v>30000</v>
      </c>
      <c r="J243" s="93">
        <v>30000.0</v>
      </c>
      <c r="K243" s="96">
        <f t="shared" si="4"/>
        <v>0</v>
      </c>
      <c r="L243" s="97"/>
      <c r="M243" s="98"/>
    </row>
    <row r="244" ht="22.5" customHeight="1">
      <c r="A244" s="101">
        <v>165.0</v>
      </c>
      <c r="B244" s="89">
        <v>45700.0</v>
      </c>
      <c r="C244" s="90" t="s">
        <v>44</v>
      </c>
      <c r="D244" s="91" t="s">
        <v>57</v>
      </c>
      <c r="E244" s="91" t="s">
        <v>339</v>
      </c>
      <c r="F244" s="92" t="s">
        <v>47</v>
      </c>
      <c r="G244" s="93">
        <v>2800000.0</v>
      </c>
      <c r="H244" s="94">
        <v>0.0</v>
      </c>
      <c r="I244" s="95">
        <f t="shared" si="3"/>
        <v>2800000</v>
      </c>
      <c r="J244" s="93">
        <v>2800000.0</v>
      </c>
      <c r="K244" s="96">
        <f t="shared" si="4"/>
        <v>0</v>
      </c>
      <c r="L244" s="97"/>
      <c r="M244" s="98"/>
    </row>
    <row r="245" ht="22.5" customHeight="1">
      <c r="A245" s="101">
        <v>168.0</v>
      </c>
      <c r="B245" s="89">
        <v>45700.0</v>
      </c>
      <c r="C245" s="90" t="s">
        <v>44</v>
      </c>
      <c r="D245" s="91" t="s">
        <v>57</v>
      </c>
      <c r="E245" s="91" t="s">
        <v>340</v>
      </c>
      <c r="F245" s="92" t="s">
        <v>47</v>
      </c>
      <c r="G245" s="93">
        <v>375000.0</v>
      </c>
      <c r="H245" s="94">
        <v>0.0</v>
      </c>
      <c r="I245" s="95">
        <f t="shared" si="3"/>
        <v>375000</v>
      </c>
      <c r="J245" s="93">
        <v>375000.0</v>
      </c>
      <c r="K245" s="96">
        <f t="shared" si="4"/>
        <v>0</v>
      </c>
      <c r="L245" s="97"/>
      <c r="M245" s="98"/>
    </row>
    <row r="246" ht="22.5" customHeight="1">
      <c r="A246" s="101">
        <v>939269.0</v>
      </c>
      <c r="B246" s="89">
        <v>45700.0</v>
      </c>
      <c r="C246" s="90" t="s">
        <v>44</v>
      </c>
      <c r="D246" s="91" t="s">
        <v>45</v>
      </c>
      <c r="E246" s="91" t="s">
        <v>341</v>
      </c>
      <c r="F246" s="92" t="s">
        <v>47</v>
      </c>
      <c r="G246" s="93">
        <v>150000.0</v>
      </c>
      <c r="H246" s="94">
        <v>0.0</v>
      </c>
      <c r="I246" s="95">
        <f t="shared" si="3"/>
        <v>150000</v>
      </c>
      <c r="J246" s="93">
        <v>150000.0</v>
      </c>
      <c r="K246" s="96">
        <f t="shared" si="4"/>
        <v>0</v>
      </c>
      <c r="L246" s="97"/>
      <c r="M246" s="98"/>
    </row>
    <row r="247" ht="22.5" customHeight="1">
      <c r="A247" s="101">
        <v>939269.0</v>
      </c>
      <c r="B247" s="89">
        <v>45700.0</v>
      </c>
      <c r="C247" s="90" t="s">
        <v>44</v>
      </c>
      <c r="D247" s="91" t="s">
        <v>45</v>
      </c>
      <c r="E247" s="91" t="s">
        <v>336</v>
      </c>
      <c r="F247" s="92" t="s">
        <v>47</v>
      </c>
      <c r="G247" s="93">
        <v>75000.0</v>
      </c>
      <c r="H247" s="94">
        <v>0.0</v>
      </c>
      <c r="I247" s="95">
        <f t="shared" si="3"/>
        <v>75000</v>
      </c>
      <c r="J247" s="93">
        <v>75000.0</v>
      </c>
      <c r="K247" s="96">
        <f t="shared" si="4"/>
        <v>0</v>
      </c>
      <c r="L247" s="97"/>
      <c r="M247" s="98"/>
    </row>
    <row r="248" ht="22.5" customHeight="1">
      <c r="A248" s="101">
        <v>939269.0</v>
      </c>
      <c r="B248" s="89">
        <v>45700.0</v>
      </c>
      <c r="C248" s="90" t="s">
        <v>44</v>
      </c>
      <c r="D248" s="91" t="s">
        <v>45</v>
      </c>
      <c r="E248" s="91" t="s">
        <v>274</v>
      </c>
      <c r="F248" s="92" t="s">
        <v>47</v>
      </c>
      <c r="G248" s="93">
        <v>40000.0</v>
      </c>
      <c r="H248" s="94">
        <v>0.0</v>
      </c>
      <c r="I248" s="95">
        <f t="shared" si="3"/>
        <v>40000</v>
      </c>
      <c r="J248" s="93">
        <v>40000.0</v>
      </c>
      <c r="K248" s="96">
        <f t="shared" si="4"/>
        <v>0</v>
      </c>
      <c r="L248" s="97"/>
      <c r="M248" s="98"/>
    </row>
    <row r="249" ht="22.5" customHeight="1">
      <c r="A249" s="101">
        <v>239.0</v>
      </c>
      <c r="B249" s="89">
        <v>45700.0</v>
      </c>
      <c r="C249" s="90" t="s">
        <v>44</v>
      </c>
      <c r="D249" s="91" t="s">
        <v>45</v>
      </c>
      <c r="E249" s="91" t="s">
        <v>193</v>
      </c>
      <c r="F249" s="92" t="s">
        <v>47</v>
      </c>
      <c r="G249" s="93">
        <v>125000.0</v>
      </c>
      <c r="H249" s="94">
        <v>0.0</v>
      </c>
      <c r="I249" s="95">
        <f t="shared" si="3"/>
        <v>125000</v>
      </c>
      <c r="J249" s="93">
        <v>125000.0</v>
      </c>
      <c r="K249" s="96">
        <f t="shared" si="4"/>
        <v>0</v>
      </c>
      <c r="L249" s="97"/>
      <c r="M249" s="98"/>
    </row>
    <row r="250" ht="22.5" customHeight="1">
      <c r="A250" s="101">
        <v>239.0</v>
      </c>
      <c r="B250" s="89">
        <v>45700.0</v>
      </c>
      <c r="C250" s="90" t="s">
        <v>44</v>
      </c>
      <c r="D250" s="91" t="s">
        <v>45</v>
      </c>
      <c r="E250" s="91" t="s">
        <v>342</v>
      </c>
      <c r="F250" s="92" t="s">
        <v>47</v>
      </c>
      <c r="G250" s="93">
        <v>30000.0</v>
      </c>
      <c r="H250" s="94">
        <v>0.0</v>
      </c>
      <c r="I250" s="95">
        <f t="shared" si="3"/>
        <v>30000</v>
      </c>
      <c r="J250" s="93">
        <v>30000.0</v>
      </c>
      <c r="K250" s="96">
        <f t="shared" si="4"/>
        <v>0</v>
      </c>
      <c r="L250" s="97"/>
      <c r="M250" s="98"/>
    </row>
    <row r="251" ht="22.5" customHeight="1">
      <c r="A251" s="101">
        <v>939261.0</v>
      </c>
      <c r="B251" s="89">
        <v>45700.0</v>
      </c>
      <c r="C251" s="90" t="s">
        <v>44</v>
      </c>
      <c r="D251" s="91" t="s">
        <v>45</v>
      </c>
      <c r="E251" s="91" t="s">
        <v>343</v>
      </c>
      <c r="F251" s="92" t="s">
        <v>47</v>
      </c>
      <c r="G251" s="93">
        <v>50000.0</v>
      </c>
      <c r="H251" s="94">
        <v>0.0</v>
      </c>
      <c r="I251" s="95">
        <f t="shared" si="3"/>
        <v>50000</v>
      </c>
      <c r="J251" s="93">
        <v>50000.0</v>
      </c>
      <c r="K251" s="96">
        <f t="shared" si="4"/>
        <v>0</v>
      </c>
      <c r="L251" s="97"/>
      <c r="M251" s="98"/>
    </row>
    <row r="252" ht="22.5" customHeight="1">
      <c r="A252" s="101">
        <v>939261.0</v>
      </c>
      <c r="B252" s="89">
        <v>45700.0</v>
      </c>
      <c r="C252" s="90" t="s">
        <v>44</v>
      </c>
      <c r="D252" s="91" t="s">
        <v>45</v>
      </c>
      <c r="E252" s="91" t="s">
        <v>343</v>
      </c>
      <c r="F252" s="92" t="s">
        <v>47</v>
      </c>
      <c r="G252" s="93">
        <v>75000.0</v>
      </c>
      <c r="H252" s="94">
        <v>0.0</v>
      </c>
      <c r="I252" s="95">
        <f t="shared" si="3"/>
        <v>75000</v>
      </c>
      <c r="J252" s="93">
        <v>75000.0</v>
      </c>
      <c r="K252" s="96">
        <f t="shared" si="4"/>
        <v>0</v>
      </c>
      <c r="L252" s="97"/>
      <c r="M252" s="98"/>
    </row>
    <row r="253" ht="22.5" customHeight="1">
      <c r="A253" s="101">
        <v>939261.0</v>
      </c>
      <c r="B253" s="89">
        <v>45700.0</v>
      </c>
      <c r="C253" s="90" t="s">
        <v>44</v>
      </c>
      <c r="D253" s="91" t="s">
        <v>45</v>
      </c>
      <c r="E253" s="91" t="s">
        <v>344</v>
      </c>
      <c r="F253" s="92" t="s">
        <v>47</v>
      </c>
      <c r="G253" s="93">
        <v>45000.0</v>
      </c>
      <c r="H253" s="94">
        <v>0.0</v>
      </c>
      <c r="I253" s="95">
        <f t="shared" si="3"/>
        <v>45000</v>
      </c>
      <c r="J253" s="93">
        <v>45000.0</v>
      </c>
      <c r="K253" s="96">
        <f t="shared" si="4"/>
        <v>0</v>
      </c>
      <c r="L253" s="97"/>
      <c r="M253" s="98"/>
    </row>
    <row r="254" ht="22.5" customHeight="1">
      <c r="A254" s="101">
        <v>939261.0</v>
      </c>
      <c r="B254" s="89">
        <v>45700.0</v>
      </c>
      <c r="C254" s="90" t="s">
        <v>44</v>
      </c>
      <c r="D254" s="91" t="s">
        <v>45</v>
      </c>
      <c r="E254" s="91" t="s">
        <v>345</v>
      </c>
      <c r="F254" s="92" t="s">
        <v>47</v>
      </c>
      <c r="G254" s="93">
        <v>75000.0</v>
      </c>
      <c r="H254" s="94">
        <v>0.0</v>
      </c>
      <c r="I254" s="95">
        <f t="shared" si="3"/>
        <v>75000</v>
      </c>
      <c r="J254" s="93">
        <v>75000.0</v>
      </c>
      <c r="K254" s="96">
        <f t="shared" si="4"/>
        <v>0</v>
      </c>
      <c r="L254" s="97"/>
      <c r="M254" s="98"/>
    </row>
    <row r="255" ht="22.5" customHeight="1">
      <c r="A255" s="88" t="s">
        <v>346</v>
      </c>
      <c r="B255" s="89">
        <v>45700.0</v>
      </c>
      <c r="C255" s="90" t="s">
        <v>44</v>
      </c>
      <c r="D255" s="91" t="s">
        <v>45</v>
      </c>
      <c r="E255" s="91" t="s">
        <v>257</v>
      </c>
      <c r="F255" s="92" t="s">
        <v>47</v>
      </c>
      <c r="G255" s="93">
        <v>35000.0</v>
      </c>
      <c r="H255" s="94">
        <v>0.0</v>
      </c>
      <c r="I255" s="95">
        <f t="shared" si="3"/>
        <v>35000</v>
      </c>
      <c r="J255" s="93">
        <v>35000.0</v>
      </c>
      <c r="K255" s="96">
        <f t="shared" si="4"/>
        <v>0</v>
      </c>
      <c r="L255" s="97"/>
      <c r="M255" s="98"/>
    </row>
    <row r="256" ht="22.5" customHeight="1">
      <c r="A256" s="88" t="s">
        <v>347</v>
      </c>
      <c r="B256" s="89">
        <v>45700.0</v>
      </c>
      <c r="C256" s="90" t="s">
        <v>44</v>
      </c>
      <c r="D256" s="91" t="s">
        <v>45</v>
      </c>
      <c r="E256" s="91" t="s">
        <v>348</v>
      </c>
      <c r="F256" s="92" t="s">
        <v>47</v>
      </c>
      <c r="G256" s="93">
        <v>75000.0</v>
      </c>
      <c r="H256" s="94">
        <v>0.0</v>
      </c>
      <c r="I256" s="95">
        <f t="shared" si="3"/>
        <v>75000</v>
      </c>
      <c r="J256" s="93">
        <v>75000.0</v>
      </c>
      <c r="K256" s="96">
        <f t="shared" si="4"/>
        <v>0</v>
      </c>
      <c r="L256" s="97"/>
      <c r="M256" s="98"/>
    </row>
    <row r="257" ht="22.5" customHeight="1">
      <c r="A257" s="88" t="s">
        <v>349</v>
      </c>
      <c r="B257" s="89">
        <v>45701.0</v>
      </c>
      <c r="C257" s="103" t="s">
        <v>83</v>
      </c>
      <c r="D257" s="91" t="s">
        <v>237</v>
      </c>
      <c r="E257" s="91" t="s">
        <v>350</v>
      </c>
      <c r="F257" s="92" t="s">
        <v>47</v>
      </c>
      <c r="G257" s="93">
        <v>35000.0</v>
      </c>
      <c r="H257" s="94">
        <v>0.0</v>
      </c>
      <c r="I257" s="95">
        <f t="shared" si="3"/>
        <v>35000</v>
      </c>
      <c r="J257" s="93">
        <v>0.0</v>
      </c>
      <c r="K257" s="104">
        <f t="shared" si="4"/>
        <v>35000</v>
      </c>
      <c r="L257" s="97"/>
      <c r="M257" s="98"/>
    </row>
    <row r="258" ht="22.5" customHeight="1">
      <c r="A258" s="88" t="s">
        <v>351</v>
      </c>
      <c r="B258" s="89">
        <v>45701.0</v>
      </c>
      <c r="C258" s="103" t="s">
        <v>83</v>
      </c>
      <c r="D258" s="91" t="s">
        <v>237</v>
      </c>
      <c r="E258" s="91" t="s">
        <v>46</v>
      </c>
      <c r="F258" s="92" t="s">
        <v>47</v>
      </c>
      <c r="G258" s="93">
        <v>25000.0</v>
      </c>
      <c r="H258" s="94">
        <v>0.0</v>
      </c>
      <c r="I258" s="95">
        <f t="shared" si="3"/>
        <v>25000</v>
      </c>
      <c r="J258" s="93">
        <v>0.0</v>
      </c>
      <c r="K258" s="104">
        <f t="shared" si="4"/>
        <v>25000</v>
      </c>
      <c r="L258" s="97"/>
      <c r="M258" s="98"/>
    </row>
    <row r="259" ht="22.5" customHeight="1">
      <c r="A259" s="88" t="s">
        <v>352</v>
      </c>
      <c r="B259" s="89">
        <v>45701.0</v>
      </c>
      <c r="C259" s="103" t="s">
        <v>83</v>
      </c>
      <c r="D259" s="91" t="s">
        <v>237</v>
      </c>
      <c r="E259" s="91" t="s">
        <v>353</v>
      </c>
      <c r="F259" s="92" t="s">
        <v>47</v>
      </c>
      <c r="G259" s="93">
        <v>5000.0</v>
      </c>
      <c r="H259" s="94">
        <v>0.0</v>
      </c>
      <c r="I259" s="95">
        <f t="shared" si="3"/>
        <v>5000</v>
      </c>
      <c r="J259" s="93">
        <v>0.0</v>
      </c>
      <c r="K259" s="104">
        <f t="shared" si="4"/>
        <v>5000</v>
      </c>
      <c r="L259" s="97"/>
      <c r="M259" s="98"/>
    </row>
    <row r="260" ht="22.5" customHeight="1">
      <c r="A260" s="101">
        <v>261.0</v>
      </c>
      <c r="B260" s="89">
        <v>45701.0</v>
      </c>
      <c r="C260" s="90" t="s">
        <v>44</v>
      </c>
      <c r="D260" s="91" t="s">
        <v>45</v>
      </c>
      <c r="E260" s="91" t="s">
        <v>354</v>
      </c>
      <c r="F260" s="92" t="s">
        <v>47</v>
      </c>
      <c r="G260" s="93">
        <v>40000.0</v>
      </c>
      <c r="H260" s="94">
        <v>0.0</v>
      </c>
      <c r="I260" s="95">
        <f t="shared" si="3"/>
        <v>40000</v>
      </c>
      <c r="J260" s="93">
        <v>40000.0</v>
      </c>
      <c r="K260" s="96">
        <f t="shared" si="4"/>
        <v>0</v>
      </c>
      <c r="L260" s="97"/>
      <c r="M260" s="98"/>
    </row>
    <row r="261" ht="22.5" customHeight="1">
      <c r="A261" s="101">
        <v>261.0</v>
      </c>
      <c r="B261" s="89">
        <v>45701.0</v>
      </c>
      <c r="C261" s="90" t="s">
        <v>44</v>
      </c>
      <c r="D261" s="91" t="s">
        <v>45</v>
      </c>
      <c r="E261" s="91" t="s">
        <v>354</v>
      </c>
      <c r="F261" s="92" t="s">
        <v>47</v>
      </c>
      <c r="G261" s="93">
        <v>50000.0</v>
      </c>
      <c r="H261" s="94">
        <v>0.0</v>
      </c>
      <c r="I261" s="95">
        <f t="shared" si="3"/>
        <v>50000</v>
      </c>
      <c r="J261" s="93">
        <v>50000.0</v>
      </c>
      <c r="K261" s="96">
        <f t="shared" si="4"/>
        <v>0</v>
      </c>
      <c r="L261" s="97"/>
      <c r="M261" s="98"/>
    </row>
    <row r="262" ht="22.5" customHeight="1">
      <c r="A262" s="101">
        <v>261.0</v>
      </c>
      <c r="B262" s="89">
        <v>45701.0</v>
      </c>
      <c r="C262" s="90" t="s">
        <v>44</v>
      </c>
      <c r="D262" s="91" t="s">
        <v>45</v>
      </c>
      <c r="E262" s="91" t="s">
        <v>165</v>
      </c>
      <c r="F262" s="92" t="s">
        <v>47</v>
      </c>
      <c r="G262" s="93">
        <v>35000.0</v>
      </c>
      <c r="H262" s="94">
        <v>0.0</v>
      </c>
      <c r="I262" s="95">
        <f t="shared" si="3"/>
        <v>35000</v>
      </c>
      <c r="J262" s="93">
        <v>35000.0</v>
      </c>
      <c r="K262" s="96">
        <f t="shared" si="4"/>
        <v>0</v>
      </c>
      <c r="L262" s="97"/>
      <c r="M262" s="98"/>
    </row>
    <row r="263" ht="22.5" customHeight="1">
      <c r="A263" s="88" t="s">
        <v>355</v>
      </c>
      <c r="B263" s="89">
        <v>45701.0</v>
      </c>
      <c r="C263" s="90" t="s">
        <v>44</v>
      </c>
      <c r="D263" s="91" t="s">
        <v>45</v>
      </c>
      <c r="E263" s="91" t="s">
        <v>356</v>
      </c>
      <c r="F263" s="92" t="s">
        <v>47</v>
      </c>
      <c r="G263" s="93">
        <v>25000.0</v>
      </c>
      <c r="H263" s="94">
        <v>0.0</v>
      </c>
      <c r="I263" s="95">
        <f t="shared" si="3"/>
        <v>25000</v>
      </c>
      <c r="J263" s="93">
        <v>25000.0</v>
      </c>
      <c r="K263" s="96">
        <f t="shared" si="4"/>
        <v>0</v>
      </c>
      <c r="L263" s="97"/>
      <c r="M263" s="98"/>
    </row>
    <row r="264" ht="22.5" customHeight="1">
      <c r="A264" s="88" t="s">
        <v>357</v>
      </c>
      <c r="B264" s="89">
        <v>45702.0</v>
      </c>
      <c r="C264" s="103" t="s">
        <v>83</v>
      </c>
      <c r="D264" s="91" t="s">
        <v>160</v>
      </c>
      <c r="E264" s="91" t="s">
        <v>358</v>
      </c>
      <c r="F264" s="92" t="s">
        <v>47</v>
      </c>
      <c r="G264" s="93">
        <v>15000.0</v>
      </c>
      <c r="H264" s="94">
        <v>0.0</v>
      </c>
      <c r="I264" s="95">
        <f t="shared" si="3"/>
        <v>15000</v>
      </c>
      <c r="J264" s="93">
        <v>0.0</v>
      </c>
      <c r="K264" s="104">
        <f t="shared" si="4"/>
        <v>15000</v>
      </c>
      <c r="L264" s="97"/>
      <c r="M264" s="98"/>
    </row>
    <row r="265" ht="22.5" customHeight="1">
      <c r="A265" s="88" t="s">
        <v>359</v>
      </c>
      <c r="B265" s="89">
        <v>45702.0</v>
      </c>
      <c r="C265" s="103" t="s">
        <v>83</v>
      </c>
      <c r="D265" s="91" t="s">
        <v>45</v>
      </c>
      <c r="E265" s="91" t="s">
        <v>360</v>
      </c>
      <c r="F265" s="92" t="s">
        <v>47</v>
      </c>
      <c r="G265" s="93">
        <v>45000.0</v>
      </c>
      <c r="H265" s="94">
        <v>0.0</v>
      </c>
      <c r="I265" s="95">
        <f t="shared" si="3"/>
        <v>45000</v>
      </c>
      <c r="J265" s="93">
        <v>0.0</v>
      </c>
      <c r="K265" s="104">
        <f t="shared" si="4"/>
        <v>45000</v>
      </c>
      <c r="L265" s="97"/>
      <c r="M265" s="98"/>
    </row>
    <row r="266" ht="22.5" customHeight="1">
      <c r="A266" s="101">
        <v>261.0</v>
      </c>
      <c r="B266" s="89">
        <v>45702.0</v>
      </c>
      <c r="C266" s="90" t="s">
        <v>44</v>
      </c>
      <c r="D266" s="91" t="s">
        <v>45</v>
      </c>
      <c r="E266" s="91" t="s">
        <v>361</v>
      </c>
      <c r="F266" s="92" t="s">
        <v>47</v>
      </c>
      <c r="G266" s="93">
        <v>70000.0</v>
      </c>
      <c r="H266" s="94">
        <v>0.0</v>
      </c>
      <c r="I266" s="95">
        <f t="shared" si="3"/>
        <v>70000</v>
      </c>
      <c r="J266" s="93">
        <v>70000.0</v>
      </c>
      <c r="K266" s="96">
        <f t="shared" si="4"/>
        <v>0</v>
      </c>
      <c r="L266" s="97"/>
      <c r="M266" s="98"/>
    </row>
    <row r="267" ht="22.5" customHeight="1">
      <c r="A267" s="101">
        <v>261.0</v>
      </c>
      <c r="B267" s="89">
        <v>45702.0</v>
      </c>
      <c r="C267" s="90" t="s">
        <v>44</v>
      </c>
      <c r="D267" s="91" t="s">
        <v>45</v>
      </c>
      <c r="E267" s="91" t="s">
        <v>362</v>
      </c>
      <c r="F267" s="92" t="s">
        <v>47</v>
      </c>
      <c r="G267" s="93">
        <v>70000.0</v>
      </c>
      <c r="H267" s="94">
        <v>0.0</v>
      </c>
      <c r="I267" s="95">
        <f t="shared" si="3"/>
        <v>70000</v>
      </c>
      <c r="J267" s="93">
        <v>70000.0</v>
      </c>
      <c r="K267" s="96">
        <f t="shared" si="4"/>
        <v>0</v>
      </c>
      <c r="L267" s="97"/>
      <c r="M267" s="98"/>
    </row>
    <row r="268" ht="22.5" customHeight="1">
      <c r="A268" s="88" t="s">
        <v>363</v>
      </c>
      <c r="B268" s="89">
        <v>45702.0</v>
      </c>
      <c r="C268" s="90" t="s">
        <v>44</v>
      </c>
      <c r="D268" s="91" t="s">
        <v>364</v>
      </c>
      <c r="E268" s="91" t="s">
        <v>365</v>
      </c>
      <c r="F268" s="92" t="s">
        <v>47</v>
      </c>
      <c r="G268" s="93">
        <v>15000.0</v>
      </c>
      <c r="H268" s="94">
        <v>0.0</v>
      </c>
      <c r="I268" s="95">
        <f t="shared" si="3"/>
        <v>15000</v>
      </c>
      <c r="J268" s="93">
        <v>15000.0</v>
      </c>
      <c r="K268" s="96">
        <f t="shared" si="4"/>
        <v>0</v>
      </c>
      <c r="L268" s="97"/>
      <c r="M268" s="98"/>
    </row>
    <row r="269" ht="22.5" customHeight="1">
      <c r="A269" s="88" t="s">
        <v>366</v>
      </c>
      <c r="B269" s="89">
        <v>45703.0</v>
      </c>
      <c r="C269" s="103" t="s">
        <v>83</v>
      </c>
      <c r="D269" s="91" t="s">
        <v>45</v>
      </c>
      <c r="E269" s="91" t="s">
        <v>367</v>
      </c>
      <c r="F269" s="92" t="s">
        <v>47</v>
      </c>
      <c r="G269" s="93">
        <v>75000.0</v>
      </c>
      <c r="H269" s="94">
        <v>0.0</v>
      </c>
      <c r="I269" s="95">
        <f t="shared" si="3"/>
        <v>75000</v>
      </c>
      <c r="J269" s="93">
        <v>0.0</v>
      </c>
      <c r="K269" s="104">
        <f t="shared" si="4"/>
        <v>75000</v>
      </c>
      <c r="L269" s="97"/>
      <c r="M269" s="98"/>
    </row>
    <row r="270" ht="22.5" customHeight="1">
      <c r="A270" s="88" t="s">
        <v>368</v>
      </c>
      <c r="B270" s="89">
        <v>45703.0</v>
      </c>
      <c r="C270" s="103" t="s">
        <v>83</v>
      </c>
      <c r="D270" s="91" t="s">
        <v>45</v>
      </c>
      <c r="E270" s="91" t="s">
        <v>367</v>
      </c>
      <c r="F270" s="92" t="s">
        <v>47</v>
      </c>
      <c r="G270" s="93">
        <v>75000.0</v>
      </c>
      <c r="H270" s="94">
        <v>0.0</v>
      </c>
      <c r="I270" s="95">
        <f t="shared" si="3"/>
        <v>75000</v>
      </c>
      <c r="J270" s="93">
        <v>0.0</v>
      </c>
      <c r="K270" s="104">
        <f t="shared" si="4"/>
        <v>75000</v>
      </c>
      <c r="L270" s="97"/>
      <c r="M270" s="98"/>
    </row>
    <row r="271" ht="22.5" customHeight="1">
      <c r="A271" s="88" t="s">
        <v>369</v>
      </c>
      <c r="B271" s="89">
        <v>45704.0</v>
      </c>
      <c r="C271" s="103" t="s">
        <v>83</v>
      </c>
      <c r="D271" s="91" t="s">
        <v>45</v>
      </c>
      <c r="E271" s="91" t="s">
        <v>92</v>
      </c>
      <c r="F271" s="92" t="s">
        <v>47</v>
      </c>
      <c r="G271" s="93">
        <v>100000.0</v>
      </c>
      <c r="H271" s="94">
        <v>0.0</v>
      </c>
      <c r="I271" s="95">
        <f t="shared" si="3"/>
        <v>100000</v>
      </c>
      <c r="J271" s="93">
        <v>0.0</v>
      </c>
      <c r="K271" s="104">
        <f t="shared" si="4"/>
        <v>100000</v>
      </c>
      <c r="L271" s="97"/>
      <c r="M271" s="98"/>
    </row>
    <row r="272" ht="22.5" customHeight="1">
      <c r="A272" s="88" t="s">
        <v>370</v>
      </c>
      <c r="B272" s="89">
        <v>45704.0</v>
      </c>
      <c r="C272" s="103" t="s">
        <v>83</v>
      </c>
      <c r="D272" s="91" t="s">
        <v>45</v>
      </c>
      <c r="E272" s="91" t="s">
        <v>371</v>
      </c>
      <c r="F272" s="92" t="s">
        <v>47</v>
      </c>
      <c r="G272" s="93">
        <v>45000.0</v>
      </c>
      <c r="H272" s="94">
        <v>0.0</v>
      </c>
      <c r="I272" s="95">
        <f t="shared" si="3"/>
        <v>45000</v>
      </c>
      <c r="J272" s="93">
        <v>0.0</v>
      </c>
      <c r="K272" s="104">
        <f t="shared" si="4"/>
        <v>45000</v>
      </c>
      <c r="L272" s="97"/>
      <c r="M272" s="98"/>
    </row>
    <row r="273" ht="22.5" customHeight="1">
      <c r="A273" s="88" t="s">
        <v>372</v>
      </c>
      <c r="B273" s="89">
        <v>45704.0</v>
      </c>
      <c r="C273" s="103" t="s">
        <v>83</v>
      </c>
      <c r="D273" s="91" t="s">
        <v>45</v>
      </c>
      <c r="E273" s="91" t="s">
        <v>373</v>
      </c>
      <c r="F273" s="92" t="s">
        <v>47</v>
      </c>
      <c r="G273" s="93">
        <v>25000.0</v>
      </c>
      <c r="H273" s="94">
        <v>0.0</v>
      </c>
      <c r="I273" s="95">
        <f t="shared" si="3"/>
        <v>25000</v>
      </c>
      <c r="J273" s="93">
        <v>0.0</v>
      </c>
      <c r="K273" s="104">
        <f t="shared" si="4"/>
        <v>25000</v>
      </c>
      <c r="L273" s="97"/>
      <c r="M273" s="98"/>
    </row>
    <row r="274" ht="22.5" customHeight="1">
      <c r="A274" s="88" t="s">
        <v>374</v>
      </c>
      <c r="B274" s="89">
        <v>45704.0</v>
      </c>
      <c r="C274" s="103" t="s">
        <v>83</v>
      </c>
      <c r="D274" s="91" t="s">
        <v>45</v>
      </c>
      <c r="E274" s="91" t="s">
        <v>375</v>
      </c>
      <c r="F274" s="92" t="s">
        <v>47</v>
      </c>
      <c r="G274" s="93">
        <v>20000.0</v>
      </c>
      <c r="H274" s="94">
        <v>0.0</v>
      </c>
      <c r="I274" s="95">
        <f t="shared" si="3"/>
        <v>20000</v>
      </c>
      <c r="J274" s="93">
        <v>0.0</v>
      </c>
      <c r="K274" s="104">
        <f t="shared" si="4"/>
        <v>20000</v>
      </c>
      <c r="L274" s="97"/>
      <c r="M274" s="98"/>
    </row>
    <row r="275" ht="22.5" customHeight="1">
      <c r="A275" s="101">
        <v>278.0</v>
      </c>
      <c r="B275" s="89">
        <v>45704.0</v>
      </c>
      <c r="C275" s="90" t="s">
        <v>44</v>
      </c>
      <c r="D275" s="91" t="s">
        <v>45</v>
      </c>
      <c r="E275" s="91" t="s">
        <v>376</v>
      </c>
      <c r="F275" s="92" t="s">
        <v>47</v>
      </c>
      <c r="G275" s="93">
        <v>100000.0</v>
      </c>
      <c r="H275" s="94">
        <v>0.0</v>
      </c>
      <c r="I275" s="95">
        <f t="shared" si="3"/>
        <v>100000</v>
      </c>
      <c r="J275" s="93">
        <v>100000.0</v>
      </c>
      <c r="K275" s="96">
        <f t="shared" si="4"/>
        <v>0</v>
      </c>
      <c r="L275" s="97"/>
      <c r="M275" s="98"/>
    </row>
    <row r="276" ht="22.5" customHeight="1">
      <c r="A276" s="101">
        <v>278.0</v>
      </c>
      <c r="B276" s="89">
        <v>45704.0</v>
      </c>
      <c r="C276" s="90" t="s">
        <v>44</v>
      </c>
      <c r="D276" s="91" t="s">
        <v>45</v>
      </c>
      <c r="E276" s="91" t="s">
        <v>326</v>
      </c>
      <c r="F276" s="92" t="s">
        <v>47</v>
      </c>
      <c r="G276" s="93">
        <v>360000.0</v>
      </c>
      <c r="H276" s="94">
        <v>0.0</v>
      </c>
      <c r="I276" s="95">
        <f t="shared" si="3"/>
        <v>360000</v>
      </c>
      <c r="J276" s="93">
        <v>360000.0</v>
      </c>
      <c r="K276" s="96">
        <f t="shared" si="4"/>
        <v>0</v>
      </c>
      <c r="L276" s="97"/>
      <c r="M276" s="98"/>
    </row>
    <row r="277" ht="22.5" customHeight="1">
      <c r="A277" s="88" t="s">
        <v>377</v>
      </c>
      <c r="B277" s="89">
        <v>45705.0</v>
      </c>
      <c r="C277" s="103" t="s">
        <v>83</v>
      </c>
      <c r="D277" s="91" t="s">
        <v>378</v>
      </c>
      <c r="E277" s="91" t="s">
        <v>379</v>
      </c>
      <c r="F277" s="92" t="s">
        <v>47</v>
      </c>
      <c r="G277" s="93">
        <v>75000.0</v>
      </c>
      <c r="H277" s="94">
        <v>0.0</v>
      </c>
      <c r="I277" s="95">
        <f t="shared" si="3"/>
        <v>75000</v>
      </c>
      <c r="J277" s="93">
        <v>0.0</v>
      </c>
      <c r="K277" s="104">
        <f t="shared" si="4"/>
        <v>75000</v>
      </c>
      <c r="L277" s="97"/>
      <c r="M277" s="98"/>
    </row>
    <row r="278" ht="22.5" customHeight="1">
      <c r="A278" s="88" t="s">
        <v>380</v>
      </c>
      <c r="B278" s="89">
        <v>45706.0</v>
      </c>
      <c r="C278" s="103" t="s">
        <v>83</v>
      </c>
      <c r="D278" s="91" t="s">
        <v>381</v>
      </c>
      <c r="E278" s="91" t="s">
        <v>382</v>
      </c>
      <c r="F278" s="92" t="s">
        <v>47</v>
      </c>
      <c r="G278" s="93">
        <v>20000.0</v>
      </c>
      <c r="H278" s="94">
        <v>0.0</v>
      </c>
      <c r="I278" s="95">
        <f t="shared" si="3"/>
        <v>20000</v>
      </c>
      <c r="J278" s="93">
        <v>0.0</v>
      </c>
      <c r="K278" s="104">
        <f t="shared" si="4"/>
        <v>20000</v>
      </c>
      <c r="L278" s="97"/>
      <c r="M278" s="98"/>
    </row>
    <row r="279" ht="22.5" customHeight="1">
      <c r="A279" s="88" t="s">
        <v>380</v>
      </c>
      <c r="B279" s="89">
        <v>45706.0</v>
      </c>
      <c r="C279" s="103" t="s">
        <v>83</v>
      </c>
      <c r="D279" s="91" t="s">
        <v>381</v>
      </c>
      <c r="E279" s="91" t="s">
        <v>383</v>
      </c>
      <c r="F279" s="92" t="s">
        <v>47</v>
      </c>
      <c r="G279" s="93">
        <v>2000.0</v>
      </c>
      <c r="H279" s="94">
        <v>0.0</v>
      </c>
      <c r="I279" s="95">
        <f t="shared" si="3"/>
        <v>2000</v>
      </c>
      <c r="J279" s="93">
        <v>0.0</v>
      </c>
      <c r="K279" s="104">
        <f t="shared" si="4"/>
        <v>2000</v>
      </c>
      <c r="L279" s="97"/>
      <c r="M279" s="98"/>
    </row>
    <row r="280" ht="22.5" customHeight="1">
      <c r="A280" s="101">
        <v>169.0</v>
      </c>
      <c r="B280" s="89">
        <v>45706.0</v>
      </c>
      <c r="C280" s="90" t="s">
        <v>44</v>
      </c>
      <c r="D280" s="91" t="s">
        <v>57</v>
      </c>
      <c r="E280" s="91" t="s">
        <v>326</v>
      </c>
      <c r="F280" s="92" t="s">
        <v>47</v>
      </c>
      <c r="G280" s="93">
        <v>60000.0</v>
      </c>
      <c r="H280" s="94">
        <v>0.0</v>
      </c>
      <c r="I280" s="95">
        <f t="shared" si="3"/>
        <v>60000</v>
      </c>
      <c r="J280" s="93">
        <v>60000.0</v>
      </c>
      <c r="K280" s="96">
        <f t="shared" si="4"/>
        <v>0</v>
      </c>
      <c r="L280" s="97"/>
      <c r="M280" s="98"/>
    </row>
    <row r="281" ht="22.5" customHeight="1">
      <c r="A281" s="88" t="s">
        <v>384</v>
      </c>
      <c r="B281" s="89">
        <v>45706.0</v>
      </c>
      <c r="C281" s="90" t="s">
        <v>44</v>
      </c>
      <c r="D281" s="91" t="s">
        <v>57</v>
      </c>
      <c r="E281" s="91" t="s">
        <v>385</v>
      </c>
      <c r="F281" s="92" t="s">
        <v>47</v>
      </c>
      <c r="G281" s="93">
        <v>510000.0</v>
      </c>
      <c r="H281" s="94">
        <v>0.0</v>
      </c>
      <c r="I281" s="95">
        <f t="shared" si="3"/>
        <v>510000</v>
      </c>
      <c r="J281" s="93">
        <v>510000.0</v>
      </c>
      <c r="K281" s="96">
        <f t="shared" si="4"/>
        <v>0</v>
      </c>
      <c r="L281" s="97"/>
      <c r="M281" s="98"/>
    </row>
    <row r="282" ht="22.5" customHeight="1">
      <c r="A282" s="101">
        <v>939266.0</v>
      </c>
      <c r="B282" s="89">
        <v>45707.0</v>
      </c>
      <c r="C282" s="90" t="s">
        <v>44</v>
      </c>
      <c r="D282" s="91" t="s">
        <v>45</v>
      </c>
      <c r="E282" s="91" t="s">
        <v>46</v>
      </c>
      <c r="F282" s="92" t="s">
        <v>47</v>
      </c>
      <c r="G282" s="93">
        <v>60000.0</v>
      </c>
      <c r="H282" s="94">
        <v>0.0</v>
      </c>
      <c r="I282" s="95">
        <f t="shared" si="3"/>
        <v>60000</v>
      </c>
      <c r="J282" s="93">
        <v>60000.0</v>
      </c>
      <c r="K282" s="96">
        <f t="shared" si="4"/>
        <v>0</v>
      </c>
      <c r="L282" s="97"/>
      <c r="M282" s="98"/>
    </row>
    <row r="283" ht="22.5" customHeight="1">
      <c r="A283" s="101">
        <v>939265.0</v>
      </c>
      <c r="B283" s="89">
        <v>45707.0</v>
      </c>
      <c r="C283" s="90" t="s">
        <v>44</v>
      </c>
      <c r="D283" s="91" t="s">
        <v>45</v>
      </c>
      <c r="E283" s="91" t="s">
        <v>46</v>
      </c>
      <c r="F283" s="92" t="s">
        <v>47</v>
      </c>
      <c r="G283" s="93">
        <v>120000.0</v>
      </c>
      <c r="H283" s="94">
        <v>0.0</v>
      </c>
      <c r="I283" s="95">
        <f t="shared" si="3"/>
        <v>120000</v>
      </c>
      <c r="J283" s="93">
        <v>120000.0</v>
      </c>
      <c r="K283" s="96">
        <f t="shared" si="4"/>
        <v>0</v>
      </c>
      <c r="L283" s="97"/>
      <c r="M283" s="98"/>
    </row>
    <row r="284" ht="22.5" customHeight="1">
      <c r="A284" s="88" t="s">
        <v>386</v>
      </c>
      <c r="B284" s="89">
        <v>45708.0</v>
      </c>
      <c r="C284" s="103" t="s">
        <v>83</v>
      </c>
      <c r="D284" s="91" t="s">
        <v>57</v>
      </c>
      <c r="E284" s="91" t="s">
        <v>387</v>
      </c>
      <c r="F284" s="92" t="s">
        <v>47</v>
      </c>
      <c r="G284" s="93">
        <v>5000.0</v>
      </c>
      <c r="H284" s="94">
        <v>0.0</v>
      </c>
      <c r="I284" s="95">
        <f t="shared" si="3"/>
        <v>5000</v>
      </c>
      <c r="J284" s="93">
        <v>0.0</v>
      </c>
      <c r="K284" s="104">
        <f t="shared" si="4"/>
        <v>5000</v>
      </c>
      <c r="L284" s="97"/>
      <c r="M284" s="98"/>
    </row>
    <row r="285" ht="22.5" customHeight="1">
      <c r="A285" s="88" t="s">
        <v>388</v>
      </c>
      <c r="B285" s="89">
        <v>45708.0</v>
      </c>
      <c r="C285" s="103" t="s">
        <v>83</v>
      </c>
      <c r="D285" s="91" t="s">
        <v>45</v>
      </c>
      <c r="E285" s="91" t="s">
        <v>165</v>
      </c>
      <c r="F285" s="92" t="s">
        <v>47</v>
      </c>
      <c r="G285" s="93">
        <v>25000.0</v>
      </c>
      <c r="H285" s="94">
        <v>0.0</v>
      </c>
      <c r="I285" s="95">
        <f t="shared" si="3"/>
        <v>25000</v>
      </c>
      <c r="J285" s="93">
        <v>0.0</v>
      </c>
      <c r="K285" s="104">
        <f t="shared" si="4"/>
        <v>25000</v>
      </c>
      <c r="L285" s="97"/>
      <c r="M285" s="98"/>
    </row>
    <row r="286" ht="22.5" customHeight="1">
      <c r="A286" s="88" t="s">
        <v>389</v>
      </c>
      <c r="B286" s="89">
        <v>45708.0</v>
      </c>
      <c r="C286" s="103" t="s">
        <v>83</v>
      </c>
      <c r="D286" s="91" t="s">
        <v>160</v>
      </c>
      <c r="E286" s="91" t="s">
        <v>390</v>
      </c>
      <c r="F286" s="92" t="s">
        <v>47</v>
      </c>
      <c r="G286" s="93">
        <v>50000.0</v>
      </c>
      <c r="H286" s="94">
        <v>0.0</v>
      </c>
      <c r="I286" s="95">
        <f t="shared" si="3"/>
        <v>50000</v>
      </c>
      <c r="J286" s="93">
        <v>0.0</v>
      </c>
      <c r="K286" s="104">
        <f t="shared" si="4"/>
        <v>50000</v>
      </c>
      <c r="L286" s="97"/>
      <c r="M286" s="98"/>
    </row>
    <row r="287" ht="22.5" customHeight="1">
      <c r="A287" s="88" t="s">
        <v>391</v>
      </c>
      <c r="B287" s="89">
        <v>45708.0</v>
      </c>
      <c r="C287" s="103" t="s">
        <v>83</v>
      </c>
      <c r="D287" s="91" t="s">
        <v>160</v>
      </c>
      <c r="E287" s="91" t="s">
        <v>392</v>
      </c>
      <c r="F287" s="92" t="s">
        <v>47</v>
      </c>
      <c r="G287" s="93">
        <v>75000.0</v>
      </c>
      <c r="H287" s="94">
        <v>0.0</v>
      </c>
      <c r="I287" s="95">
        <f t="shared" si="3"/>
        <v>75000</v>
      </c>
      <c r="J287" s="93">
        <v>0.0</v>
      </c>
      <c r="K287" s="104">
        <f t="shared" si="4"/>
        <v>75000</v>
      </c>
      <c r="L287" s="97"/>
      <c r="M287" s="98"/>
    </row>
    <row r="288" ht="22.5" customHeight="1">
      <c r="A288" s="88" t="s">
        <v>393</v>
      </c>
      <c r="B288" s="89">
        <v>45708.0</v>
      </c>
      <c r="C288" s="103" t="s">
        <v>83</v>
      </c>
      <c r="D288" s="91" t="s">
        <v>160</v>
      </c>
      <c r="E288" s="91" t="s">
        <v>394</v>
      </c>
      <c r="F288" s="92" t="s">
        <v>47</v>
      </c>
      <c r="G288" s="93">
        <v>45000.0</v>
      </c>
      <c r="H288" s="94">
        <v>0.0</v>
      </c>
      <c r="I288" s="95">
        <f t="shared" si="3"/>
        <v>45000</v>
      </c>
      <c r="J288" s="93">
        <v>0.0</v>
      </c>
      <c r="K288" s="104">
        <f t="shared" si="4"/>
        <v>45000</v>
      </c>
      <c r="L288" s="97"/>
      <c r="M288" s="98"/>
    </row>
    <row r="289" ht="22.5" customHeight="1">
      <c r="A289" s="88" t="s">
        <v>395</v>
      </c>
      <c r="B289" s="89">
        <v>45708.0</v>
      </c>
      <c r="C289" s="103" t="s">
        <v>83</v>
      </c>
      <c r="D289" s="91" t="s">
        <v>45</v>
      </c>
      <c r="E289" s="91" t="s">
        <v>55</v>
      </c>
      <c r="F289" s="92" t="s">
        <v>47</v>
      </c>
      <c r="G289" s="93">
        <v>10000.0</v>
      </c>
      <c r="H289" s="94">
        <v>0.0</v>
      </c>
      <c r="I289" s="95">
        <f t="shared" si="3"/>
        <v>10000</v>
      </c>
      <c r="J289" s="93">
        <v>0.0</v>
      </c>
      <c r="K289" s="104">
        <f t="shared" si="4"/>
        <v>10000</v>
      </c>
      <c r="L289" s="97"/>
      <c r="M289" s="98"/>
    </row>
    <row r="290" ht="22.5" customHeight="1">
      <c r="A290" s="88" t="s">
        <v>396</v>
      </c>
      <c r="B290" s="89">
        <v>45708.0</v>
      </c>
      <c r="C290" s="103" t="s">
        <v>83</v>
      </c>
      <c r="D290" s="91" t="s">
        <v>57</v>
      </c>
      <c r="E290" s="91" t="s">
        <v>232</v>
      </c>
      <c r="F290" s="92" t="s">
        <v>47</v>
      </c>
      <c r="G290" s="93">
        <v>45000.0</v>
      </c>
      <c r="H290" s="94">
        <v>0.0</v>
      </c>
      <c r="I290" s="95">
        <f t="shared" si="3"/>
        <v>45000</v>
      </c>
      <c r="J290" s="93">
        <v>0.0</v>
      </c>
      <c r="K290" s="104">
        <f t="shared" si="4"/>
        <v>45000</v>
      </c>
      <c r="L290" s="97"/>
      <c r="M290" s="98"/>
    </row>
    <row r="291" ht="22.5" customHeight="1">
      <c r="A291" s="101">
        <v>939271.0</v>
      </c>
      <c r="B291" s="89">
        <v>45708.0</v>
      </c>
      <c r="C291" s="90" t="s">
        <v>44</v>
      </c>
      <c r="D291" s="91" t="s">
        <v>45</v>
      </c>
      <c r="E291" s="91" t="s">
        <v>67</v>
      </c>
      <c r="F291" s="92" t="s">
        <v>47</v>
      </c>
      <c r="G291" s="93">
        <v>160000.0</v>
      </c>
      <c r="H291" s="94">
        <v>0.0</v>
      </c>
      <c r="I291" s="95">
        <f t="shared" si="3"/>
        <v>160000</v>
      </c>
      <c r="J291" s="93">
        <v>160000.0</v>
      </c>
      <c r="K291" s="96">
        <f t="shared" si="4"/>
        <v>0</v>
      </c>
      <c r="L291" s="97"/>
      <c r="M291" s="98"/>
    </row>
    <row r="292" ht="22.5" customHeight="1">
      <c r="A292" s="88" t="s">
        <v>397</v>
      </c>
      <c r="B292" s="89">
        <v>45709.0</v>
      </c>
      <c r="C292" s="103" t="s">
        <v>83</v>
      </c>
      <c r="D292" s="91" t="s">
        <v>45</v>
      </c>
      <c r="E292" s="91" t="s">
        <v>398</v>
      </c>
      <c r="F292" s="92" t="s">
        <v>47</v>
      </c>
      <c r="G292" s="93">
        <v>15000.0</v>
      </c>
      <c r="H292" s="94">
        <v>0.0</v>
      </c>
      <c r="I292" s="95">
        <f t="shared" si="3"/>
        <v>15000</v>
      </c>
      <c r="J292" s="93">
        <v>0.0</v>
      </c>
      <c r="K292" s="104">
        <f t="shared" si="4"/>
        <v>15000</v>
      </c>
      <c r="L292" s="97"/>
      <c r="M292" s="98"/>
    </row>
    <row r="293" ht="22.5" customHeight="1">
      <c r="A293" s="88" t="s">
        <v>399</v>
      </c>
      <c r="B293" s="89">
        <v>45709.0</v>
      </c>
      <c r="C293" s="103" t="s">
        <v>83</v>
      </c>
      <c r="D293" s="91" t="s">
        <v>45</v>
      </c>
      <c r="E293" s="91" t="s">
        <v>400</v>
      </c>
      <c r="F293" s="92" t="s">
        <v>47</v>
      </c>
      <c r="G293" s="93">
        <v>15000.0</v>
      </c>
      <c r="H293" s="94">
        <v>0.0</v>
      </c>
      <c r="I293" s="95">
        <f t="shared" si="3"/>
        <v>15000</v>
      </c>
      <c r="J293" s="93">
        <v>0.0</v>
      </c>
      <c r="K293" s="104">
        <f t="shared" si="4"/>
        <v>15000</v>
      </c>
      <c r="L293" s="97"/>
      <c r="M293" s="98"/>
    </row>
    <row r="294" ht="22.5" customHeight="1">
      <c r="A294" s="88" t="s">
        <v>401</v>
      </c>
      <c r="B294" s="89">
        <v>45709.0</v>
      </c>
      <c r="C294" s="103" t="s">
        <v>83</v>
      </c>
      <c r="D294" s="91" t="s">
        <v>45</v>
      </c>
      <c r="E294" s="91" t="s">
        <v>402</v>
      </c>
      <c r="F294" s="92" t="s">
        <v>47</v>
      </c>
      <c r="G294" s="93">
        <v>15000.0</v>
      </c>
      <c r="H294" s="94">
        <v>0.0</v>
      </c>
      <c r="I294" s="95">
        <f t="shared" si="3"/>
        <v>15000</v>
      </c>
      <c r="J294" s="93">
        <v>0.0</v>
      </c>
      <c r="K294" s="104">
        <f t="shared" si="4"/>
        <v>15000</v>
      </c>
      <c r="L294" s="97"/>
      <c r="M294" s="98"/>
    </row>
    <row r="295" ht="22.5" customHeight="1">
      <c r="A295" s="88" t="s">
        <v>403</v>
      </c>
      <c r="B295" s="89">
        <v>45710.0</v>
      </c>
      <c r="C295" s="103" t="s">
        <v>83</v>
      </c>
      <c r="D295" s="91" t="s">
        <v>237</v>
      </c>
      <c r="E295" s="91" t="s">
        <v>375</v>
      </c>
      <c r="F295" s="92" t="s">
        <v>47</v>
      </c>
      <c r="G295" s="93">
        <v>8000.0</v>
      </c>
      <c r="H295" s="94">
        <v>0.0</v>
      </c>
      <c r="I295" s="95">
        <f t="shared" si="3"/>
        <v>8000</v>
      </c>
      <c r="J295" s="93">
        <v>0.0</v>
      </c>
      <c r="K295" s="104">
        <f t="shared" si="4"/>
        <v>8000</v>
      </c>
      <c r="L295" s="97"/>
      <c r="M295" s="98"/>
    </row>
    <row r="296" ht="22.5" customHeight="1">
      <c r="A296" s="88" t="s">
        <v>380</v>
      </c>
      <c r="B296" s="89">
        <v>45710.0</v>
      </c>
      <c r="C296" s="103" t="s">
        <v>83</v>
      </c>
      <c r="D296" s="91" t="s">
        <v>381</v>
      </c>
      <c r="E296" s="91" t="s">
        <v>201</v>
      </c>
      <c r="F296" s="92" t="s">
        <v>47</v>
      </c>
      <c r="G296" s="93">
        <v>12000.0</v>
      </c>
      <c r="H296" s="94">
        <v>0.0</v>
      </c>
      <c r="I296" s="95">
        <f t="shared" si="3"/>
        <v>12000</v>
      </c>
      <c r="J296" s="93">
        <v>0.0</v>
      </c>
      <c r="K296" s="104">
        <f t="shared" si="4"/>
        <v>12000</v>
      </c>
      <c r="L296" s="97"/>
      <c r="M296" s="98"/>
    </row>
    <row r="297" ht="22.5" customHeight="1">
      <c r="A297" s="88" t="s">
        <v>380</v>
      </c>
      <c r="B297" s="89">
        <v>45710.0</v>
      </c>
      <c r="C297" s="103" t="s">
        <v>83</v>
      </c>
      <c r="D297" s="91" t="s">
        <v>381</v>
      </c>
      <c r="E297" s="91" t="s">
        <v>404</v>
      </c>
      <c r="F297" s="92" t="s">
        <v>47</v>
      </c>
      <c r="G297" s="93">
        <v>5000.0</v>
      </c>
      <c r="H297" s="94">
        <v>0.0</v>
      </c>
      <c r="I297" s="95">
        <f t="shared" si="3"/>
        <v>5000</v>
      </c>
      <c r="J297" s="93">
        <v>0.0</v>
      </c>
      <c r="K297" s="104">
        <f t="shared" si="4"/>
        <v>5000</v>
      </c>
      <c r="L297" s="97"/>
      <c r="M297" s="98"/>
    </row>
    <row r="298" ht="22.5" customHeight="1">
      <c r="A298" s="101">
        <v>171.0</v>
      </c>
      <c r="B298" s="89">
        <v>45710.0</v>
      </c>
      <c r="C298" s="90" t="s">
        <v>44</v>
      </c>
      <c r="D298" s="91" t="s">
        <v>57</v>
      </c>
      <c r="E298" s="91" t="s">
        <v>405</v>
      </c>
      <c r="F298" s="92" t="s">
        <v>47</v>
      </c>
      <c r="G298" s="93">
        <v>120000.0</v>
      </c>
      <c r="H298" s="94">
        <v>0.0</v>
      </c>
      <c r="I298" s="95">
        <f t="shared" si="3"/>
        <v>120000</v>
      </c>
      <c r="J298" s="93">
        <v>120000.0</v>
      </c>
      <c r="K298" s="96">
        <f t="shared" si="4"/>
        <v>0</v>
      </c>
      <c r="L298" s="97"/>
      <c r="M298" s="98"/>
    </row>
    <row r="299" ht="22.5" customHeight="1">
      <c r="A299" s="101">
        <v>176.0</v>
      </c>
      <c r="B299" s="89">
        <v>45710.0</v>
      </c>
      <c r="C299" s="90" t="s">
        <v>44</v>
      </c>
      <c r="D299" s="91" t="s">
        <v>57</v>
      </c>
      <c r="E299" s="91" t="s">
        <v>406</v>
      </c>
      <c r="F299" s="92" t="s">
        <v>47</v>
      </c>
      <c r="G299" s="93">
        <v>1050000.0</v>
      </c>
      <c r="H299" s="94">
        <v>0.0</v>
      </c>
      <c r="I299" s="95">
        <f t="shared" si="3"/>
        <v>1050000</v>
      </c>
      <c r="J299" s="93">
        <v>1050000.0</v>
      </c>
      <c r="K299" s="96">
        <f t="shared" si="4"/>
        <v>0</v>
      </c>
      <c r="L299" s="97"/>
      <c r="M299" s="98"/>
    </row>
    <row r="300" ht="22.5" customHeight="1">
      <c r="A300" s="88" t="s">
        <v>407</v>
      </c>
      <c r="B300" s="89">
        <v>45711.0</v>
      </c>
      <c r="C300" s="103" t="s">
        <v>83</v>
      </c>
      <c r="D300" s="91" t="s">
        <v>45</v>
      </c>
      <c r="E300" s="91" t="s">
        <v>408</v>
      </c>
      <c r="F300" s="92" t="s">
        <v>47</v>
      </c>
      <c r="G300" s="93">
        <v>15000.0</v>
      </c>
      <c r="H300" s="94">
        <v>0.0</v>
      </c>
      <c r="I300" s="95">
        <f t="shared" si="3"/>
        <v>15000</v>
      </c>
      <c r="J300" s="93">
        <v>0.0</v>
      </c>
      <c r="K300" s="104">
        <f t="shared" si="4"/>
        <v>15000</v>
      </c>
      <c r="L300" s="97"/>
      <c r="M300" s="98"/>
    </row>
    <row r="301" ht="22.5" customHeight="1">
      <c r="A301" s="88" t="s">
        <v>409</v>
      </c>
      <c r="B301" s="89">
        <v>45711.0</v>
      </c>
      <c r="C301" s="103" t="s">
        <v>83</v>
      </c>
      <c r="D301" s="91" t="s">
        <v>45</v>
      </c>
      <c r="E301" s="91" t="s">
        <v>410</v>
      </c>
      <c r="F301" s="92" t="s">
        <v>47</v>
      </c>
      <c r="G301" s="93">
        <v>45000.0</v>
      </c>
      <c r="H301" s="94">
        <v>0.0</v>
      </c>
      <c r="I301" s="95">
        <f t="shared" si="3"/>
        <v>45000</v>
      </c>
      <c r="J301" s="93">
        <v>0.0</v>
      </c>
      <c r="K301" s="104">
        <f t="shared" si="4"/>
        <v>45000</v>
      </c>
      <c r="L301" s="97"/>
      <c r="M301" s="98"/>
    </row>
    <row r="302" ht="22.5" customHeight="1">
      <c r="A302" s="101">
        <v>939264.0</v>
      </c>
      <c r="B302" s="89">
        <v>45711.0</v>
      </c>
      <c r="C302" s="90" t="s">
        <v>44</v>
      </c>
      <c r="D302" s="91" t="s">
        <v>45</v>
      </c>
      <c r="E302" s="91" t="s">
        <v>49</v>
      </c>
      <c r="F302" s="92" t="s">
        <v>47</v>
      </c>
      <c r="G302" s="93">
        <v>45000.0</v>
      </c>
      <c r="H302" s="94">
        <v>0.0</v>
      </c>
      <c r="I302" s="95">
        <f t="shared" si="3"/>
        <v>45000</v>
      </c>
      <c r="J302" s="93">
        <v>45000.0</v>
      </c>
      <c r="K302" s="96">
        <f t="shared" si="4"/>
        <v>0</v>
      </c>
      <c r="L302" s="97"/>
      <c r="M302" s="98"/>
    </row>
    <row r="303" ht="22.5" customHeight="1">
      <c r="A303" s="88" t="s">
        <v>411</v>
      </c>
      <c r="B303" s="89">
        <v>45711.0</v>
      </c>
      <c r="C303" s="90" t="s">
        <v>44</v>
      </c>
      <c r="D303" s="91" t="s">
        <v>45</v>
      </c>
      <c r="E303" s="91" t="s">
        <v>412</v>
      </c>
      <c r="F303" s="92" t="s">
        <v>47</v>
      </c>
      <c r="G303" s="93">
        <v>25000.0</v>
      </c>
      <c r="H303" s="94">
        <v>0.0</v>
      </c>
      <c r="I303" s="95">
        <f t="shared" si="3"/>
        <v>25000</v>
      </c>
      <c r="J303" s="93">
        <v>25000.0</v>
      </c>
      <c r="K303" s="96">
        <f t="shared" si="4"/>
        <v>0</v>
      </c>
      <c r="L303" s="97"/>
      <c r="M303" s="98"/>
    </row>
    <row r="304" ht="22.5" customHeight="1">
      <c r="A304" s="88" t="s">
        <v>413</v>
      </c>
      <c r="B304" s="89">
        <v>45711.0</v>
      </c>
      <c r="C304" s="90" t="s">
        <v>44</v>
      </c>
      <c r="D304" s="91" t="s">
        <v>237</v>
      </c>
      <c r="E304" s="91" t="s">
        <v>414</v>
      </c>
      <c r="F304" s="92" t="s">
        <v>47</v>
      </c>
      <c r="G304" s="93">
        <v>25000.0</v>
      </c>
      <c r="H304" s="94">
        <v>0.0</v>
      </c>
      <c r="I304" s="95">
        <f t="shared" si="3"/>
        <v>25000</v>
      </c>
      <c r="J304" s="93">
        <v>25000.0</v>
      </c>
      <c r="K304" s="96">
        <f t="shared" si="4"/>
        <v>0</v>
      </c>
      <c r="L304" s="97"/>
      <c r="M304" s="98"/>
    </row>
    <row r="305" ht="22.5" customHeight="1">
      <c r="A305" s="101">
        <v>939267.0</v>
      </c>
      <c r="B305" s="89">
        <v>45711.0</v>
      </c>
      <c r="C305" s="90" t="s">
        <v>44</v>
      </c>
      <c r="D305" s="91" t="s">
        <v>45</v>
      </c>
      <c r="E305" s="91" t="s">
        <v>415</v>
      </c>
      <c r="F305" s="92" t="s">
        <v>47</v>
      </c>
      <c r="G305" s="93">
        <v>350000.0</v>
      </c>
      <c r="H305" s="94">
        <v>0.0</v>
      </c>
      <c r="I305" s="95">
        <f t="shared" si="3"/>
        <v>350000</v>
      </c>
      <c r="J305" s="93">
        <v>350000.0</v>
      </c>
      <c r="K305" s="96">
        <f t="shared" si="4"/>
        <v>0</v>
      </c>
      <c r="L305" s="97"/>
      <c r="M305" s="98"/>
    </row>
    <row r="306" ht="22.5" customHeight="1">
      <c r="A306" s="88" t="s">
        <v>416</v>
      </c>
      <c r="B306" s="89">
        <v>45711.0</v>
      </c>
      <c r="C306" s="90" t="s">
        <v>44</v>
      </c>
      <c r="D306" s="91" t="s">
        <v>45</v>
      </c>
      <c r="E306" s="91" t="s">
        <v>417</v>
      </c>
      <c r="F306" s="92" t="s">
        <v>47</v>
      </c>
      <c r="G306" s="93">
        <v>200000.0</v>
      </c>
      <c r="H306" s="94">
        <v>0.0</v>
      </c>
      <c r="I306" s="95">
        <f t="shared" si="3"/>
        <v>200000</v>
      </c>
      <c r="J306" s="93">
        <v>200000.0</v>
      </c>
      <c r="K306" s="96">
        <f t="shared" si="4"/>
        <v>0</v>
      </c>
      <c r="L306" s="97"/>
      <c r="M306" s="98"/>
    </row>
    <row r="307" ht="22.5" customHeight="1">
      <c r="A307" s="88" t="s">
        <v>418</v>
      </c>
      <c r="B307" s="89">
        <v>45711.0</v>
      </c>
      <c r="C307" s="90" t="s">
        <v>44</v>
      </c>
      <c r="D307" s="91" t="s">
        <v>45</v>
      </c>
      <c r="E307" s="91" t="s">
        <v>417</v>
      </c>
      <c r="F307" s="92" t="s">
        <v>47</v>
      </c>
      <c r="G307" s="93">
        <v>250000.0</v>
      </c>
      <c r="H307" s="94">
        <v>0.0</v>
      </c>
      <c r="I307" s="95">
        <f t="shared" si="3"/>
        <v>250000</v>
      </c>
      <c r="J307" s="93">
        <v>250000.0</v>
      </c>
      <c r="K307" s="96">
        <f t="shared" si="4"/>
        <v>0</v>
      </c>
      <c r="L307" s="97"/>
      <c r="M307" s="98"/>
    </row>
    <row r="308" ht="22.5" customHeight="1">
      <c r="A308" s="88" t="s">
        <v>306</v>
      </c>
      <c r="B308" s="89">
        <v>45712.0</v>
      </c>
      <c r="C308" s="90" t="s">
        <v>44</v>
      </c>
      <c r="D308" s="91" t="s">
        <v>45</v>
      </c>
      <c r="E308" s="91" t="s">
        <v>419</v>
      </c>
      <c r="F308" s="92" t="s">
        <v>47</v>
      </c>
      <c r="G308" s="93">
        <v>25000.0</v>
      </c>
      <c r="H308" s="94">
        <v>0.0</v>
      </c>
      <c r="I308" s="95">
        <f t="shared" si="3"/>
        <v>25000</v>
      </c>
      <c r="J308" s="93">
        <v>25000.0</v>
      </c>
      <c r="K308" s="96">
        <f t="shared" si="4"/>
        <v>0</v>
      </c>
      <c r="L308" s="97"/>
      <c r="M308" s="98"/>
    </row>
    <row r="309" ht="22.5" customHeight="1">
      <c r="A309" s="88" t="s">
        <v>306</v>
      </c>
      <c r="B309" s="89">
        <v>45712.0</v>
      </c>
      <c r="C309" s="90" t="s">
        <v>44</v>
      </c>
      <c r="D309" s="91" t="s">
        <v>45</v>
      </c>
      <c r="E309" s="91" t="s">
        <v>420</v>
      </c>
      <c r="F309" s="92" t="s">
        <v>47</v>
      </c>
      <c r="G309" s="93">
        <v>30000.0</v>
      </c>
      <c r="H309" s="94">
        <v>0.0</v>
      </c>
      <c r="I309" s="95">
        <f t="shared" si="3"/>
        <v>30000</v>
      </c>
      <c r="J309" s="93">
        <v>30000.0</v>
      </c>
      <c r="K309" s="96">
        <f t="shared" si="4"/>
        <v>0</v>
      </c>
      <c r="L309" s="97"/>
      <c r="M309" s="98"/>
    </row>
    <row r="310" ht="22.5" customHeight="1">
      <c r="A310" s="88" t="s">
        <v>306</v>
      </c>
      <c r="B310" s="89">
        <v>45712.0</v>
      </c>
      <c r="C310" s="90" t="s">
        <v>44</v>
      </c>
      <c r="D310" s="91" t="s">
        <v>45</v>
      </c>
      <c r="E310" s="91" t="s">
        <v>123</v>
      </c>
      <c r="F310" s="92" t="s">
        <v>47</v>
      </c>
      <c r="G310" s="93">
        <v>15000.0</v>
      </c>
      <c r="H310" s="94">
        <v>0.0</v>
      </c>
      <c r="I310" s="95">
        <f t="shared" si="3"/>
        <v>15000</v>
      </c>
      <c r="J310" s="93">
        <v>15000.0</v>
      </c>
      <c r="K310" s="96">
        <f t="shared" si="4"/>
        <v>0</v>
      </c>
      <c r="L310" s="97"/>
      <c r="M310" s="98"/>
    </row>
    <row r="311" ht="22.5" customHeight="1">
      <c r="A311" s="88" t="s">
        <v>421</v>
      </c>
      <c r="B311" s="89">
        <v>45712.0</v>
      </c>
      <c r="C311" s="90" t="s">
        <v>44</v>
      </c>
      <c r="D311" s="91" t="s">
        <v>45</v>
      </c>
      <c r="E311" s="91" t="s">
        <v>422</v>
      </c>
      <c r="F311" s="92" t="s">
        <v>47</v>
      </c>
      <c r="G311" s="93">
        <v>100000.0</v>
      </c>
      <c r="H311" s="94">
        <v>0.0</v>
      </c>
      <c r="I311" s="95">
        <f t="shared" si="3"/>
        <v>100000</v>
      </c>
      <c r="J311" s="93">
        <v>100000.0</v>
      </c>
      <c r="K311" s="96">
        <f t="shared" si="4"/>
        <v>0</v>
      </c>
      <c r="L311" s="97"/>
      <c r="M311" s="98"/>
    </row>
    <row r="312" ht="22.5" customHeight="1">
      <c r="A312" s="88" t="s">
        <v>423</v>
      </c>
      <c r="B312" s="89">
        <v>45712.0</v>
      </c>
      <c r="C312" s="90" t="s">
        <v>44</v>
      </c>
      <c r="D312" s="91" t="s">
        <v>45</v>
      </c>
      <c r="E312" s="91" t="s">
        <v>424</v>
      </c>
      <c r="F312" s="92" t="s">
        <v>47</v>
      </c>
      <c r="G312" s="93">
        <v>100000.0</v>
      </c>
      <c r="H312" s="94">
        <v>0.0</v>
      </c>
      <c r="I312" s="95">
        <f t="shared" si="3"/>
        <v>100000</v>
      </c>
      <c r="J312" s="93">
        <v>100000.0</v>
      </c>
      <c r="K312" s="96">
        <f t="shared" si="4"/>
        <v>0</v>
      </c>
      <c r="L312" s="97"/>
      <c r="M312" s="98"/>
    </row>
    <row r="313" ht="22.5" customHeight="1">
      <c r="A313" s="88" t="s">
        <v>425</v>
      </c>
      <c r="B313" s="89">
        <v>45712.0</v>
      </c>
      <c r="C313" s="90" t="s">
        <v>44</v>
      </c>
      <c r="D313" s="91" t="s">
        <v>45</v>
      </c>
      <c r="E313" s="91" t="s">
        <v>408</v>
      </c>
      <c r="F313" s="92" t="s">
        <v>47</v>
      </c>
      <c r="G313" s="93">
        <v>20000.0</v>
      </c>
      <c r="H313" s="94">
        <v>0.0</v>
      </c>
      <c r="I313" s="95">
        <f t="shared" si="3"/>
        <v>20000</v>
      </c>
      <c r="J313" s="93">
        <v>20000.0</v>
      </c>
      <c r="K313" s="96">
        <f t="shared" si="4"/>
        <v>0</v>
      </c>
      <c r="L313" s="97"/>
      <c r="M313" s="98"/>
    </row>
    <row r="314" ht="22.5" customHeight="1">
      <c r="A314" s="88" t="s">
        <v>426</v>
      </c>
      <c r="B314" s="89">
        <v>45712.0</v>
      </c>
      <c r="C314" s="90" t="s">
        <v>44</v>
      </c>
      <c r="D314" s="91" t="s">
        <v>45</v>
      </c>
      <c r="E314" s="91" t="s">
        <v>408</v>
      </c>
      <c r="F314" s="92" t="s">
        <v>47</v>
      </c>
      <c r="G314" s="93">
        <v>20000.0</v>
      </c>
      <c r="H314" s="94">
        <v>0.0</v>
      </c>
      <c r="I314" s="95">
        <f t="shared" si="3"/>
        <v>20000</v>
      </c>
      <c r="J314" s="93">
        <v>20000.0</v>
      </c>
      <c r="K314" s="96">
        <f t="shared" si="4"/>
        <v>0</v>
      </c>
      <c r="L314" s="97"/>
      <c r="M314" s="98"/>
    </row>
    <row r="315" ht="22.5" customHeight="1">
      <c r="A315" s="88" t="s">
        <v>427</v>
      </c>
      <c r="B315" s="89">
        <v>45713.0</v>
      </c>
      <c r="C315" s="103" t="s">
        <v>83</v>
      </c>
      <c r="D315" s="91" t="s">
        <v>45</v>
      </c>
      <c r="E315" s="91" t="s">
        <v>428</v>
      </c>
      <c r="F315" s="92" t="s">
        <v>47</v>
      </c>
      <c r="G315" s="93">
        <v>35000.0</v>
      </c>
      <c r="H315" s="94">
        <v>0.0</v>
      </c>
      <c r="I315" s="95">
        <f t="shared" si="3"/>
        <v>35000</v>
      </c>
      <c r="J315" s="93">
        <v>0.0</v>
      </c>
      <c r="K315" s="104">
        <f t="shared" si="4"/>
        <v>35000</v>
      </c>
      <c r="L315" s="97"/>
      <c r="M315" s="98"/>
    </row>
    <row r="316" ht="22.5" customHeight="1">
      <c r="A316" s="101">
        <v>268.0</v>
      </c>
      <c r="B316" s="89">
        <v>45713.0</v>
      </c>
      <c r="C316" s="90" t="s">
        <v>44</v>
      </c>
      <c r="D316" s="91" t="s">
        <v>45</v>
      </c>
      <c r="E316" s="91" t="s">
        <v>429</v>
      </c>
      <c r="F316" s="92" t="s">
        <v>47</v>
      </c>
      <c r="G316" s="93">
        <v>1000000.0</v>
      </c>
      <c r="H316" s="94">
        <v>0.0</v>
      </c>
      <c r="I316" s="95">
        <f t="shared" si="3"/>
        <v>1000000</v>
      </c>
      <c r="J316" s="93">
        <v>1000000.0</v>
      </c>
      <c r="K316" s="96">
        <f t="shared" si="4"/>
        <v>0</v>
      </c>
      <c r="L316" s="97"/>
      <c r="M316" s="98"/>
    </row>
    <row r="317" ht="22.5" customHeight="1">
      <c r="A317" s="101">
        <v>272.0</v>
      </c>
      <c r="B317" s="89">
        <v>45713.0</v>
      </c>
      <c r="C317" s="90" t="s">
        <v>44</v>
      </c>
      <c r="D317" s="91" t="s">
        <v>45</v>
      </c>
      <c r="E317" s="91" t="s">
        <v>430</v>
      </c>
      <c r="F317" s="92" t="s">
        <v>47</v>
      </c>
      <c r="G317" s="93">
        <v>190000.0</v>
      </c>
      <c r="H317" s="94">
        <v>0.0</v>
      </c>
      <c r="I317" s="95">
        <f t="shared" si="3"/>
        <v>190000</v>
      </c>
      <c r="J317" s="93">
        <v>190000.0</v>
      </c>
      <c r="K317" s="96">
        <f t="shared" si="4"/>
        <v>0</v>
      </c>
      <c r="L317" s="97"/>
      <c r="M317" s="98"/>
    </row>
    <row r="318" ht="22.5" customHeight="1">
      <c r="A318" s="101">
        <v>939275.0</v>
      </c>
      <c r="B318" s="89">
        <v>45713.0</v>
      </c>
      <c r="C318" s="90" t="s">
        <v>44</v>
      </c>
      <c r="D318" s="91" t="s">
        <v>45</v>
      </c>
      <c r="E318" s="91" t="s">
        <v>292</v>
      </c>
      <c r="F318" s="92" t="s">
        <v>47</v>
      </c>
      <c r="G318" s="93">
        <v>175000.0</v>
      </c>
      <c r="H318" s="94">
        <v>0.0</v>
      </c>
      <c r="I318" s="95">
        <f t="shared" si="3"/>
        <v>175000</v>
      </c>
      <c r="J318" s="93">
        <v>175000.0</v>
      </c>
      <c r="K318" s="96">
        <f t="shared" si="4"/>
        <v>0</v>
      </c>
      <c r="L318" s="97"/>
      <c r="M318" s="98"/>
    </row>
    <row r="319" ht="22.5" customHeight="1">
      <c r="A319" s="101">
        <v>939298.0</v>
      </c>
      <c r="B319" s="89">
        <v>45713.0</v>
      </c>
      <c r="C319" s="90" t="s">
        <v>44</v>
      </c>
      <c r="D319" s="91" t="s">
        <v>45</v>
      </c>
      <c r="E319" s="91" t="s">
        <v>431</v>
      </c>
      <c r="F319" s="92" t="s">
        <v>47</v>
      </c>
      <c r="G319" s="93">
        <v>45000.0</v>
      </c>
      <c r="H319" s="94">
        <v>0.0</v>
      </c>
      <c r="I319" s="95">
        <f t="shared" si="3"/>
        <v>45000</v>
      </c>
      <c r="J319" s="93">
        <v>45000.0</v>
      </c>
      <c r="K319" s="96">
        <f t="shared" si="4"/>
        <v>0</v>
      </c>
      <c r="L319" s="97"/>
      <c r="M319" s="98"/>
    </row>
    <row r="320" ht="22.5" customHeight="1">
      <c r="A320" s="101">
        <v>173.0</v>
      </c>
      <c r="B320" s="89">
        <v>45713.0</v>
      </c>
      <c r="C320" s="90" t="s">
        <v>44</v>
      </c>
      <c r="D320" s="91" t="s">
        <v>432</v>
      </c>
      <c r="E320" s="91" t="s">
        <v>433</v>
      </c>
      <c r="F320" s="92" t="s">
        <v>47</v>
      </c>
      <c r="G320" s="93">
        <v>540000.0</v>
      </c>
      <c r="H320" s="94">
        <v>0.0</v>
      </c>
      <c r="I320" s="95">
        <f t="shared" si="3"/>
        <v>540000</v>
      </c>
      <c r="J320" s="93">
        <v>540000.0</v>
      </c>
      <c r="K320" s="96">
        <f t="shared" si="4"/>
        <v>0</v>
      </c>
      <c r="L320" s="97"/>
      <c r="M320" s="98"/>
    </row>
    <row r="321" ht="22.5" customHeight="1">
      <c r="A321" s="101">
        <v>175.0</v>
      </c>
      <c r="B321" s="89">
        <v>45713.0</v>
      </c>
      <c r="C321" s="90" t="s">
        <v>44</v>
      </c>
      <c r="D321" s="91" t="s">
        <v>57</v>
      </c>
      <c r="E321" s="91" t="s">
        <v>434</v>
      </c>
      <c r="F321" s="92" t="s">
        <v>47</v>
      </c>
      <c r="G321" s="93">
        <v>830000.0</v>
      </c>
      <c r="H321" s="94">
        <v>0.0</v>
      </c>
      <c r="I321" s="95">
        <f t="shared" si="3"/>
        <v>830000</v>
      </c>
      <c r="J321" s="93">
        <v>830000.0</v>
      </c>
      <c r="K321" s="96">
        <f t="shared" si="4"/>
        <v>0</v>
      </c>
      <c r="L321" s="97"/>
      <c r="M321" s="98"/>
    </row>
    <row r="322" ht="22.5" customHeight="1">
      <c r="A322" s="101">
        <v>178.0</v>
      </c>
      <c r="B322" s="89">
        <v>45713.0</v>
      </c>
      <c r="C322" s="90" t="s">
        <v>44</v>
      </c>
      <c r="D322" s="91" t="s">
        <v>57</v>
      </c>
      <c r="E322" s="91" t="s">
        <v>435</v>
      </c>
      <c r="F322" s="92" t="s">
        <v>47</v>
      </c>
      <c r="G322" s="93">
        <v>60000.0</v>
      </c>
      <c r="H322" s="94">
        <v>0.0</v>
      </c>
      <c r="I322" s="95">
        <f t="shared" si="3"/>
        <v>60000</v>
      </c>
      <c r="J322" s="93">
        <v>60000.0</v>
      </c>
      <c r="K322" s="96">
        <f t="shared" si="4"/>
        <v>0</v>
      </c>
      <c r="L322" s="97"/>
      <c r="M322" s="98"/>
    </row>
    <row r="323" ht="22.5" customHeight="1">
      <c r="A323" s="88" t="s">
        <v>436</v>
      </c>
      <c r="B323" s="89">
        <v>45714.0</v>
      </c>
      <c r="C323" s="105" t="s">
        <v>96</v>
      </c>
      <c r="D323" s="91" t="s">
        <v>432</v>
      </c>
      <c r="E323" s="91" t="s">
        <v>437</v>
      </c>
      <c r="F323" s="92" t="s">
        <v>47</v>
      </c>
      <c r="G323" s="93">
        <v>300000.0</v>
      </c>
      <c r="H323" s="94">
        <v>0.0</v>
      </c>
      <c r="I323" s="95">
        <f t="shared" si="3"/>
        <v>300000</v>
      </c>
      <c r="J323" s="93">
        <v>300000.0</v>
      </c>
      <c r="K323" s="96">
        <f t="shared" si="4"/>
        <v>0</v>
      </c>
      <c r="L323" s="97"/>
      <c r="M323" s="98"/>
    </row>
    <row r="324" ht="22.5" customHeight="1">
      <c r="A324" s="88" t="s">
        <v>438</v>
      </c>
      <c r="B324" s="89">
        <v>45714.0</v>
      </c>
      <c r="C324" s="103" t="s">
        <v>83</v>
      </c>
      <c r="D324" s="91" t="s">
        <v>45</v>
      </c>
      <c r="E324" s="91" t="s">
        <v>439</v>
      </c>
      <c r="F324" s="92" t="s">
        <v>47</v>
      </c>
      <c r="G324" s="93">
        <v>20000.0</v>
      </c>
      <c r="H324" s="94">
        <v>0.0</v>
      </c>
      <c r="I324" s="95">
        <f t="shared" si="3"/>
        <v>20000</v>
      </c>
      <c r="J324" s="93">
        <v>0.0</v>
      </c>
      <c r="K324" s="104">
        <f t="shared" si="4"/>
        <v>20000</v>
      </c>
      <c r="L324" s="97"/>
      <c r="M324" s="98"/>
    </row>
    <row r="325" ht="22.5" customHeight="1">
      <c r="A325" s="88" t="s">
        <v>440</v>
      </c>
      <c r="B325" s="89">
        <v>45714.0</v>
      </c>
      <c r="C325" s="103" t="s">
        <v>83</v>
      </c>
      <c r="D325" s="91" t="s">
        <v>160</v>
      </c>
      <c r="E325" s="91" t="s">
        <v>441</v>
      </c>
      <c r="F325" s="92" t="s">
        <v>47</v>
      </c>
      <c r="G325" s="93">
        <v>20000.0</v>
      </c>
      <c r="H325" s="94">
        <v>0.0</v>
      </c>
      <c r="I325" s="95">
        <f t="shared" si="3"/>
        <v>20000</v>
      </c>
      <c r="J325" s="93">
        <v>0.0</v>
      </c>
      <c r="K325" s="104">
        <f t="shared" si="4"/>
        <v>20000</v>
      </c>
      <c r="L325" s="97"/>
      <c r="M325" s="98"/>
    </row>
    <row r="326" ht="22.5" customHeight="1">
      <c r="A326" s="101">
        <v>939273.0</v>
      </c>
      <c r="B326" s="89">
        <v>45714.0</v>
      </c>
      <c r="C326" s="90" t="s">
        <v>44</v>
      </c>
      <c r="D326" s="91" t="s">
        <v>45</v>
      </c>
      <c r="E326" s="91" t="s">
        <v>417</v>
      </c>
      <c r="F326" s="92" t="s">
        <v>47</v>
      </c>
      <c r="G326" s="93">
        <v>220000.0</v>
      </c>
      <c r="H326" s="94">
        <v>0.0</v>
      </c>
      <c r="I326" s="95">
        <f t="shared" si="3"/>
        <v>220000</v>
      </c>
      <c r="J326" s="93">
        <v>220000.0</v>
      </c>
      <c r="K326" s="96">
        <f t="shared" si="4"/>
        <v>0</v>
      </c>
      <c r="L326" s="97"/>
      <c r="M326" s="98"/>
    </row>
    <row r="327" ht="22.5" customHeight="1">
      <c r="A327" s="101">
        <v>939277.0</v>
      </c>
      <c r="B327" s="89">
        <v>45714.0</v>
      </c>
      <c r="C327" s="90" t="s">
        <v>44</v>
      </c>
      <c r="D327" s="91" t="s">
        <v>45</v>
      </c>
      <c r="E327" s="91" t="s">
        <v>442</v>
      </c>
      <c r="F327" s="92" t="s">
        <v>47</v>
      </c>
      <c r="G327" s="93">
        <v>20000.0</v>
      </c>
      <c r="H327" s="94">
        <v>0.0</v>
      </c>
      <c r="I327" s="95">
        <f t="shared" si="3"/>
        <v>20000</v>
      </c>
      <c r="J327" s="93">
        <v>20000.0</v>
      </c>
      <c r="K327" s="96">
        <f t="shared" si="4"/>
        <v>0</v>
      </c>
      <c r="L327" s="97"/>
      <c r="M327" s="98"/>
    </row>
    <row r="328" ht="22.5" customHeight="1">
      <c r="A328" s="101">
        <v>939282.0</v>
      </c>
      <c r="B328" s="89">
        <v>45714.0</v>
      </c>
      <c r="C328" s="90" t="s">
        <v>44</v>
      </c>
      <c r="D328" s="91" t="s">
        <v>45</v>
      </c>
      <c r="E328" s="91" t="s">
        <v>128</v>
      </c>
      <c r="F328" s="92" t="s">
        <v>47</v>
      </c>
      <c r="G328" s="93">
        <v>10000.0</v>
      </c>
      <c r="H328" s="94">
        <v>0.0</v>
      </c>
      <c r="I328" s="95">
        <f t="shared" si="3"/>
        <v>10000</v>
      </c>
      <c r="J328" s="93">
        <v>10000.0</v>
      </c>
      <c r="K328" s="96">
        <f t="shared" si="4"/>
        <v>0</v>
      </c>
      <c r="L328" s="97"/>
      <c r="M328" s="98"/>
    </row>
    <row r="329" ht="22.5" customHeight="1">
      <c r="A329" s="101">
        <v>939279.0</v>
      </c>
      <c r="B329" s="89">
        <v>45714.0</v>
      </c>
      <c r="C329" s="90" t="s">
        <v>44</v>
      </c>
      <c r="D329" s="91" t="s">
        <v>45</v>
      </c>
      <c r="E329" s="91" t="s">
        <v>443</v>
      </c>
      <c r="F329" s="92" t="s">
        <v>47</v>
      </c>
      <c r="G329" s="93">
        <v>20000.0</v>
      </c>
      <c r="H329" s="94">
        <v>0.0</v>
      </c>
      <c r="I329" s="95">
        <f t="shared" si="3"/>
        <v>20000</v>
      </c>
      <c r="J329" s="93">
        <v>20000.0</v>
      </c>
      <c r="K329" s="96">
        <f t="shared" si="4"/>
        <v>0</v>
      </c>
      <c r="L329" s="97"/>
      <c r="M329" s="98"/>
    </row>
    <row r="330" ht="22.5" customHeight="1">
      <c r="A330" s="101">
        <v>939280.0</v>
      </c>
      <c r="B330" s="89">
        <v>45714.0</v>
      </c>
      <c r="C330" s="90" t="s">
        <v>44</v>
      </c>
      <c r="D330" s="91" t="s">
        <v>45</v>
      </c>
      <c r="E330" s="91" t="s">
        <v>444</v>
      </c>
      <c r="F330" s="92" t="s">
        <v>47</v>
      </c>
      <c r="G330" s="93">
        <v>20000.0</v>
      </c>
      <c r="H330" s="94">
        <v>0.0</v>
      </c>
      <c r="I330" s="95">
        <f t="shared" si="3"/>
        <v>20000</v>
      </c>
      <c r="J330" s="93">
        <v>20000.0</v>
      </c>
      <c r="K330" s="96">
        <f t="shared" si="4"/>
        <v>0</v>
      </c>
      <c r="L330" s="97"/>
      <c r="M330" s="98"/>
    </row>
    <row r="331" ht="22.5" customHeight="1">
      <c r="A331" s="101">
        <v>939291.0</v>
      </c>
      <c r="B331" s="89">
        <v>45714.0</v>
      </c>
      <c r="C331" s="90" t="s">
        <v>44</v>
      </c>
      <c r="D331" s="91" t="s">
        <v>45</v>
      </c>
      <c r="E331" s="91" t="s">
        <v>444</v>
      </c>
      <c r="F331" s="92" t="s">
        <v>47</v>
      </c>
      <c r="G331" s="93">
        <v>25000.0</v>
      </c>
      <c r="H331" s="94">
        <v>0.0</v>
      </c>
      <c r="I331" s="95">
        <f t="shared" si="3"/>
        <v>25000</v>
      </c>
      <c r="J331" s="93">
        <v>25000.0</v>
      </c>
      <c r="K331" s="96">
        <f t="shared" si="4"/>
        <v>0</v>
      </c>
      <c r="L331" s="97"/>
      <c r="M331" s="98"/>
    </row>
    <row r="332" ht="22.5" customHeight="1">
      <c r="A332" s="101">
        <v>939291.0</v>
      </c>
      <c r="B332" s="89">
        <v>45714.0</v>
      </c>
      <c r="C332" s="90" t="s">
        <v>44</v>
      </c>
      <c r="D332" s="91" t="s">
        <v>45</v>
      </c>
      <c r="E332" s="91" t="s">
        <v>445</v>
      </c>
      <c r="F332" s="92" t="s">
        <v>47</v>
      </c>
      <c r="G332" s="93">
        <v>30000.0</v>
      </c>
      <c r="H332" s="94">
        <v>0.0</v>
      </c>
      <c r="I332" s="95">
        <f t="shared" si="3"/>
        <v>30000</v>
      </c>
      <c r="J332" s="93">
        <v>30000.0</v>
      </c>
      <c r="K332" s="96">
        <f t="shared" si="4"/>
        <v>0</v>
      </c>
      <c r="L332" s="97"/>
      <c r="M332" s="98"/>
    </row>
    <row r="333" ht="22.5" customHeight="1">
      <c r="A333" s="101">
        <v>939291.0</v>
      </c>
      <c r="B333" s="89">
        <v>45714.0</v>
      </c>
      <c r="C333" s="90" t="s">
        <v>44</v>
      </c>
      <c r="D333" s="91" t="s">
        <v>45</v>
      </c>
      <c r="E333" s="91" t="s">
        <v>446</v>
      </c>
      <c r="F333" s="92" t="s">
        <v>47</v>
      </c>
      <c r="G333" s="93">
        <v>175000.0</v>
      </c>
      <c r="H333" s="94">
        <v>0.0</v>
      </c>
      <c r="I333" s="95">
        <f t="shared" si="3"/>
        <v>175000</v>
      </c>
      <c r="J333" s="93">
        <v>175000.0</v>
      </c>
      <c r="K333" s="96">
        <f t="shared" si="4"/>
        <v>0</v>
      </c>
      <c r="L333" s="97"/>
      <c r="M333" s="98"/>
    </row>
    <row r="334" ht="22.5" customHeight="1">
      <c r="A334" s="101">
        <v>939291.0</v>
      </c>
      <c r="B334" s="89">
        <v>45714.0</v>
      </c>
      <c r="C334" s="90" t="s">
        <v>44</v>
      </c>
      <c r="D334" s="91" t="s">
        <v>45</v>
      </c>
      <c r="E334" s="91" t="s">
        <v>447</v>
      </c>
      <c r="F334" s="92" t="s">
        <v>47</v>
      </c>
      <c r="G334" s="93">
        <v>40000.0</v>
      </c>
      <c r="H334" s="94">
        <v>0.0</v>
      </c>
      <c r="I334" s="95">
        <f t="shared" si="3"/>
        <v>40000</v>
      </c>
      <c r="J334" s="93">
        <v>40000.0</v>
      </c>
      <c r="K334" s="96">
        <f t="shared" si="4"/>
        <v>0</v>
      </c>
      <c r="L334" s="97"/>
      <c r="M334" s="98"/>
    </row>
    <row r="335" ht="22.5" customHeight="1">
      <c r="A335" s="88" t="s">
        <v>448</v>
      </c>
      <c r="B335" s="89">
        <v>45714.0</v>
      </c>
      <c r="C335" s="90" t="s">
        <v>44</v>
      </c>
      <c r="D335" s="91" t="s">
        <v>45</v>
      </c>
      <c r="E335" s="91" t="s">
        <v>398</v>
      </c>
      <c r="F335" s="92" t="s">
        <v>47</v>
      </c>
      <c r="G335" s="93">
        <v>35000.0</v>
      </c>
      <c r="H335" s="94">
        <v>0.0</v>
      </c>
      <c r="I335" s="95">
        <f t="shared" si="3"/>
        <v>35000</v>
      </c>
      <c r="J335" s="93">
        <v>35000.0</v>
      </c>
      <c r="K335" s="96">
        <f t="shared" si="4"/>
        <v>0</v>
      </c>
      <c r="L335" s="97"/>
      <c r="M335" s="98"/>
    </row>
    <row r="336" ht="22.5" customHeight="1">
      <c r="A336" s="88" t="s">
        <v>448</v>
      </c>
      <c r="B336" s="89">
        <v>45714.0</v>
      </c>
      <c r="C336" s="90" t="s">
        <v>44</v>
      </c>
      <c r="D336" s="91" t="s">
        <v>45</v>
      </c>
      <c r="E336" s="91" t="s">
        <v>449</v>
      </c>
      <c r="F336" s="92" t="s">
        <v>47</v>
      </c>
      <c r="G336" s="93">
        <v>10000.0</v>
      </c>
      <c r="H336" s="94">
        <v>0.0</v>
      </c>
      <c r="I336" s="95">
        <f t="shared" si="3"/>
        <v>10000</v>
      </c>
      <c r="J336" s="93">
        <v>10000.0</v>
      </c>
      <c r="K336" s="96">
        <f t="shared" si="4"/>
        <v>0</v>
      </c>
      <c r="L336" s="97"/>
      <c r="M336" s="98"/>
    </row>
    <row r="337" ht="22.5" customHeight="1">
      <c r="A337" s="88" t="s">
        <v>448</v>
      </c>
      <c r="B337" s="89">
        <v>45714.0</v>
      </c>
      <c r="C337" s="90" t="s">
        <v>44</v>
      </c>
      <c r="D337" s="91" t="s">
        <v>45</v>
      </c>
      <c r="E337" s="91" t="s">
        <v>450</v>
      </c>
      <c r="F337" s="92" t="s">
        <v>47</v>
      </c>
      <c r="G337" s="93">
        <v>15000.0</v>
      </c>
      <c r="H337" s="94">
        <v>0.0</v>
      </c>
      <c r="I337" s="95">
        <f t="shared" si="3"/>
        <v>15000</v>
      </c>
      <c r="J337" s="93">
        <v>15000.0</v>
      </c>
      <c r="K337" s="96">
        <f t="shared" si="4"/>
        <v>0</v>
      </c>
      <c r="L337" s="97"/>
      <c r="M337" s="98"/>
    </row>
    <row r="338" ht="22.5" customHeight="1">
      <c r="A338" s="88" t="s">
        <v>448</v>
      </c>
      <c r="B338" s="89">
        <v>45714.0</v>
      </c>
      <c r="C338" s="90" t="s">
        <v>44</v>
      </c>
      <c r="D338" s="91" t="s">
        <v>45</v>
      </c>
      <c r="E338" s="91" t="s">
        <v>451</v>
      </c>
      <c r="F338" s="92" t="s">
        <v>47</v>
      </c>
      <c r="G338" s="93">
        <v>35000.0</v>
      </c>
      <c r="H338" s="94">
        <v>0.0</v>
      </c>
      <c r="I338" s="95">
        <f t="shared" si="3"/>
        <v>35000</v>
      </c>
      <c r="J338" s="93">
        <v>35000.0</v>
      </c>
      <c r="K338" s="96">
        <f t="shared" si="4"/>
        <v>0</v>
      </c>
      <c r="L338" s="97"/>
      <c r="M338" s="98"/>
    </row>
    <row r="339" ht="22.5" customHeight="1">
      <c r="A339" s="101">
        <v>902.0</v>
      </c>
      <c r="B339" s="89">
        <v>45714.0</v>
      </c>
      <c r="C339" s="90" t="s">
        <v>44</v>
      </c>
      <c r="D339" s="91" t="s">
        <v>57</v>
      </c>
      <c r="E339" s="91" t="s">
        <v>452</v>
      </c>
      <c r="F339" s="92" t="s">
        <v>47</v>
      </c>
      <c r="G339" s="93">
        <v>450000.0</v>
      </c>
      <c r="H339" s="94">
        <v>0.0</v>
      </c>
      <c r="I339" s="95">
        <f t="shared" si="3"/>
        <v>450000</v>
      </c>
      <c r="J339" s="93">
        <v>450000.0</v>
      </c>
      <c r="K339" s="96">
        <f t="shared" si="4"/>
        <v>0</v>
      </c>
      <c r="L339" s="97"/>
      <c r="M339" s="98"/>
    </row>
    <row r="340" ht="22.5" customHeight="1">
      <c r="A340" s="88" t="s">
        <v>453</v>
      </c>
      <c r="B340" s="89">
        <v>45715.0</v>
      </c>
      <c r="C340" s="103" t="s">
        <v>83</v>
      </c>
      <c r="D340" s="109"/>
      <c r="E340" s="91" t="s">
        <v>454</v>
      </c>
      <c r="F340" s="92" t="s">
        <v>47</v>
      </c>
      <c r="G340" s="93">
        <v>15000.0</v>
      </c>
      <c r="H340" s="94">
        <v>0.0</v>
      </c>
      <c r="I340" s="95">
        <f t="shared" si="3"/>
        <v>15000</v>
      </c>
      <c r="J340" s="93">
        <v>0.0</v>
      </c>
      <c r="K340" s="104">
        <f t="shared" si="4"/>
        <v>15000</v>
      </c>
      <c r="L340" s="97"/>
      <c r="M340" s="98"/>
    </row>
    <row r="341" ht="22.5" customHeight="1">
      <c r="A341" s="88" t="s">
        <v>455</v>
      </c>
      <c r="B341" s="89">
        <v>45715.0</v>
      </c>
      <c r="C341" s="90" t="s">
        <v>44</v>
      </c>
      <c r="D341" s="91" t="s">
        <v>45</v>
      </c>
      <c r="E341" s="91" t="s">
        <v>292</v>
      </c>
      <c r="F341" s="92" t="s">
        <v>47</v>
      </c>
      <c r="G341" s="93">
        <v>175000.0</v>
      </c>
      <c r="H341" s="94">
        <v>0.0</v>
      </c>
      <c r="I341" s="95">
        <f t="shared" si="3"/>
        <v>175000</v>
      </c>
      <c r="J341" s="93">
        <v>175000.0</v>
      </c>
      <c r="K341" s="96">
        <f t="shared" si="4"/>
        <v>0</v>
      </c>
      <c r="L341" s="97"/>
      <c r="M341" s="98"/>
    </row>
    <row r="342" ht="22.5" customHeight="1">
      <c r="A342" s="101">
        <v>957910.0</v>
      </c>
      <c r="B342" s="89">
        <v>45715.0</v>
      </c>
      <c r="C342" s="90" t="s">
        <v>44</v>
      </c>
      <c r="D342" s="91" t="s">
        <v>45</v>
      </c>
      <c r="E342" s="91" t="s">
        <v>456</v>
      </c>
      <c r="F342" s="92" t="s">
        <v>47</v>
      </c>
      <c r="G342" s="93">
        <v>75000.0</v>
      </c>
      <c r="H342" s="94">
        <v>0.0</v>
      </c>
      <c r="I342" s="95">
        <f t="shared" si="3"/>
        <v>75000</v>
      </c>
      <c r="J342" s="93">
        <v>75000.0</v>
      </c>
      <c r="K342" s="96">
        <f t="shared" si="4"/>
        <v>0</v>
      </c>
      <c r="L342" s="97"/>
      <c r="M342" s="98"/>
    </row>
    <row r="343" ht="22.5" customHeight="1">
      <c r="A343" s="88" t="s">
        <v>457</v>
      </c>
      <c r="B343" s="89">
        <v>45715.0</v>
      </c>
      <c r="C343" s="90" t="s">
        <v>44</v>
      </c>
      <c r="D343" s="91" t="s">
        <v>45</v>
      </c>
      <c r="E343" s="91" t="s">
        <v>69</v>
      </c>
      <c r="F343" s="92" t="s">
        <v>47</v>
      </c>
      <c r="G343" s="93">
        <v>25000.0</v>
      </c>
      <c r="H343" s="94">
        <v>0.0</v>
      </c>
      <c r="I343" s="95">
        <f t="shared" si="3"/>
        <v>25000</v>
      </c>
      <c r="J343" s="93">
        <v>25000.0</v>
      </c>
      <c r="K343" s="96">
        <f t="shared" si="4"/>
        <v>0</v>
      </c>
      <c r="L343" s="97"/>
      <c r="M343" s="98"/>
    </row>
    <row r="344" ht="22.5" customHeight="1">
      <c r="A344" s="88" t="s">
        <v>457</v>
      </c>
      <c r="B344" s="89">
        <v>45715.0</v>
      </c>
      <c r="C344" s="90" t="s">
        <v>44</v>
      </c>
      <c r="D344" s="91" t="s">
        <v>45</v>
      </c>
      <c r="E344" s="91" t="s">
        <v>419</v>
      </c>
      <c r="F344" s="92" t="s">
        <v>47</v>
      </c>
      <c r="G344" s="93">
        <v>20000.0</v>
      </c>
      <c r="H344" s="94">
        <v>0.0</v>
      </c>
      <c r="I344" s="95">
        <f t="shared" si="3"/>
        <v>20000</v>
      </c>
      <c r="J344" s="93">
        <v>20000.0</v>
      </c>
      <c r="K344" s="96">
        <f t="shared" si="4"/>
        <v>0</v>
      </c>
      <c r="L344" s="97"/>
      <c r="M344" s="98"/>
    </row>
    <row r="345" ht="22.5" customHeight="1">
      <c r="A345" s="88" t="s">
        <v>457</v>
      </c>
      <c r="B345" s="89">
        <v>45715.0</v>
      </c>
      <c r="C345" s="90" t="s">
        <v>44</v>
      </c>
      <c r="D345" s="91" t="s">
        <v>45</v>
      </c>
      <c r="E345" s="91" t="s">
        <v>431</v>
      </c>
      <c r="F345" s="92" t="s">
        <v>47</v>
      </c>
      <c r="G345" s="93">
        <v>20000.0</v>
      </c>
      <c r="H345" s="94">
        <v>0.0</v>
      </c>
      <c r="I345" s="95">
        <f t="shared" si="3"/>
        <v>20000</v>
      </c>
      <c r="J345" s="93">
        <v>20000.0</v>
      </c>
      <c r="K345" s="96">
        <f t="shared" si="4"/>
        <v>0</v>
      </c>
      <c r="L345" s="97"/>
      <c r="M345" s="98"/>
    </row>
    <row r="346" ht="22.5" customHeight="1">
      <c r="A346" s="88" t="s">
        <v>458</v>
      </c>
      <c r="B346" s="89">
        <v>45715.0</v>
      </c>
      <c r="C346" s="90" t="s">
        <v>44</v>
      </c>
      <c r="D346" s="91" t="s">
        <v>45</v>
      </c>
      <c r="E346" s="91" t="s">
        <v>459</v>
      </c>
      <c r="F346" s="92" t="s">
        <v>47</v>
      </c>
      <c r="G346" s="93">
        <v>135000.0</v>
      </c>
      <c r="H346" s="94">
        <v>0.0</v>
      </c>
      <c r="I346" s="95">
        <f t="shared" si="3"/>
        <v>135000</v>
      </c>
      <c r="J346" s="93">
        <v>135000.0</v>
      </c>
      <c r="K346" s="96">
        <f t="shared" si="4"/>
        <v>0</v>
      </c>
      <c r="L346" s="97"/>
      <c r="M346" s="98"/>
    </row>
    <row r="347" ht="22.5" customHeight="1">
      <c r="A347" s="101">
        <v>185.0</v>
      </c>
      <c r="B347" s="89">
        <v>45716.0</v>
      </c>
      <c r="C347" s="90" t="s">
        <v>44</v>
      </c>
      <c r="D347" s="91" t="s">
        <v>57</v>
      </c>
      <c r="E347" s="91" t="s">
        <v>460</v>
      </c>
      <c r="F347" s="92" t="s">
        <v>47</v>
      </c>
      <c r="G347" s="93">
        <v>600000.0</v>
      </c>
      <c r="H347" s="94">
        <v>0.0</v>
      </c>
      <c r="I347" s="95">
        <f t="shared" si="3"/>
        <v>600000</v>
      </c>
      <c r="J347" s="93">
        <v>600000.0</v>
      </c>
      <c r="K347" s="96">
        <f t="shared" si="4"/>
        <v>0</v>
      </c>
      <c r="L347" s="97"/>
      <c r="M347" s="98"/>
    </row>
    <row r="348" ht="22.5" customHeight="1">
      <c r="A348" s="101">
        <v>939290.0</v>
      </c>
      <c r="B348" s="89">
        <v>45716.0</v>
      </c>
      <c r="C348" s="90" t="s">
        <v>44</v>
      </c>
      <c r="D348" s="91" t="s">
        <v>45</v>
      </c>
      <c r="E348" s="91" t="s">
        <v>69</v>
      </c>
      <c r="F348" s="92" t="s">
        <v>47</v>
      </c>
      <c r="G348" s="93">
        <v>50000.0</v>
      </c>
      <c r="H348" s="94">
        <v>0.0</v>
      </c>
      <c r="I348" s="95">
        <f t="shared" si="3"/>
        <v>50000</v>
      </c>
      <c r="J348" s="93">
        <v>50000.0</v>
      </c>
      <c r="K348" s="96">
        <f t="shared" si="4"/>
        <v>0</v>
      </c>
      <c r="L348" s="97"/>
      <c r="M348" s="98"/>
    </row>
    <row r="349" ht="22.5" customHeight="1">
      <c r="A349" s="101">
        <v>939278.0</v>
      </c>
      <c r="B349" s="89">
        <v>45716.0</v>
      </c>
      <c r="C349" s="90" t="s">
        <v>44</v>
      </c>
      <c r="D349" s="91" t="s">
        <v>45</v>
      </c>
      <c r="E349" s="91" t="s">
        <v>461</v>
      </c>
      <c r="F349" s="92" t="s">
        <v>47</v>
      </c>
      <c r="G349" s="93">
        <v>10000.0</v>
      </c>
      <c r="H349" s="94">
        <v>0.0</v>
      </c>
      <c r="I349" s="95">
        <f t="shared" si="3"/>
        <v>10000</v>
      </c>
      <c r="J349" s="93">
        <v>10000.0</v>
      </c>
      <c r="K349" s="96">
        <f t="shared" si="4"/>
        <v>0</v>
      </c>
      <c r="L349" s="97"/>
      <c r="M349" s="98"/>
    </row>
    <row r="350" ht="22.5" customHeight="1">
      <c r="A350" s="101">
        <v>939278.0</v>
      </c>
      <c r="B350" s="89">
        <v>45716.0</v>
      </c>
      <c r="C350" s="90" t="s">
        <v>44</v>
      </c>
      <c r="D350" s="91" t="s">
        <v>45</v>
      </c>
      <c r="E350" s="91" t="s">
        <v>419</v>
      </c>
      <c r="F350" s="92" t="s">
        <v>47</v>
      </c>
      <c r="G350" s="93">
        <v>25000.0</v>
      </c>
      <c r="H350" s="94">
        <v>0.0</v>
      </c>
      <c r="I350" s="95">
        <f t="shared" si="3"/>
        <v>25000</v>
      </c>
      <c r="J350" s="93">
        <v>25000.0</v>
      </c>
      <c r="K350" s="96">
        <f t="shared" si="4"/>
        <v>0</v>
      </c>
      <c r="L350" s="97"/>
      <c r="M350" s="98"/>
    </row>
    <row r="351" ht="22.5" customHeight="1">
      <c r="A351" s="101">
        <v>939281.0</v>
      </c>
      <c r="B351" s="89">
        <v>45716.0</v>
      </c>
      <c r="C351" s="90" t="s">
        <v>44</v>
      </c>
      <c r="D351" s="91" t="s">
        <v>45</v>
      </c>
      <c r="E351" s="91" t="s">
        <v>69</v>
      </c>
      <c r="F351" s="92" t="s">
        <v>47</v>
      </c>
      <c r="G351" s="93">
        <v>25000.0</v>
      </c>
      <c r="H351" s="94">
        <v>0.0</v>
      </c>
      <c r="I351" s="95">
        <f t="shared" si="3"/>
        <v>25000</v>
      </c>
      <c r="J351" s="93">
        <v>25000.0</v>
      </c>
      <c r="K351" s="96">
        <f t="shared" si="4"/>
        <v>0</v>
      </c>
      <c r="L351" s="97"/>
      <c r="M351" s="98"/>
    </row>
    <row r="352" ht="22.5" customHeight="1">
      <c r="A352" s="101">
        <v>939287.0</v>
      </c>
      <c r="B352" s="89">
        <v>45716.0</v>
      </c>
      <c r="C352" s="90" t="s">
        <v>44</v>
      </c>
      <c r="D352" s="91" t="s">
        <v>45</v>
      </c>
      <c r="E352" s="91" t="s">
        <v>408</v>
      </c>
      <c r="F352" s="92" t="s">
        <v>47</v>
      </c>
      <c r="G352" s="93">
        <v>30000.0</v>
      </c>
      <c r="H352" s="94">
        <v>0.0</v>
      </c>
      <c r="I352" s="95">
        <f t="shared" si="3"/>
        <v>30000</v>
      </c>
      <c r="J352" s="93">
        <v>30000.0</v>
      </c>
      <c r="K352" s="96">
        <f t="shared" si="4"/>
        <v>0</v>
      </c>
      <c r="L352" s="97"/>
      <c r="M352" s="98"/>
    </row>
    <row r="353" ht="22.5" customHeight="1">
      <c r="A353" s="101">
        <v>939287.0</v>
      </c>
      <c r="B353" s="89">
        <v>45716.0</v>
      </c>
      <c r="C353" s="90" t="s">
        <v>44</v>
      </c>
      <c r="D353" s="91" t="s">
        <v>45</v>
      </c>
      <c r="E353" s="91" t="s">
        <v>69</v>
      </c>
      <c r="F353" s="92" t="s">
        <v>47</v>
      </c>
      <c r="G353" s="93">
        <v>25000.0</v>
      </c>
      <c r="H353" s="94">
        <v>0.0</v>
      </c>
      <c r="I353" s="95">
        <f t="shared" si="3"/>
        <v>25000</v>
      </c>
      <c r="J353" s="93">
        <v>25000.0</v>
      </c>
      <c r="K353" s="96">
        <f t="shared" si="4"/>
        <v>0</v>
      </c>
      <c r="L353" s="97"/>
      <c r="M353" s="98"/>
    </row>
    <row r="354" ht="22.5" customHeight="1">
      <c r="A354" s="101">
        <v>939286.0</v>
      </c>
      <c r="B354" s="89">
        <v>45716.0</v>
      </c>
      <c r="C354" s="90" t="s">
        <v>44</v>
      </c>
      <c r="D354" s="91" t="s">
        <v>45</v>
      </c>
      <c r="E354" s="91" t="s">
        <v>462</v>
      </c>
      <c r="F354" s="92" t="s">
        <v>47</v>
      </c>
      <c r="G354" s="93">
        <v>25000.0</v>
      </c>
      <c r="H354" s="94">
        <v>0.0</v>
      </c>
      <c r="I354" s="95">
        <f t="shared" si="3"/>
        <v>25000</v>
      </c>
      <c r="J354" s="93">
        <v>25000.0</v>
      </c>
      <c r="K354" s="96">
        <f t="shared" si="4"/>
        <v>0</v>
      </c>
      <c r="L354" s="97"/>
      <c r="M354" s="98"/>
    </row>
    <row r="355" ht="22.5" customHeight="1">
      <c r="A355" s="101">
        <v>939286.0</v>
      </c>
      <c r="B355" s="89">
        <v>45716.0</v>
      </c>
      <c r="C355" s="90" t="s">
        <v>44</v>
      </c>
      <c r="D355" s="91" t="s">
        <v>45</v>
      </c>
      <c r="E355" s="91" t="s">
        <v>69</v>
      </c>
      <c r="F355" s="92" t="s">
        <v>47</v>
      </c>
      <c r="G355" s="93">
        <v>25000.0</v>
      </c>
      <c r="H355" s="94">
        <v>0.0</v>
      </c>
      <c r="I355" s="95">
        <f t="shared" si="3"/>
        <v>25000</v>
      </c>
      <c r="J355" s="93">
        <v>25000.0</v>
      </c>
      <c r="K355" s="96">
        <f t="shared" si="4"/>
        <v>0</v>
      </c>
      <c r="L355" s="97"/>
      <c r="M355" s="98"/>
    </row>
    <row r="356" ht="22.5" customHeight="1">
      <c r="A356" s="101">
        <v>939285.0</v>
      </c>
      <c r="B356" s="89">
        <v>45716.0</v>
      </c>
      <c r="C356" s="90" t="s">
        <v>44</v>
      </c>
      <c r="D356" s="91" t="s">
        <v>45</v>
      </c>
      <c r="E356" s="91" t="s">
        <v>69</v>
      </c>
      <c r="F356" s="92" t="s">
        <v>47</v>
      </c>
      <c r="G356" s="93">
        <v>25000.0</v>
      </c>
      <c r="H356" s="94">
        <v>0.0</v>
      </c>
      <c r="I356" s="95">
        <f t="shared" si="3"/>
        <v>25000</v>
      </c>
      <c r="J356" s="93">
        <v>25000.0</v>
      </c>
      <c r="K356" s="96">
        <f t="shared" si="4"/>
        <v>0</v>
      </c>
      <c r="L356" s="97"/>
      <c r="M356" s="98"/>
    </row>
    <row r="357" ht="22.5" customHeight="1">
      <c r="A357" s="101">
        <v>939300.0</v>
      </c>
      <c r="B357" s="89">
        <v>45716.0</v>
      </c>
      <c r="C357" s="90" t="s">
        <v>44</v>
      </c>
      <c r="D357" s="91" t="s">
        <v>45</v>
      </c>
      <c r="E357" s="91" t="s">
        <v>408</v>
      </c>
      <c r="F357" s="92" t="s">
        <v>47</v>
      </c>
      <c r="G357" s="93">
        <v>30000.0</v>
      </c>
      <c r="H357" s="94">
        <v>0.0</v>
      </c>
      <c r="I357" s="95">
        <f t="shared" si="3"/>
        <v>30000</v>
      </c>
      <c r="J357" s="93">
        <v>30000.0</v>
      </c>
      <c r="K357" s="96">
        <f t="shared" si="4"/>
        <v>0</v>
      </c>
      <c r="L357" s="97"/>
      <c r="M357" s="102"/>
    </row>
    <row r="358" ht="22.5" customHeight="1">
      <c r="A358" s="88" t="s">
        <v>463</v>
      </c>
      <c r="B358" s="89">
        <v>45716.0</v>
      </c>
      <c r="C358" s="90" t="s">
        <v>44</v>
      </c>
      <c r="D358" s="91" t="s">
        <v>45</v>
      </c>
      <c r="E358" s="91" t="s">
        <v>123</v>
      </c>
      <c r="F358" s="92" t="s">
        <v>47</v>
      </c>
      <c r="G358" s="93">
        <v>10000.0</v>
      </c>
      <c r="H358" s="94">
        <v>0.0</v>
      </c>
      <c r="I358" s="95">
        <f t="shared" si="3"/>
        <v>10000</v>
      </c>
      <c r="J358" s="93">
        <v>10000.0</v>
      </c>
      <c r="K358" s="96">
        <f t="shared" si="4"/>
        <v>0</v>
      </c>
      <c r="L358" s="97"/>
      <c r="M358" s="98"/>
    </row>
    <row r="359" ht="22.5" customHeight="1">
      <c r="A359" s="88" t="s">
        <v>464</v>
      </c>
      <c r="B359" s="89">
        <v>45716.0</v>
      </c>
      <c r="C359" s="90" t="s">
        <v>44</v>
      </c>
      <c r="D359" s="91" t="s">
        <v>45</v>
      </c>
      <c r="E359" s="91" t="s">
        <v>445</v>
      </c>
      <c r="F359" s="92" t="s">
        <v>47</v>
      </c>
      <c r="G359" s="93">
        <v>25000.0</v>
      </c>
      <c r="H359" s="94">
        <v>0.0</v>
      </c>
      <c r="I359" s="95">
        <f t="shared" si="3"/>
        <v>25000</v>
      </c>
      <c r="J359" s="93">
        <v>25000.0</v>
      </c>
      <c r="K359" s="96">
        <f t="shared" si="4"/>
        <v>0</v>
      </c>
      <c r="L359" s="97"/>
      <c r="M359" s="98"/>
    </row>
    <row r="360" ht="22.5" customHeight="1">
      <c r="A360" s="88" t="s">
        <v>464</v>
      </c>
      <c r="B360" s="89">
        <v>45716.0</v>
      </c>
      <c r="C360" s="90" t="s">
        <v>44</v>
      </c>
      <c r="D360" s="91" t="s">
        <v>45</v>
      </c>
      <c r="E360" s="91" t="s">
        <v>69</v>
      </c>
      <c r="F360" s="92" t="s">
        <v>47</v>
      </c>
      <c r="G360" s="93">
        <v>25000.0</v>
      </c>
      <c r="H360" s="94">
        <v>0.0</v>
      </c>
      <c r="I360" s="95">
        <f t="shared" si="3"/>
        <v>25000</v>
      </c>
      <c r="J360" s="93">
        <v>25000.0</v>
      </c>
      <c r="K360" s="96">
        <f t="shared" si="4"/>
        <v>0</v>
      </c>
      <c r="L360" s="97"/>
      <c r="M360" s="98"/>
    </row>
    <row r="361" ht="22.5" customHeight="1">
      <c r="A361" s="88" t="s">
        <v>464</v>
      </c>
      <c r="B361" s="89">
        <v>45716.0</v>
      </c>
      <c r="C361" s="90" t="s">
        <v>44</v>
      </c>
      <c r="D361" s="91" t="s">
        <v>45</v>
      </c>
      <c r="E361" s="91" t="s">
        <v>431</v>
      </c>
      <c r="F361" s="92" t="s">
        <v>47</v>
      </c>
      <c r="G361" s="93">
        <v>25000.0</v>
      </c>
      <c r="H361" s="94">
        <v>0.0</v>
      </c>
      <c r="I361" s="95">
        <f t="shared" si="3"/>
        <v>25000</v>
      </c>
      <c r="J361" s="93">
        <v>25000.0</v>
      </c>
      <c r="K361" s="96">
        <f t="shared" si="4"/>
        <v>0</v>
      </c>
      <c r="L361" s="97"/>
      <c r="M361" s="98"/>
    </row>
    <row r="362" ht="22.5" customHeight="1">
      <c r="A362" s="88" t="s">
        <v>465</v>
      </c>
      <c r="B362" s="89">
        <v>45717.0</v>
      </c>
      <c r="C362" s="103" t="s">
        <v>83</v>
      </c>
      <c r="D362" s="91" t="s">
        <v>45</v>
      </c>
      <c r="E362" s="91" t="s">
        <v>466</v>
      </c>
      <c r="F362" s="92" t="s">
        <v>47</v>
      </c>
      <c r="G362" s="93">
        <v>40000.0</v>
      </c>
      <c r="H362" s="94">
        <v>0.0</v>
      </c>
      <c r="I362" s="95">
        <f t="shared" si="3"/>
        <v>40000</v>
      </c>
      <c r="J362" s="93">
        <v>0.0</v>
      </c>
      <c r="K362" s="104">
        <f t="shared" si="4"/>
        <v>40000</v>
      </c>
      <c r="L362" s="97"/>
      <c r="M362" s="98"/>
    </row>
    <row r="363" ht="22.5" customHeight="1">
      <c r="A363" s="101">
        <v>939284.0</v>
      </c>
      <c r="B363" s="89">
        <v>45717.0</v>
      </c>
      <c r="C363" s="90" t="s">
        <v>44</v>
      </c>
      <c r="D363" s="91" t="s">
        <v>45</v>
      </c>
      <c r="E363" s="91" t="s">
        <v>408</v>
      </c>
      <c r="F363" s="92" t="s">
        <v>47</v>
      </c>
      <c r="G363" s="93">
        <v>30000.0</v>
      </c>
      <c r="H363" s="94">
        <v>0.0</v>
      </c>
      <c r="I363" s="95">
        <f t="shared" si="3"/>
        <v>30000</v>
      </c>
      <c r="J363" s="93">
        <v>30000.0</v>
      </c>
      <c r="K363" s="96">
        <f t="shared" si="4"/>
        <v>0</v>
      </c>
      <c r="L363" s="97"/>
      <c r="M363" s="98"/>
    </row>
    <row r="364" ht="22.5" customHeight="1">
      <c r="A364" s="101">
        <v>939283.0</v>
      </c>
      <c r="B364" s="89">
        <v>45717.0</v>
      </c>
      <c r="C364" s="90" t="s">
        <v>44</v>
      </c>
      <c r="D364" s="91" t="s">
        <v>45</v>
      </c>
      <c r="E364" s="91" t="s">
        <v>408</v>
      </c>
      <c r="F364" s="92" t="s">
        <v>47</v>
      </c>
      <c r="G364" s="93">
        <v>30000.0</v>
      </c>
      <c r="H364" s="94">
        <v>0.0</v>
      </c>
      <c r="I364" s="95">
        <f t="shared" si="3"/>
        <v>30000</v>
      </c>
      <c r="J364" s="93">
        <v>30000.0</v>
      </c>
      <c r="K364" s="96">
        <f t="shared" si="4"/>
        <v>0</v>
      </c>
      <c r="L364" s="97"/>
      <c r="M364" s="98"/>
    </row>
    <row r="365" ht="22.5" customHeight="1">
      <c r="A365" s="101">
        <v>939283.0</v>
      </c>
      <c r="B365" s="89">
        <v>45717.0</v>
      </c>
      <c r="C365" s="90" t="s">
        <v>44</v>
      </c>
      <c r="D365" s="91" t="s">
        <v>45</v>
      </c>
      <c r="E365" s="91" t="s">
        <v>69</v>
      </c>
      <c r="F365" s="92" t="s">
        <v>47</v>
      </c>
      <c r="G365" s="93">
        <v>25000.0</v>
      </c>
      <c r="H365" s="94">
        <v>0.0</v>
      </c>
      <c r="I365" s="95">
        <f t="shared" si="3"/>
        <v>25000</v>
      </c>
      <c r="J365" s="93">
        <v>25000.0</v>
      </c>
      <c r="K365" s="96">
        <f t="shared" si="4"/>
        <v>0</v>
      </c>
      <c r="L365" s="97"/>
      <c r="M365" s="98"/>
    </row>
    <row r="366" ht="22.5" customHeight="1">
      <c r="A366" s="101">
        <v>939289.0</v>
      </c>
      <c r="B366" s="89">
        <v>45717.0</v>
      </c>
      <c r="C366" s="90" t="s">
        <v>44</v>
      </c>
      <c r="D366" s="91" t="s">
        <v>45</v>
      </c>
      <c r="E366" s="91" t="s">
        <v>408</v>
      </c>
      <c r="F366" s="92" t="s">
        <v>47</v>
      </c>
      <c r="G366" s="93">
        <v>30000.0</v>
      </c>
      <c r="H366" s="94">
        <v>0.0</v>
      </c>
      <c r="I366" s="95">
        <f t="shared" si="3"/>
        <v>30000</v>
      </c>
      <c r="J366" s="93">
        <v>30000.0</v>
      </c>
      <c r="K366" s="96">
        <f t="shared" si="4"/>
        <v>0</v>
      </c>
      <c r="L366" s="97"/>
      <c r="M366" s="98"/>
    </row>
    <row r="367" ht="22.5" customHeight="1">
      <c r="A367" s="101">
        <v>957914.0</v>
      </c>
      <c r="B367" s="89">
        <v>45717.0</v>
      </c>
      <c r="C367" s="90" t="s">
        <v>44</v>
      </c>
      <c r="D367" s="91" t="s">
        <v>45</v>
      </c>
      <c r="E367" s="91" t="s">
        <v>467</v>
      </c>
      <c r="F367" s="92" t="s">
        <v>47</v>
      </c>
      <c r="G367" s="93">
        <v>195000.0</v>
      </c>
      <c r="H367" s="94">
        <v>0.0</v>
      </c>
      <c r="I367" s="95">
        <f t="shared" si="3"/>
        <v>195000</v>
      </c>
      <c r="J367" s="93">
        <v>195000.0</v>
      </c>
      <c r="K367" s="96">
        <f t="shared" si="4"/>
        <v>0</v>
      </c>
      <c r="L367" s="97"/>
      <c r="M367" s="98"/>
    </row>
    <row r="368" ht="22.5" customHeight="1">
      <c r="A368" s="88" t="s">
        <v>468</v>
      </c>
      <c r="B368" s="89">
        <v>45717.0</v>
      </c>
      <c r="C368" s="90" t="s">
        <v>44</v>
      </c>
      <c r="D368" s="91" t="s">
        <v>45</v>
      </c>
      <c r="E368" s="91" t="s">
        <v>408</v>
      </c>
      <c r="F368" s="92" t="s">
        <v>47</v>
      </c>
      <c r="G368" s="93">
        <v>30000.0</v>
      </c>
      <c r="H368" s="94">
        <v>0.0</v>
      </c>
      <c r="I368" s="95">
        <f t="shared" si="3"/>
        <v>30000</v>
      </c>
      <c r="J368" s="93">
        <v>30000.0</v>
      </c>
      <c r="K368" s="96">
        <f t="shared" si="4"/>
        <v>0</v>
      </c>
      <c r="L368" s="97"/>
      <c r="M368" s="98"/>
    </row>
    <row r="369" ht="22.5" customHeight="1">
      <c r="A369" s="88" t="s">
        <v>469</v>
      </c>
      <c r="B369" s="89">
        <v>45717.0</v>
      </c>
      <c r="C369" s="90" t="s">
        <v>44</v>
      </c>
      <c r="D369" s="91" t="s">
        <v>45</v>
      </c>
      <c r="E369" s="91" t="s">
        <v>408</v>
      </c>
      <c r="F369" s="92" t="s">
        <v>47</v>
      </c>
      <c r="G369" s="93">
        <v>20000.0</v>
      </c>
      <c r="H369" s="94">
        <v>0.0</v>
      </c>
      <c r="I369" s="95">
        <f t="shared" si="3"/>
        <v>20000</v>
      </c>
      <c r="J369" s="93">
        <v>20000.0</v>
      </c>
      <c r="K369" s="96">
        <f t="shared" si="4"/>
        <v>0</v>
      </c>
      <c r="L369" s="97"/>
      <c r="M369" s="98"/>
    </row>
    <row r="370" ht="22.5" customHeight="1">
      <c r="A370" s="88" t="s">
        <v>470</v>
      </c>
      <c r="B370" s="89">
        <v>45717.0</v>
      </c>
      <c r="C370" s="90" t="s">
        <v>44</v>
      </c>
      <c r="D370" s="91" t="s">
        <v>45</v>
      </c>
      <c r="E370" s="91" t="s">
        <v>431</v>
      </c>
      <c r="F370" s="92" t="s">
        <v>47</v>
      </c>
      <c r="G370" s="93">
        <v>30000.0</v>
      </c>
      <c r="H370" s="94">
        <v>0.0</v>
      </c>
      <c r="I370" s="95">
        <f t="shared" si="3"/>
        <v>30000</v>
      </c>
      <c r="J370" s="93">
        <v>30000.0</v>
      </c>
      <c r="K370" s="96">
        <f t="shared" si="4"/>
        <v>0</v>
      </c>
      <c r="L370" s="97"/>
      <c r="M370" s="98"/>
    </row>
    <row r="371" ht="22.5" customHeight="1">
      <c r="A371" s="88" t="s">
        <v>471</v>
      </c>
      <c r="B371" s="89">
        <v>45717.0</v>
      </c>
      <c r="C371" s="90" t="s">
        <v>44</v>
      </c>
      <c r="D371" s="91" t="s">
        <v>45</v>
      </c>
      <c r="E371" s="91" t="s">
        <v>128</v>
      </c>
      <c r="F371" s="92" t="s">
        <v>47</v>
      </c>
      <c r="G371" s="93">
        <v>10000.0</v>
      </c>
      <c r="H371" s="94">
        <v>0.0</v>
      </c>
      <c r="I371" s="95">
        <f t="shared" si="3"/>
        <v>10000</v>
      </c>
      <c r="J371" s="93">
        <v>10000.0</v>
      </c>
      <c r="K371" s="96">
        <f t="shared" si="4"/>
        <v>0</v>
      </c>
      <c r="L371" s="97"/>
      <c r="M371" s="98"/>
    </row>
    <row r="372" ht="22.5" customHeight="1">
      <c r="A372" s="88" t="s">
        <v>306</v>
      </c>
      <c r="B372" s="89">
        <v>45717.0</v>
      </c>
      <c r="C372" s="90" t="s">
        <v>44</v>
      </c>
      <c r="D372" s="91" t="s">
        <v>45</v>
      </c>
      <c r="E372" s="91" t="s">
        <v>414</v>
      </c>
      <c r="F372" s="92" t="s">
        <v>47</v>
      </c>
      <c r="G372" s="93">
        <v>40000.0</v>
      </c>
      <c r="H372" s="94">
        <v>0.0</v>
      </c>
      <c r="I372" s="95">
        <f t="shared" si="3"/>
        <v>40000</v>
      </c>
      <c r="J372" s="93">
        <v>40000.0</v>
      </c>
      <c r="K372" s="96">
        <f t="shared" si="4"/>
        <v>0</v>
      </c>
      <c r="L372" s="97"/>
      <c r="M372" s="98"/>
    </row>
    <row r="373" ht="22.5" customHeight="1">
      <c r="A373" s="88" t="s">
        <v>306</v>
      </c>
      <c r="B373" s="89">
        <v>45717.0</v>
      </c>
      <c r="C373" s="90" t="s">
        <v>44</v>
      </c>
      <c r="D373" s="91" t="s">
        <v>45</v>
      </c>
      <c r="E373" s="91" t="s">
        <v>128</v>
      </c>
      <c r="F373" s="92" t="s">
        <v>47</v>
      </c>
      <c r="G373" s="93">
        <v>10000.0</v>
      </c>
      <c r="H373" s="94">
        <v>0.0</v>
      </c>
      <c r="I373" s="95">
        <f t="shared" si="3"/>
        <v>10000</v>
      </c>
      <c r="J373" s="93">
        <v>10000.0</v>
      </c>
      <c r="K373" s="96">
        <f t="shared" si="4"/>
        <v>0</v>
      </c>
      <c r="L373" s="97"/>
      <c r="M373" s="98"/>
    </row>
    <row r="374" ht="22.5" customHeight="1">
      <c r="A374" s="88" t="s">
        <v>472</v>
      </c>
      <c r="B374" s="89">
        <v>45717.0</v>
      </c>
      <c r="C374" s="90" t="s">
        <v>44</v>
      </c>
      <c r="D374" s="91" t="s">
        <v>45</v>
      </c>
      <c r="E374" s="91" t="s">
        <v>419</v>
      </c>
      <c r="F374" s="92" t="s">
        <v>47</v>
      </c>
      <c r="G374" s="93">
        <v>20000.0</v>
      </c>
      <c r="H374" s="94">
        <v>0.0</v>
      </c>
      <c r="I374" s="95">
        <f t="shared" si="3"/>
        <v>20000</v>
      </c>
      <c r="J374" s="93">
        <v>20000.0</v>
      </c>
      <c r="K374" s="96">
        <f t="shared" si="4"/>
        <v>0</v>
      </c>
      <c r="L374" s="97"/>
      <c r="M374" s="98"/>
    </row>
    <row r="375" ht="22.5" customHeight="1">
      <c r="A375" s="88" t="s">
        <v>472</v>
      </c>
      <c r="B375" s="89">
        <v>45717.0</v>
      </c>
      <c r="C375" s="90" t="s">
        <v>44</v>
      </c>
      <c r="D375" s="91" t="s">
        <v>45</v>
      </c>
      <c r="E375" s="91" t="s">
        <v>69</v>
      </c>
      <c r="F375" s="92" t="s">
        <v>47</v>
      </c>
      <c r="G375" s="93">
        <v>25000.0</v>
      </c>
      <c r="H375" s="94">
        <v>0.0</v>
      </c>
      <c r="I375" s="95">
        <f t="shared" si="3"/>
        <v>25000</v>
      </c>
      <c r="J375" s="93">
        <v>25000.0</v>
      </c>
      <c r="K375" s="96">
        <f t="shared" si="4"/>
        <v>0</v>
      </c>
      <c r="L375" s="97"/>
      <c r="M375" s="98"/>
    </row>
    <row r="376" ht="22.5" customHeight="1">
      <c r="A376" s="88" t="s">
        <v>473</v>
      </c>
      <c r="B376" s="89">
        <v>45718.0</v>
      </c>
      <c r="C376" s="90" t="s">
        <v>44</v>
      </c>
      <c r="D376" s="91" t="s">
        <v>45</v>
      </c>
      <c r="E376" s="91" t="s">
        <v>474</v>
      </c>
      <c r="F376" s="92" t="s">
        <v>47</v>
      </c>
      <c r="G376" s="93">
        <v>75000.0</v>
      </c>
      <c r="H376" s="94">
        <v>0.0</v>
      </c>
      <c r="I376" s="95">
        <f t="shared" si="3"/>
        <v>75000</v>
      </c>
      <c r="J376" s="93">
        <v>75000.0</v>
      </c>
      <c r="K376" s="96">
        <f t="shared" si="4"/>
        <v>0</v>
      </c>
      <c r="L376" s="97"/>
      <c r="M376" s="98"/>
    </row>
    <row r="377" ht="22.5" customHeight="1">
      <c r="A377" s="88" t="s">
        <v>475</v>
      </c>
      <c r="B377" s="89">
        <v>45718.0</v>
      </c>
      <c r="C377" s="90" t="s">
        <v>44</v>
      </c>
      <c r="D377" s="91" t="s">
        <v>45</v>
      </c>
      <c r="E377" s="91" t="s">
        <v>476</v>
      </c>
      <c r="F377" s="92" t="s">
        <v>47</v>
      </c>
      <c r="G377" s="93">
        <v>25000.0</v>
      </c>
      <c r="H377" s="94">
        <v>0.0</v>
      </c>
      <c r="I377" s="95">
        <f t="shared" si="3"/>
        <v>25000</v>
      </c>
      <c r="J377" s="93">
        <v>25000.0</v>
      </c>
      <c r="K377" s="96">
        <f t="shared" si="4"/>
        <v>0</v>
      </c>
      <c r="L377" s="97"/>
      <c r="M377" s="98"/>
    </row>
    <row r="378" ht="22.5" customHeight="1">
      <c r="A378" s="88" t="s">
        <v>477</v>
      </c>
      <c r="B378" s="89">
        <v>45718.0</v>
      </c>
      <c r="C378" s="90" t="s">
        <v>44</v>
      </c>
      <c r="D378" s="91" t="s">
        <v>45</v>
      </c>
      <c r="E378" s="91" t="s">
        <v>478</v>
      </c>
      <c r="F378" s="92" t="s">
        <v>47</v>
      </c>
      <c r="G378" s="93">
        <v>75000.0</v>
      </c>
      <c r="H378" s="94">
        <v>0.0</v>
      </c>
      <c r="I378" s="95">
        <f t="shared" si="3"/>
        <v>75000</v>
      </c>
      <c r="J378" s="93">
        <v>75000.0</v>
      </c>
      <c r="K378" s="96">
        <f t="shared" si="4"/>
        <v>0</v>
      </c>
      <c r="L378" s="97"/>
      <c r="M378" s="98"/>
    </row>
    <row r="379" ht="22.5" customHeight="1">
      <c r="A379" s="101">
        <v>957901.0</v>
      </c>
      <c r="B379" s="89">
        <v>45718.0</v>
      </c>
      <c r="C379" s="90" t="s">
        <v>44</v>
      </c>
      <c r="D379" s="91" t="s">
        <v>45</v>
      </c>
      <c r="E379" s="91" t="s">
        <v>467</v>
      </c>
      <c r="F379" s="92" t="s">
        <v>47</v>
      </c>
      <c r="G379" s="93">
        <v>1750000.0</v>
      </c>
      <c r="H379" s="94">
        <v>0.0</v>
      </c>
      <c r="I379" s="95">
        <f t="shared" si="3"/>
        <v>1750000</v>
      </c>
      <c r="J379" s="93">
        <v>1750000.0</v>
      </c>
      <c r="K379" s="96">
        <f t="shared" si="4"/>
        <v>0</v>
      </c>
      <c r="L379" s="97"/>
      <c r="M379" s="98"/>
    </row>
    <row r="380" ht="22.5" customHeight="1">
      <c r="A380" s="88" t="s">
        <v>479</v>
      </c>
      <c r="B380" s="89">
        <v>45718.0</v>
      </c>
      <c r="C380" s="90" t="s">
        <v>44</v>
      </c>
      <c r="D380" s="91" t="s">
        <v>45</v>
      </c>
      <c r="E380" s="91" t="s">
        <v>467</v>
      </c>
      <c r="F380" s="92" t="s">
        <v>47</v>
      </c>
      <c r="G380" s="93">
        <v>350000.0</v>
      </c>
      <c r="H380" s="94">
        <v>0.0</v>
      </c>
      <c r="I380" s="95">
        <f t="shared" si="3"/>
        <v>350000</v>
      </c>
      <c r="J380" s="93">
        <v>350000.0</v>
      </c>
      <c r="K380" s="96">
        <f t="shared" si="4"/>
        <v>0</v>
      </c>
      <c r="L380" s="97"/>
      <c r="M380" s="98"/>
    </row>
    <row r="381" ht="22.5" customHeight="1">
      <c r="A381" s="101">
        <v>939294.0</v>
      </c>
      <c r="B381" s="89">
        <v>45718.0</v>
      </c>
      <c r="C381" s="90" t="s">
        <v>44</v>
      </c>
      <c r="D381" s="91" t="s">
        <v>45</v>
      </c>
      <c r="E381" s="91" t="s">
        <v>69</v>
      </c>
      <c r="F381" s="92" t="s">
        <v>47</v>
      </c>
      <c r="G381" s="93">
        <v>5000.0</v>
      </c>
      <c r="H381" s="94">
        <v>0.0</v>
      </c>
      <c r="I381" s="95">
        <f t="shared" si="3"/>
        <v>5000</v>
      </c>
      <c r="J381" s="93">
        <v>5000.0</v>
      </c>
      <c r="K381" s="96">
        <f t="shared" si="4"/>
        <v>0</v>
      </c>
      <c r="L381" s="97"/>
      <c r="M381" s="98"/>
    </row>
    <row r="382" ht="22.5" customHeight="1">
      <c r="A382" s="88" t="s">
        <v>480</v>
      </c>
      <c r="B382" s="89">
        <v>45719.0</v>
      </c>
      <c r="C382" s="103" t="s">
        <v>83</v>
      </c>
      <c r="D382" s="91" t="s">
        <v>45</v>
      </c>
      <c r="E382" s="91" t="s">
        <v>69</v>
      </c>
      <c r="F382" s="92" t="s">
        <v>47</v>
      </c>
      <c r="G382" s="93">
        <v>75000.0</v>
      </c>
      <c r="H382" s="94">
        <v>0.0</v>
      </c>
      <c r="I382" s="95">
        <f t="shared" si="3"/>
        <v>75000</v>
      </c>
      <c r="J382" s="93">
        <v>46000.0</v>
      </c>
      <c r="K382" s="104">
        <f t="shared" si="4"/>
        <v>29000</v>
      </c>
      <c r="L382" s="97"/>
      <c r="M382" s="98"/>
    </row>
    <row r="383" ht="22.5" customHeight="1">
      <c r="A383" s="101">
        <v>939292.0</v>
      </c>
      <c r="B383" s="89">
        <v>45719.0</v>
      </c>
      <c r="C383" s="90" t="s">
        <v>44</v>
      </c>
      <c r="D383" s="91" t="s">
        <v>45</v>
      </c>
      <c r="E383" s="91" t="s">
        <v>408</v>
      </c>
      <c r="F383" s="92" t="s">
        <v>47</v>
      </c>
      <c r="G383" s="93">
        <v>30000.0</v>
      </c>
      <c r="H383" s="94">
        <v>0.0</v>
      </c>
      <c r="I383" s="95">
        <f t="shared" si="3"/>
        <v>30000</v>
      </c>
      <c r="J383" s="93">
        <v>30000.0</v>
      </c>
      <c r="K383" s="96">
        <f t="shared" si="4"/>
        <v>0</v>
      </c>
      <c r="L383" s="97"/>
      <c r="M383" s="98"/>
    </row>
    <row r="384" ht="22.5" customHeight="1">
      <c r="A384" s="101">
        <v>939292.0</v>
      </c>
      <c r="B384" s="89">
        <v>45719.0</v>
      </c>
      <c r="C384" s="90" t="s">
        <v>44</v>
      </c>
      <c r="D384" s="91" t="s">
        <v>45</v>
      </c>
      <c r="E384" s="91" t="s">
        <v>431</v>
      </c>
      <c r="F384" s="92" t="s">
        <v>47</v>
      </c>
      <c r="G384" s="93">
        <v>30000.0</v>
      </c>
      <c r="H384" s="94">
        <v>0.0</v>
      </c>
      <c r="I384" s="95">
        <f t="shared" si="3"/>
        <v>30000</v>
      </c>
      <c r="J384" s="93">
        <v>30000.0</v>
      </c>
      <c r="K384" s="96">
        <f t="shared" si="4"/>
        <v>0</v>
      </c>
      <c r="L384" s="97"/>
      <c r="M384" s="98"/>
    </row>
    <row r="385" ht="22.5" customHeight="1">
      <c r="A385" s="101">
        <v>957916.0</v>
      </c>
      <c r="B385" s="89">
        <v>45719.0</v>
      </c>
      <c r="C385" s="90" t="s">
        <v>44</v>
      </c>
      <c r="D385" s="91" t="s">
        <v>45</v>
      </c>
      <c r="E385" s="91" t="s">
        <v>408</v>
      </c>
      <c r="F385" s="92" t="s">
        <v>47</v>
      </c>
      <c r="G385" s="93">
        <v>30000.0</v>
      </c>
      <c r="H385" s="94">
        <v>0.0</v>
      </c>
      <c r="I385" s="95">
        <f t="shared" si="3"/>
        <v>30000</v>
      </c>
      <c r="J385" s="93">
        <v>30000.0</v>
      </c>
      <c r="K385" s="96">
        <f t="shared" si="4"/>
        <v>0</v>
      </c>
      <c r="L385" s="97"/>
      <c r="M385" s="98"/>
    </row>
    <row r="386" ht="22.5" customHeight="1">
      <c r="A386" s="88" t="s">
        <v>481</v>
      </c>
      <c r="B386" s="89">
        <v>45719.0</v>
      </c>
      <c r="C386" s="90" t="s">
        <v>44</v>
      </c>
      <c r="D386" s="91" t="s">
        <v>45</v>
      </c>
      <c r="E386" s="91" t="s">
        <v>69</v>
      </c>
      <c r="F386" s="92" t="s">
        <v>47</v>
      </c>
      <c r="G386" s="93">
        <v>5000.0</v>
      </c>
      <c r="H386" s="94">
        <v>0.0</v>
      </c>
      <c r="I386" s="95">
        <f t="shared" si="3"/>
        <v>5000</v>
      </c>
      <c r="J386" s="93">
        <v>5000.0</v>
      </c>
      <c r="K386" s="96">
        <f t="shared" si="4"/>
        <v>0</v>
      </c>
      <c r="L386" s="97"/>
      <c r="M386" s="98"/>
    </row>
    <row r="387" ht="22.5" customHeight="1">
      <c r="A387" s="88" t="s">
        <v>482</v>
      </c>
      <c r="B387" s="89">
        <v>45719.0</v>
      </c>
      <c r="C387" s="90" t="s">
        <v>44</v>
      </c>
      <c r="D387" s="91" t="s">
        <v>45</v>
      </c>
      <c r="E387" s="91" t="s">
        <v>69</v>
      </c>
      <c r="F387" s="92" t="s">
        <v>47</v>
      </c>
      <c r="G387" s="93">
        <v>5000.0</v>
      </c>
      <c r="H387" s="94">
        <v>0.0</v>
      </c>
      <c r="I387" s="95">
        <f t="shared" si="3"/>
        <v>5000</v>
      </c>
      <c r="J387" s="93">
        <v>5000.0</v>
      </c>
      <c r="K387" s="96">
        <f t="shared" si="4"/>
        <v>0</v>
      </c>
      <c r="L387" s="97"/>
      <c r="M387" s="98"/>
    </row>
    <row r="388" ht="22.5" customHeight="1">
      <c r="A388" s="101">
        <v>939893.0</v>
      </c>
      <c r="B388" s="89">
        <v>45719.0</v>
      </c>
      <c r="C388" s="90" t="s">
        <v>44</v>
      </c>
      <c r="D388" s="91" t="s">
        <v>45</v>
      </c>
      <c r="E388" s="91" t="s">
        <v>69</v>
      </c>
      <c r="F388" s="92" t="s">
        <v>47</v>
      </c>
      <c r="G388" s="93">
        <v>5000.0</v>
      </c>
      <c r="H388" s="94">
        <v>0.0</v>
      </c>
      <c r="I388" s="95">
        <f t="shared" si="3"/>
        <v>5000</v>
      </c>
      <c r="J388" s="93">
        <v>5000.0</v>
      </c>
      <c r="K388" s="96">
        <f t="shared" si="4"/>
        <v>0</v>
      </c>
      <c r="L388" s="97"/>
      <c r="M388" s="98"/>
    </row>
    <row r="389" ht="22.5" customHeight="1">
      <c r="A389" s="101">
        <v>939296.0</v>
      </c>
      <c r="B389" s="89">
        <v>45719.0</v>
      </c>
      <c r="C389" s="90" t="s">
        <v>44</v>
      </c>
      <c r="D389" s="91" t="s">
        <v>45</v>
      </c>
      <c r="E389" s="91" t="s">
        <v>69</v>
      </c>
      <c r="F389" s="92" t="s">
        <v>47</v>
      </c>
      <c r="G389" s="93">
        <v>5000.0</v>
      </c>
      <c r="H389" s="94">
        <v>0.0</v>
      </c>
      <c r="I389" s="95">
        <f t="shared" si="3"/>
        <v>5000</v>
      </c>
      <c r="J389" s="93">
        <v>5000.0</v>
      </c>
      <c r="K389" s="96">
        <f t="shared" si="4"/>
        <v>0</v>
      </c>
      <c r="L389" s="97"/>
      <c r="M389" s="98"/>
    </row>
    <row r="390" ht="22.5" customHeight="1">
      <c r="A390" s="101">
        <v>939297.0</v>
      </c>
      <c r="B390" s="89">
        <v>45719.0</v>
      </c>
      <c r="C390" s="90" t="s">
        <v>44</v>
      </c>
      <c r="D390" s="91" t="s">
        <v>45</v>
      </c>
      <c r="E390" s="91" t="s">
        <v>69</v>
      </c>
      <c r="F390" s="92" t="s">
        <v>47</v>
      </c>
      <c r="G390" s="93">
        <v>5000.0</v>
      </c>
      <c r="H390" s="94">
        <v>0.0</v>
      </c>
      <c r="I390" s="95">
        <f t="shared" si="3"/>
        <v>5000</v>
      </c>
      <c r="J390" s="93">
        <v>5000.0</v>
      </c>
      <c r="K390" s="96">
        <f t="shared" si="4"/>
        <v>0</v>
      </c>
      <c r="L390" s="97"/>
      <c r="M390" s="98"/>
    </row>
    <row r="391" ht="22.5" customHeight="1">
      <c r="A391" s="88" t="s">
        <v>483</v>
      </c>
      <c r="B391" s="89">
        <v>45719.0</v>
      </c>
      <c r="C391" s="90" t="s">
        <v>44</v>
      </c>
      <c r="D391" s="91" t="s">
        <v>45</v>
      </c>
      <c r="E391" s="91" t="s">
        <v>69</v>
      </c>
      <c r="F391" s="92" t="s">
        <v>47</v>
      </c>
      <c r="G391" s="93">
        <v>5000.0</v>
      </c>
      <c r="H391" s="94">
        <v>0.0</v>
      </c>
      <c r="I391" s="95">
        <f t="shared" si="3"/>
        <v>5000</v>
      </c>
      <c r="J391" s="93">
        <v>5000.0</v>
      </c>
      <c r="K391" s="96">
        <f t="shared" si="4"/>
        <v>0</v>
      </c>
      <c r="L391" s="97"/>
      <c r="M391" s="98"/>
    </row>
    <row r="392" ht="22.5" customHeight="1">
      <c r="A392" s="88" t="s">
        <v>484</v>
      </c>
      <c r="B392" s="89">
        <v>45720.0</v>
      </c>
      <c r="C392" s="90" t="s">
        <v>44</v>
      </c>
      <c r="D392" s="91" t="s">
        <v>45</v>
      </c>
      <c r="E392" s="91" t="s">
        <v>92</v>
      </c>
      <c r="F392" s="92" t="s">
        <v>47</v>
      </c>
      <c r="G392" s="93">
        <v>100000.0</v>
      </c>
      <c r="H392" s="94">
        <v>0.0</v>
      </c>
      <c r="I392" s="95">
        <f t="shared" si="3"/>
        <v>100000</v>
      </c>
      <c r="J392" s="93">
        <v>100000.0</v>
      </c>
      <c r="K392" s="96">
        <f t="shared" si="4"/>
        <v>0</v>
      </c>
      <c r="L392" s="97"/>
      <c r="M392" s="98"/>
    </row>
    <row r="393" ht="22.5" customHeight="1">
      <c r="A393" s="101">
        <v>179.0</v>
      </c>
      <c r="B393" s="89">
        <v>45721.0</v>
      </c>
      <c r="C393" s="90" t="s">
        <v>44</v>
      </c>
      <c r="D393" s="91" t="s">
        <v>237</v>
      </c>
      <c r="E393" s="91" t="s">
        <v>485</v>
      </c>
      <c r="F393" s="92" t="s">
        <v>47</v>
      </c>
      <c r="G393" s="93">
        <v>19000.0</v>
      </c>
      <c r="H393" s="94">
        <v>0.0</v>
      </c>
      <c r="I393" s="95">
        <f t="shared" si="3"/>
        <v>19000</v>
      </c>
      <c r="J393" s="93">
        <v>19000.0</v>
      </c>
      <c r="K393" s="96">
        <f t="shared" si="4"/>
        <v>0</v>
      </c>
      <c r="L393" s="97"/>
      <c r="M393" s="98"/>
    </row>
    <row r="394" ht="22.5" customHeight="1">
      <c r="A394" s="101">
        <v>939299.0</v>
      </c>
      <c r="B394" s="89">
        <v>45721.0</v>
      </c>
      <c r="C394" s="90" t="s">
        <v>44</v>
      </c>
      <c r="D394" s="91" t="s">
        <v>45</v>
      </c>
      <c r="E394" s="91" t="s">
        <v>408</v>
      </c>
      <c r="F394" s="92" t="s">
        <v>47</v>
      </c>
      <c r="G394" s="93">
        <v>30000.0</v>
      </c>
      <c r="H394" s="94">
        <v>0.0</v>
      </c>
      <c r="I394" s="95">
        <f t="shared" si="3"/>
        <v>30000</v>
      </c>
      <c r="J394" s="93">
        <v>30000.0</v>
      </c>
      <c r="K394" s="96">
        <f t="shared" si="4"/>
        <v>0</v>
      </c>
      <c r="L394" s="97"/>
      <c r="M394" s="98"/>
    </row>
    <row r="395" ht="22.5" customHeight="1">
      <c r="A395" s="101">
        <v>957905.0</v>
      </c>
      <c r="B395" s="89">
        <v>45721.0</v>
      </c>
      <c r="C395" s="90" t="s">
        <v>44</v>
      </c>
      <c r="D395" s="91" t="s">
        <v>45</v>
      </c>
      <c r="E395" s="91" t="s">
        <v>486</v>
      </c>
      <c r="F395" s="92" t="s">
        <v>47</v>
      </c>
      <c r="G395" s="93">
        <v>20000.0</v>
      </c>
      <c r="H395" s="94">
        <v>0.0</v>
      </c>
      <c r="I395" s="95">
        <f t="shared" si="3"/>
        <v>20000</v>
      </c>
      <c r="J395" s="93">
        <v>20000.0</v>
      </c>
      <c r="K395" s="96">
        <f t="shared" si="4"/>
        <v>0</v>
      </c>
      <c r="L395" s="97"/>
      <c r="M395" s="98"/>
    </row>
    <row r="396" ht="22.5" customHeight="1">
      <c r="A396" s="101">
        <v>957906.0</v>
      </c>
      <c r="B396" s="89">
        <v>45721.0</v>
      </c>
      <c r="C396" s="90" t="s">
        <v>44</v>
      </c>
      <c r="D396" s="91" t="s">
        <v>45</v>
      </c>
      <c r="E396" s="91" t="s">
        <v>487</v>
      </c>
      <c r="F396" s="92" t="s">
        <v>47</v>
      </c>
      <c r="G396" s="93">
        <v>10000.0</v>
      </c>
      <c r="H396" s="94">
        <v>0.0</v>
      </c>
      <c r="I396" s="95">
        <f t="shared" si="3"/>
        <v>10000</v>
      </c>
      <c r="J396" s="93">
        <v>10000.0</v>
      </c>
      <c r="K396" s="96">
        <f t="shared" si="4"/>
        <v>0</v>
      </c>
      <c r="L396" s="97"/>
      <c r="M396" s="98"/>
    </row>
    <row r="397" ht="22.5" customHeight="1">
      <c r="A397" s="101">
        <v>957904.0</v>
      </c>
      <c r="B397" s="89">
        <v>45721.0</v>
      </c>
      <c r="C397" s="90" t="s">
        <v>44</v>
      </c>
      <c r="D397" s="91" t="s">
        <v>45</v>
      </c>
      <c r="E397" s="91" t="s">
        <v>478</v>
      </c>
      <c r="F397" s="92" t="s">
        <v>47</v>
      </c>
      <c r="G397" s="93">
        <v>80000.0</v>
      </c>
      <c r="H397" s="94">
        <v>0.0</v>
      </c>
      <c r="I397" s="95">
        <f t="shared" si="3"/>
        <v>80000</v>
      </c>
      <c r="J397" s="93">
        <v>80000.0</v>
      </c>
      <c r="K397" s="96">
        <f t="shared" si="4"/>
        <v>0</v>
      </c>
      <c r="L397" s="97"/>
      <c r="M397" s="98"/>
    </row>
    <row r="398" ht="22.5" customHeight="1">
      <c r="A398" s="101">
        <v>957909.0</v>
      </c>
      <c r="B398" s="89">
        <v>45721.0</v>
      </c>
      <c r="C398" s="90" t="s">
        <v>44</v>
      </c>
      <c r="D398" s="91" t="s">
        <v>45</v>
      </c>
      <c r="E398" s="91" t="s">
        <v>408</v>
      </c>
      <c r="F398" s="92" t="s">
        <v>47</v>
      </c>
      <c r="G398" s="93">
        <v>30000.0</v>
      </c>
      <c r="H398" s="94">
        <v>0.0</v>
      </c>
      <c r="I398" s="95">
        <f t="shared" si="3"/>
        <v>30000</v>
      </c>
      <c r="J398" s="93">
        <v>30000.0</v>
      </c>
      <c r="K398" s="96">
        <f t="shared" si="4"/>
        <v>0</v>
      </c>
      <c r="L398" s="97"/>
      <c r="M398" s="98"/>
    </row>
    <row r="399" ht="22.5" customHeight="1">
      <c r="A399" s="101">
        <v>957909.0</v>
      </c>
      <c r="B399" s="89">
        <v>45721.0</v>
      </c>
      <c r="C399" s="90" t="s">
        <v>44</v>
      </c>
      <c r="D399" s="91" t="s">
        <v>45</v>
      </c>
      <c r="E399" s="91" t="s">
        <v>408</v>
      </c>
      <c r="F399" s="92" t="s">
        <v>47</v>
      </c>
      <c r="G399" s="93">
        <v>30000.0</v>
      </c>
      <c r="H399" s="94">
        <v>0.0</v>
      </c>
      <c r="I399" s="95">
        <f t="shared" si="3"/>
        <v>30000</v>
      </c>
      <c r="J399" s="93">
        <v>30000.0</v>
      </c>
      <c r="K399" s="96">
        <f t="shared" si="4"/>
        <v>0</v>
      </c>
      <c r="L399" s="97"/>
      <c r="M399" s="98"/>
    </row>
    <row r="400" ht="22.5" customHeight="1">
      <c r="A400" s="88" t="s">
        <v>488</v>
      </c>
      <c r="B400" s="89">
        <v>45721.0</v>
      </c>
      <c r="C400" s="90" t="s">
        <v>44</v>
      </c>
      <c r="D400" s="91" t="s">
        <v>45</v>
      </c>
      <c r="E400" s="91" t="s">
        <v>489</v>
      </c>
      <c r="F400" s="92" t="s">
        <v>47</v>
      </c>
      <c r="G400" s="93">
        <v>4000.0</v>
      </c>
      <c r="H400" s="94">
        <v>0.0</v>
      </c>
      <c r="I400" s="95">
        <f t="shared" si="3"/>
        <v>4000</v>
      </c>
      <c r="J400" s="93">
        <v>4000.0</v>
      </c>
      <c r="K400" s="96">
        <f t="shared" si="4"/>
        <v>0</v>
      </c>
      <c r="L400" s="97"/>
      <c r="M400" s="98"/>
    </row>
    <row r="401" ht="22.5" customHeight="1">
      <c r="A401" s="88" t="s">
        <v>490</v>
      </c>
      <c r="B401" s="89">
        <v>45721.0</v>
      </c>
      <c r="C401" s="90" t="s">
        <v>44</v>
      </c>
      <c r="D401" s="91" t="s">
        <v>45</v>
      </c>
      <c r="E401" s="91" t="s">
        <v>489</v>
      </c>
      <c r="F401" s="92" t="s">
        <v>47</v>
      </c>
      <c r="G401" s="93">
        <v>10000.0</v>
      </c>
      <c r="H401" s="94">
        <v>0.0</v>
      </c>
      <c r="I401" s="95">
        <f t="shared" si="3"/>
        <v>10000</v>
      </c>
      <c r="J401" s="93">
        <v>10000.0</v>
      </c>
      <c r="K401" s="96">
        <f t="shared" si="4"/>
        <v>0</v>
      </c>
      <c r="L401" s="97"/>
      <c r="M401" s="98"/>
    </row>
    <row r="402" ht="22.5" customHeight="1">
      <c r="A402" s="88" t="s">
        <v>491</v>
      </c>
      <c r="B402" s="89">
        <v>45722.0</v>
      </c>
      <c r="C402" s="90" t="s">
        <v>44</v>
      </c>
      <c r="D402" s="91" t="s">
        <v>45</v>
      </c>
      <c r="E402" s="91" t="s">
        <v>492</v>
      </c>
      <c r="F402" s="92" t="s">
        <v>47</v>
      </c>
      <c r="G402" s="93">
        <v>500000.0</v>
      </c>
      <c r="H402" s="94">
        <v>0.0</v>
      </c>
      <c r="I402" s="95">
        <f t="shared" si="3"/>
        <v>500000</v>
      </c>
      <c r="J402" s="93">
        <v>500000.0</v>
      </c>
      <c r="K402" s="96">
        <f t="shared" si="4"/>
        <v>0</v>
      </c>
      <c r="L402" s="97"/>
      <c r="M402" s="98"/>
    </row>
    <row r="403" ht="22.5" customHeight="1">
      <c r="A403" s="101">
        <v>623.0</v>
      </c>
      <c r="B403" s="89">
        <v>45723.0</v>
      </c>
      <c r="C403" s="90" t="s">
        <v>44</v>
      </c>
      <c r="D403" s="91" t="s">
        <v>224</v>
      </c>
      <c r="E403" s="91" t="s">
        <v>493</v>
      </c>
      <c r="F403" s="92" t="s">
        <v>47</v>
      </c>
      <c r="G403" s="93">
        <v>50000.0</v>
      </c>
      <c r="H403" s="94">
        <v>0.0</v>
      </c>
      <c r="I403" s="95">
        <f t="shared" si="3"/>
        <v>50000</v>
      </c>
      <c r="J403" s="93">
        <v>50000.0</v>
      </c>
      <c r="K403" s="96">
        <f t="shared" si="4"/>
        <v>0</v>
      </c>
      <c r="L403" s="97"/>
      <c r="M403" s="98"/>
    </row>
    <row r="404" ht="22.5" customHeight="1">
      <c r="A404" s="101">
        <v>957913.0</v>
      </c>
      <c r="B404" s="89">
        <v>45723.0</v>
      </c>
      <c r="C404" s="90" t="s">
        <v>44</v>
      </c>
      <c r="D404" s="91" t="s">
        <v>45</v>
      </c>
      <c r="E404" s="91" t="s">
        <v>467</v>
      </c>
      <c r="F404" s="92" t="s">
        <v>47</v>
      </c>
      <c r="G404" s="93">
        <v>195000.0</v>
      </c>
      <c r="H404" s="94">
        <v>0.0</v>
      </c>
      <c r="I404" s="95">
        <f t="shared" si="3"/>
        <v>195000</v>
      </c>
      <c r="J404" s="93">
        <v>195000.0</v>
      </c>
      <c r="K404" s="96">
        <f t="shared" si="4"/>
        <v>0</v>
      </c>
      <c r="L404" s="97"/>
      <c r="M404" s="98"/>
    </row>
    <row r="405" ht="22.5" customHeight="1">
      <c r="A405" s="101">
        <v>957908.0</v>
      </c>
      <c r="B405" s="89">
        <v>45723.0</v>
      </c>
      <c r="C405" s="90" t="s">
        <v>44</v>
      </c>
      <c r="D405" s="91" t="s">
        <v>45</v>
      </c>
      <c r="E405" s="91" t="s">
        <v>431</v>
      </c>
      <c r="F405" s="92" t="s">
        <v>47</v>
      </c>
      <c r="G405" s="93">
        <v>30000.0</v>
      </c>
      <c r="H405" s="94">
        <v>0.0</v>
      </c>
      <c r="I405" s="95">
        <f t="shared" si="3"/>
        <v>30000</v>
      </c>
      <c r="J405" s="93">
        <v>30000.0</v>
      </c>
      <c r="K405" s="96">
        <f t="shared" si="4"/>
        <v>0</v>
      </c>
      <c r="L405" s="97"/>
      <c r="M405" s="98"/>
    </row>
    <row r="406" ht="22.5" customHeight="1">
      <c r="A406" s="101">
        <v>287.0</v>
      </c>
      <c r="B406" s="89">
        <v>45723.0</v>
      </c>
      <c r="C406" s="90" t="s">
        <v>44</v>
      </c>
      <c r="D406" s="91" t="s">
        <v>45</v>
      </c>
      <c r="E406" s="91" t="s">
        <v>494</v>
      </c>
      <c r="F406" s="92" t="s">
        <v>47</v>
      </c>
      <c r="G406" s="93">
        <v>20000.0</v>
      </c>
      <c r="H406" s="94">
        <v>0.0</v>
      </c>
      <c r="I406" s="95">
        <f t="shared" si="3"/>
        <v>20000</v>
      </c>
      <c r="J406" s="93">
        <v>20000.0</v>
      </c>
      <c r="K406" s="96">
        <f t="shared" si="4"/>
        <v>0</v>
      </c>
      <c r="L406" s="97"/>
      <c r="M406" s="98"/>
    </row>
    <row r="407" ht="22.5" customHeight="1">
      <c r="A407" s="88" t="s">
        <v>495</v>
      </c>
      <c r="B407" s="89">
        <v>45723.0</v>
      </c>
      <c r="C407" s="90" t="s">
        <v>44</v>
      </c>
      <c r="D407" s="91" t="s">
        <v>45</v>
      </c>
      <c r="E407" s="91" t="s">
        <v>128</v>
      </c>
      <c r="F407" s="92" t="s">
        <v>47</v>
      </c>
      <c r="G407" s="93">
        <v>50000.0</v>
      </c>
      <c r="H407" s="94">
        <v>0.0</v>
      </c>
      <c r="I407" s="95">
        <f t="shared" si="3"/>
        <v>50000</v>
      </c>
      <c r="J407" s="93">
        <v>0.0</v>
      </c>
      <c r="K407" s="104">
        <f t="shared" si="4"/>
        <v>50000</v>
      </c>
      <c r="L407" s="97"/>
      <c r="M407" s="98"/>
    </row>
    <row r="408" ht="22.5" customHeight="1">
      <c r="A408" s="101">
        <v>957919.0</v>
      </c>
      <c r="B408" s="89">
        <v>45724.0</v>
      </c>
      <c r="C408" s="90" t="s">
        <v>44</v>
      </c>
      <c r="D408" s="91" t="s">
        <v>45</v>
      </c>
      <c r="E408" s="91" t="s">
        <v>49</v>
      </c>
      <c r="F408" s="92" t="s">
        <v>47</v>
      </c>
      <c r="G408" s="93">
        <v>35000.0</v>
      </c>
      <c r="H408" s="94">
        <v>0.0</v>
      </c>
      <c r="I408" s="95">
        <f t="shared" si="3"/>
        <v>35000</v>
      </c>
      <c r="J408" s="93">
        <v>35000.0</v>
      </c>
      <c r="K408" s="96">
        <f t="shared" si="4"/>
        <v>0</v>
      </c>
      <c r="L408" s="97"/>
      <c r="M408" s="98"/>
    </row>
    <row r="409" ht="22.5" customHeight="1">
      <c r="A409" s="101">
        <v>277.0</v>
      </c>
      <c r="B409" s="89">
        <v>45724.0</v>
      </c>
      <c r="C409" s="90" t="s">
        <v>44</v>
      </c>
      <c r="D409" s="91" t="s">
        <v>432</v>
      </c>
      <c r="E409" s="91" t="s">
        <v>496</v>
      </c>
      <c r="F409" s="92" t="s">
        <v>47</v>
      </c>
      <c r="G409" s="93">
        <v>1475000.0</v>
      </c>
      <c r="H409" s="94">
        <v>0.0</v>
      </c>
      <c r="I409" s="95">
        <f t="shared" si="3"/>
        <v>1475000</v>
      </c>
      <c r="J409" s="93">
        <v>1475000.0</v>
      </c>
      <c r="K409" s="96">
        <f t="shared" si="4"/>
        <v>0</v>
      </c>
      <c r="L409" s="97"/>
      <c r="M409" s="98"/>
    </row>
    <row r="410" ht="22.5" customHeight="1">
      <c r="A410" s="101">
        <v>957919.0</v>
      </c>
      <c r="B410" s="89">
        <v>45724.0</v>
      </c>
      <c r="C410" s="90" t="s">
        <v>44</v>
      </c>
      <c r="D410" s="91" t="s">
        <v>45</v>
      </c>
      <c r="E410" s="91" t="s">
        <v>92</v>
      </c>
      <c r="F410" s="92" t="s">
        <v>47</v>
      </c>
      <c r="G410" s="93">
        <v>150000.0</v>
      </c>
      <c r="H410" s="94">
        <v>0.0</v>
      </c>
      <c r="I410" s="95">
        <f t="shared" si="3"/>
        <v>150000</v>
      </c>
      <c r="J410" s="93">
        <v>150000.0</v>
      </c>
      <c r="K410" s="96">
        <f t="shared" si="4"/>
        <v>0</v>
      </c>
      <c r="L410" s="97"/>
      <c r="M410" s="98"/>
    </row>
    <row r="411" ht="22.5" customHeight="1">
      <c r="A411" s="88" t="s">
        <v>497</v>
      </c>
      <c r="B411" s="89">
        <v>45724.0</v>
      </c>
      <c r="C411" s="90" t="s">
        <v>44</v>
      </c>
      <c r="D411" s="91" t="s">
        <v>45</v>
      </c>
      <c r="E411" s="91" t="s">
        <v>498</v>
      </c>
      <c r="F411" s="92" t="s">
        <v>47</v>
      </c>
      <c r="G411" s="93">
        <v>50000.0</v>
      </c>
      <c r="H411" s="94">
        <v>0.0</v>
      </c>
      <c r="I411" s="95">
        <f t="shared" si="3"/>
        <v>50000</v>
      </c>
      <c r="J411" s="93">
        <v>50000.0</v>
      </c>
      <c r="K411" s="96">
        <f t="shared" si="4"/>
        <v>0</v>
      </c>
      <c r="L411" s="97"/>
      <c r="M411" s="98"/>
    </row>
    <row r="412" ht="22.5" customHeight="1">
      <c r="A412" s="101">
        <v>283.0</v>
      </c>
      <c r="B412" s="89">
        <v>45725.0</v>
      </c>
      <c r="C412" s="90" t="s">
        <v>44</v>
      </c>
      <c r="D412" s="91" t="s">
        <v>45</v>
      </c>
      <c r="E412" s="91" t="s">
        <v>499</v>
      </c>
      <c r="F412" s="92" t="s">
        <v>47</v>
      </c>
      <c r="G412" s="93">
        <v>100000.0</v>
      </c>
      <c r="H412" s="94">
        <v>0.0</v>
      </c>
      <c r="I412" s="95">
        <f t="shared" si="3"/>
        <v>100000</v>
      </c>
      <c r="J412" s="93">
        <v>100000.0</v>
      </c>
      <c r="K412" s="96">
        <f t="shared" si="4"/>
        <v>0</v>
      </c>
      <c r="L412" s="97"/>
      <c r="M412" s="98"/>
    </row>
    <row r="413" ht="22.5" customHeight="1">
      <c r="A413" s="101">
        <v>957920.0</v>
      </c>
      <c r="B413" s="89">
        <v>45725.0</v>
      </c>
      <c r="C413" s="90" t="s">
        <v>44</v>
      </c>
      <c r="D413" s="91" t="s">
        <v>45</v>
      </c>
      <c r="E413" s="91" t="s">
        <v>500</v>
      </c>
      <c r="F413" s="92" t="s">
        <v>47</v>
      </c>
      <c r="G413" s="93">
        <v>30000.0</v>
      </c>
      <c r="H413" s="94">
        <v>0.0</v>
      </c>
      <c r="I413" s="95">
        <f t="shared" si="3"/>
        <v>30000</v>
      </c>
      <c r="J413" s="93">
        <v>30000.0</v>
      </c>
      <c r="K413" s="96">
        <f t="shared" si="4"/>
        <v>0</v>
      </c>
      <c r="L413" s="97"/>
      <c r="M413" s="98"/>
    </row>
    <row r="414" ht="22.5" customHeight="1">
      <c r="A414" s="101">
        <v>957920.0</v>
      </c>
      <c r="B414" s="89">
        <v>45725.0</v>
      </c>
      <c r="C414" s="90" t="s">
        <v>44</v>
      </c>
      <c r="D414" s="91" t="s">
        <v>45</v>
      </c>
      <c r="E414" s="91" t="s">
        <v>408</v>
      </c>
      <c r="F414" s="92" t="s">
        <v>47</v>
      </c>
      <c r="G414" s="93">
        <v>30000.0</v>
      </c>
      <c r="H414" s="94">
        <v>0.0</v>
      </c>
      <c r="I414" s="95">
        <f t="shared" si="3"/>
        <v>30000</v>
      </c>
      <c r="J414" s="93">
        <v>30000.0</v>
      </c>
      <c r="K414" s="96">
        <f t="shared" si="4"/>
        <v>0</v>
      </c>
      <c r="L414" s="97"/>
      <c r="M414" s="98"/>
    </row>
    <row r="415" ht="22.5" customHeight="1">
      <c r="A415" s="101">
        <v>957920.0</v>
      </c>
      <c r="B415" s="89">
        <v>45725.0</v>
      </c>
      <c r="C415" s="90" t="s">
        <v>44</v>
      </c>
      <c r="D415" s="91" t="s">
        <v>45</v>
      </c>
      <c r="E415" s="91" t="s">
        <v>371</v>
      </c>
      <c r="F415" s="92" t="s">
        <v>47</v>
      </c>
      <c r="G415" s="93">
        <v>30000.0</v>
      </c>
      <c r="H415" s="94">
        <v>0.0</v>
      </c>
      <c r="I415" s="95">
        <f t="shared" si="3"/>
        <v>30000</v>
      </c>
      <c r="J415" s="93">
        <v>30000.0</v>
      </c>
      <c r="K415" s="96">
        <f t="shared" si="4"/>
        <v>0</v>
      </c>
      <c r="L415" s="97"/>
      <c r="M415" s="98"/>
    </row>
    <row r="416" ht="22.5" customHeight="1">
      <c r="A416" s="101">
        <v>957920.0</v>
      </c>
      <c r="B416" s="89">
        <v>45725.0</v>
      </c>
      <c r="C416" s="90" t="s">
        <v>44</v>
      </c>
      <c r="D416" s="91" t="s">
        <v>45</v>
      </c>
      <c r="E416" s="91" t="s">
        <v>501</v>
      </c>
      <c r="F416" s="92" t="s">
        <v>47</v>
      </c>
      <c r="G416" s="93">
        <v>5000.0</v>
      </c>
      <c r="H416" s="94">
        <v>0.0</v>
      </c>
      <c r="I416" s="95">
        <f t="shared" si="3"/>
        <v>5000</v>
      </c>
      <c r="J416" s="93">
        <v>5000.0</v>
      </c>
      <c r="K416" s="96">
        <f t="shared" si="4"/>
        <v>0</v>
      </c>
      <c r="L416" s="97"/>
      <c r="M416" s="98"/>
    </row>
    <row r="417" ht="22.5" customHeight="1">
      <c r="A417" s="101">
        <v>957921.0</v>
      </c>
      <c r="B417" s="89">
        <v>45725.0</v>
      </c>
      <c r="C417" s="90" t="s">
        <v>44</v>
      </c>
      <c r="D417" s="91" t="s">
        <v>45</v>
      </c>
      <c r="E417" s="91" t="s">
        <v>431</v>
      </c>
      <c r="F417" s="92" t="s">
        <v>47</v>
      </c>
      <c r="G417" s="93">
        <v>25000.0</v>
      </c>
      <c r="H417" s="94">
        <v>0.0</v>
      </c>
      <c r="I417" s="95">
        <f t="shared" si="3"/>
        <v>25000</v>
      </c>
      <c r="J417" s="93">
        <v>25000.0</v>
      </c>
      <c r="K417" s="96">
        <f t="shared" si="4"/>
        <v>0</v>
      </c>
      <c r="L417" s="97"/>
      <c r="M417" s="98"/>
    </row>
    <row r="418" ht="22.5" customHeight="1">
      <c r="A418" s="101">
        <v>280.0</v>
      </c>
      <c r="B418" s="89">
        <v>45725.0</v>
      </c>
      <c r="C418" s="90" t="s">
        <v>44</v>
      </c>
      <c r="D418" s="91" t="s">
        <v>45</v>
      </c>
      <c r="E418" s="91" t="s">
        <v>303</v>
      </c>
      <c r="F418" s="92" t="s">
        <v>47</v>
      </c>
      <c r="G418" s="93">
        <v>50000.0</v>
      </c>
      <c r="H418" s="94">
        <v>0.0</v>
      </c>
      <c r="I418" s="95">
        <f t="shared" si="3"/>
        <v>50000</v>
      </c>
      <c r="J418" s="93">
        <v>50000.0</v>
      </c>
      <c r="K418" s="96">
        <f t="shared" si="4"/>
        <v>0</v>
      </c>
      <c r="L418" s="97"/>
      <c r="M418" s="98"/>
    </row>
    <row r="419" ht="22.5" customHeight="1">
      <c r="A419" s="88" t="s">
        <v>502</v>
      </c>
      <c r="B419" s="89">
        <v>45725.0</v>
      </c>
      <c r="C419" s="90" t="s">
        <v>44</v>
      </c>
      <c r="D419" s="91" t="s">
        <v>57</v>
      </c>
      <c r="E419" s="91" t="s">
        <v>503</v>
      </c>
      <c r="F419" s="92" t="s">
        <v>47</v>
      </c>
      <c r="G419" s="93">
        <v>500000.0</v>
      </c>
      <c r="H419" s="94">
        <v>0.0</v>
      </c>
      <c r="I419" s="95">
        <f t="shared" si="3"/>
        <v>500000</v>
      </c>
      <c r="J419" s="93">
        <v>500000.0</v>
      </c>
      <c r="K419" s="96">
        <f t="shared" si="4"/>
        <v>0</v>
      </c>
      <c r="L419" s="97"/>
      <c r="M419" s="98"/>
    </row>
    <row r="420" ht="22.5" customHeight="1">
      <c r="A420" s="101">
        <v>285.0</v>
      </c>
      <c r="B420" s="89">
        <v>45726.0</v>
      </c>
      <c r="C420" s="90" t="s">
        <v>44</v>
      </c>
      <c r="D420" s="91" t="s">
        <v>45</v>
      </c>
      <c r="E420" s="91" t="s">
        <v>504</v>
      </c>
      <c r="F420" s="92" t="s">
        <v>47</v>
      </c>
      <c r="G420" s="93">
        <v>130000.0</v>
      </c>
      <c r="H420" s="94">
        <v>0.0</v>
      </c>
      <c r="I420" s="95">
        <f t="shared" si="3"/>
        <v>130000</v>
      </c>
      <c r="J420" s="93">
        <v>130000.0</v>
      </c>
      <c r="K420" s="96">
        <f t="shared" si="4"/>
        <v>0</v>
      </c>
      <c r="L420" s="97"/>
      <c r="M420" s="98"/>
    </row>
    <row r="421" ht="22.5" customHeight="1">
      <c r="A421" s="101">
        <v>289.0</v>
      </c>
      <c r="B421" s="89">
        <v>45726.0</v>
      </c>
      <c r="C421" s="90" t="s">
        <v>44</v>
      </c>
      <c r="D421" s="91" t="s">
        <v>45</v>
      </c>
      <c r="E421" s="91" t="s">
        <v>505</v>
      </c>
      <c r="F421" s="92" t="s">
        <v>47</v>
      </c>
      <c r="G421" s="93">
        <v>50000.0</v>
      </c>
      <c r="H421" s="94">
        <v>0.0</v>
      </c>
      <c r="I421" s="95">
        <f t="shared" si="3"/>
        <v>50000</v>
      </c>
      <c r="J421" s="93">
        <v>50000.0</v>
      </c>
      <c r="K421" s="96">
        <f t="shared" si="4"/>
        <v>0</v>
      </c>
      <c r="L421" s="97"/>
      <c r="M421" s="98"/>
    </row>
    <row r="422" ht="22.5" customHeight="1">
      <c r="A422" s="101">
        <v>289.0</v>
      </c>
      <c r="B422" s="89">
        <v>45726.0</v>
      </c>
      <c r="C422" s="90" t="s">
        <v>44</v>
      </c>
      <c r="D422" s="91" t="s">
        <v>45</v>
      </c>
      <c r="E422" s="91" t="s">
        <v>345</v>
      </c>
      <c r="F422" s="92" t="s">
        <v>47</v>
      </c>
      <c r="G422" s="93">
        <v>75000.0</v>
      </c>
      <c r="H422" s="94">
        <v>0.0</v>
      </c>
      <c r="I422" s="95">
        <f t="shared" si="3"/>
        <v>75000</v>
      </c>
      <c r="J422" s="93">
        <v>75000.0</v>
      </c>
      <c r="K422" s="96">
        <f t="shared" si="4"/>
        <v>0</v>
      </c>
      <c r="L422" s="97"/>
      <c r="M422" s="98"/>
    </row>
    <row r="423" ht="22.5" customHeight="1">
      <c r="A423" s="88" t="s">
        <v>506</v>
      </c>
      <c r="B423" s="89">
        <v>45727.0</v>
      </c>
      <c r="C423" s="90" t="s">
        <v>44</v>
      </c>
      <c r="D423" s="91" t="s">
        <v>45</v>
      </c>
      <c r="E423" s="91" t="s">
        <v>334</v>
      </c>
      <c r="F423" s="92" t="s">
        <v>47</v>
      </c>
      <c r="G423" s="93">
        <v>500000.0</v>
      </c>
      <c r="H423" s="94">
        <v>0.0</v>
      </c>
      <c r="I423" s="95">
        <f t="shared" si="3"/>
        <v>500000</v>
      </c>
      <c r="J423" s="93">
        <v>500000.0</v>
      </c>
      <c r="K423" s="96">
        <f t="shared" si="4"/>
        <v>0</v>
      </c>
      <c r="L423" s="97"/>
      <c r="M423" s="98"/>
    </row>
    <row r="424" ht="22.5" customHeight="1">
      <c r="A424" s="88" t="s">
        <v>507</v>
      </c>
      <c r="B424" s="89">
        <v>45727.0</v>
      </c>
      <c r="C424" s="90" t="s">
        <v>44</v>
      </c>
      <c r="D424" s="91" t="s">
        <v>57</v>
      </c>
      <c r="E424" s="91" t="s">
        <v>508</v>
      </c>
      <c r="F424" s="92" t="s">
        <v>47</v>
      </c>
      <c r="G424" s="93">
        <v>30000.0</v>
      </c>
      <c r="H424" s="94">
        <v>0.0</v>
      </c>
      <c r="I424" s="95">
        <f t="shared" si="3"/>
        <v>30000</v>
      </c>
      <c r="J424" s="93">
        <v>30000.0</v>
      </c>
      <c r="K424" s="96">
        <f t="shared" si="4"/>
        <v>0</v>
      </c>
      <c r="L424" s="97"/>
      <c r="M424" s="98"/>
    </row>
    <row r="425" ht="22.5" customHeight="1">
      <c r="A425" s="101">
        <v>118.0</v>
      </c>
      <c r="B425" s="89">
        <v>45727.0</v>
      </c>
      <c r="C425" s="90" t="s">
        <v>44</v>
      </c>
      <c r="D425" s="91" t="s">
        <v>45</v>
      </c>
      <c r="E425" s="91" t="s">
        <v>304</v>
      </c>
      <c r="F425" s="92" t="s">
        <v>47</v>
      </c>
      <c r="G425" s="93">
        <v>125000.0</v>
      </c>
      <c r="H425" s="94">
        <v>0.0</v>
      </c>
      <c r="I425" s="95">
        <f t="shared" si="3"/>
        <v>125000</v>
      </c>
      <c r="J425" s="93">
        <v>125000.0</v>
      </c>
      <c r="K425" s="96">
        <f t="shared" si="4"/>
        <v>0</v>
      </c>
      <c r="L425" s="97"/>
      <c r="M425" s="98"/>
    </row>
    <row r="426" ht="22.5" customHeight="1">
      <c r="A426" s="88" t="s">
        <v>509</v>
      </c>
      <c r="B426" s="89">
        <v>45727.0</v>
      </c>
      <c r="C426" s="90" t="s">
        <v>44</v>
      </c>
      <c r="D426" s="91" t="s">
        <v>57</v>
      </c>
      <c r="E426" s="91" t="s">
        <v>92</v>
      </c>
      <c r="F426" s="92" t="s">
        <v>47</v>
      </c>
      <c r="G426" s="93">
        <v>15000.0</v>
      </c>
      <c r="H426" s="94">
        <v>0.0</v>
      </c>
      <c r="I426" s="95">
        <f t="shared" si="3"/>
        <v>15000</v>
      </c>
      <c r="J426" s="93">
        <v>15000.0</v>
      </c>
      <c r="K426" s="96">
        <f t="shared" si="4"/>
        <v>0</v>
      </c>
      <c r="L426" s="97"/>
      <c r="M426" s="98"/>
    </row>
    <row r="427" ht="22.5" customHeight="1">
      <c r="A427" s="101">
        <v>286.0</v>
      </c>
      <c r="B427" s="89">
        <v>45727.0</v>
      </c>
      <c r="C427" s="90" t="s">
        <v>44</v>
      </c>
      <c r="D427" s="91" t="s">
        <v>45</v>
      </c>
      <c r="E427" s="91" t="s">
        <v>92</v>
      </c>
      <c r="F427" s="92" t="s">
        <v>47</v>
      </c>
      <c r="G427" s="93">
        <v>150000.0</v>
      </c>
      <c r="H427" s="94">
        <v>0.0</v>
      </c>
      <c r="I427" s="95">
        <f t="shared" si="3"/>
        <v>150000</v>
      </c>
      <c r="J427" s="93">
        <v>150000.0</v>
      </c>
      <c r="K427" s="96">
        <f t="shared" si="4"/>
        <v>0</v>
      </c>
      <c r="L427" s="97"/>
      <c r="M427" s="98"/>
    </row>
    <row r="428" ht="22.5" customHeight="1">
      <c r="A428" s="101">
        <v>291.0</v>
      </c>
      <c r="B428" s="89">
        <v>45728.0</v>
      </c>
      <c r="C428" s="90" t="s">
        <v>44</v>
      </c>
      <c r="D428" s="91" t="s">
        <v>45</v>
      </c>
      <c r="E428" s="91" t="s">
        <v>49</v>
      </c>
      <c r="F428" s="92" t="s">
        <v>47</v>
      </c>
      <c r="G428" s="93">
        <v>75000.0</v>
      </c>
      <c r="H428" s="94">
        <v>0.0</v>
      </c>
      <c r="I428" s="95">
        <f t="shared" si="3"/>
        <v>75000</v>
      </c>
      <c r="J428" s="93">
        <v>75000.0</v>
      </c>
      <c r="K428" s="96">
        <f t="shared" si="4"/>
        <v>0</v>
      </c>
      <c r="L428" s="97"/>
      <c r="M428" s="98"/>
    </row>
    <row r="429" ht="22.5" customHeight="1">
      <c r="A429" s="101">
        <v>283.0</v>
      </c>
      <c r="B429" s="89">
        <v>45728.0</v>
      </c>
      <c r="C429" s="90" t="s">
        <v>44</v>
      </c>
      <c r="D429" s="91" t="s">
        <v>45</v>
      </c>
      <c r="E429" s="91" t="s">
        <v>510</v>
      </c>
      <c r="F429" s="92" t="s">
        <v>47</v>
      </c>
      <c r="G429" s="93">
        <v>185000.0</v>
      </c>
      <c r="H429" s="94">
        <v>0.0</v>
      </c>
      <c r="I429" s="95">
        <f t="shared" si="3"/>
        <v>185000</v>
      </c>
      <c r="J429" s="93">
        <v>185000.0</v>
      </c>
      <c r="K429" s="96">
        <f t="shared" si="4"/>
        <v>0</v>
      </c>
      <c r="L429" s="97"/>
      <c r="M429" s="98"/>
    </row>
    <row r="430" ht="22.5" customHeight="1">
      <c r="A430" s="101">
        <v>291.0</v>
      </c>
      <c r="B430" s="89">
        <v>45728.0</v>
      </c>
      <c r="C430" s="90" t="s">
        <v>44</v>
      </c>
      <c r="D430" s="91" t="s">
        <v>45</v>
      </c>
      <c r="E430" s="91" t="s">
        <v>128</v>
      </c>
      <c r="F430" s="92" t="s">
        <v>47</v>
      </c>
      <c r="G430" s="93">
        <v>20000.0</v>
      </c>
      <c r="H430" s="94">
        <v>0.0</v>
      </c>
      <c r="I430" s="95">
        <f t="shared" si="3"/>
        <v>20000</v>
      </c>
      <c r="J430" s="93">
        <v>20000.0</v>
      </c>
      <c r="K430" s="96">
        <f t="shared" si="4"/>
        <v>0</v>
      </c>
      <c r="L430" s="97"/>
      <c r="M430" s="98"/>
    </row>
    <row r="431" ht="22.5" customHeight="1">
      <c r="A431" s="101">
        <v>962828.0</v>
      </c>
      <c r="B431" s="89">
        <v>45728.0</v>
      </c>
      <c r="C431" s="90" t="s">
        <v>44</v>
      </c>
      <c r="D431" s="91" t="s">
        <v>45</v>
      </c>
      <c r="E431" s="91" t="s">
        <v>408</v>
      </c>
      <c r="F431" s="92" t="s">
        <v>47</v>
      </c>
      <c r="G431" s="93">
        <v>30000.0</v>
      </c>
      <c r="H431" s="94">
        <v>0.0</v>
      </c>
      <c r="I431" s="95">
        <f t="shared" si="3"/>
        <v>30000</v>
      </c>
      <c r="J431" s="93">
        <v>30000.0</v>
      </c>
      <c r="K431" s="96">
        <f t="shared" si="4"/>
        <v>0</v>
      </c>
      <c r="L431" s="97"/>
      <c r="M431" s="98"/>
    </row>
    <row r="432" ht="22.5" customHeight="1">
      <c r="A432" s="101">
        <v>962828.0</v>
      </c>
      <c r="B432" s="89">
        <v>45728.0</v>
      </c>
      <c r="C432" s="90" t="s">
        <v>44</v>
      </c>
      <c r="D432" s="91" t="s">
        <v>45</v>
      </c>
      <c r="E432" s="91" t="s">
        <v>408</v>
      </c>
      <c r="F432" s="92" t="s">
        <v>47</v>
      </c>
      <c r="G432" s="93">
        <v>25000.0</v>
      </c>
      <c r="H432" s="94">
        <v>0.0</v>
      </c>
      <c r="I432" s="95">
        <f t="shared" si="3"/>
        <v>25000</v>
      </c>
      <c r="J432" s="93">
        <v>25000.0</v>
      </c>
      <c r="K432" s="96">
        <f t="shared" si="4"/>
        <v>0</v>
      </c>
      <c r="L432" s="97"/>
      <c r="M432" s="98"/>
    </row>
    <row r="433" ht="22.5" customHeight="1">
      <c r="A433" s="101">
        <v>962827.0</v>
      </c>
      <c r="B433" s="89">
        <v>45728.0</v>
      </c>
      <c r="C433" s="90" t="s">
        <v>44</v>
      </c>
      <c r="D433" s="91" t="s">
        <v>45</v>
      </c>
      <c r="E433" s="91" t="s">
        <v>511</v>
      </c>
      <c r="F433" s="92" t="s">
        <v>47</v>
      </c>
      <c r="G433" s="93">
        <v>60000.0</v>
      </c>
      <c r="H433" s="94">
        <v>0.0</v>
      </c>
      <c r="I433" s="95">
        <f t="shared" si="3"/>
        <v>60000</v>
      </c>
      <c r="J433" s="93">
        <v>60000.0</v>
      </c>
      <c r="K433" s="96">
        <f t="shared" si="4"/>
        <v>0</v>
      </c>
      <c r="L433" s="97"/>
      <c r="M433" s="98"/>
    </row>
    <row r="434" ht="22.5" customHeight="1">
      <c r="A434" s="88" t="s">
        <v>512</v>
      </c>
      <c r="B434" s="89">
        <v>45728.0</v>
      </c>
      <c r="C434" s="90" t="s">
        <v>44</v>
      </c>
      <c r="D434" s="91" t="s">
        <v>45</v>
      </c>
      <c r="E434" s="91" t="s">
        <v>292</v>
      </c>
      <c r="F434" s="92" t="s">
        <v>47</v>
      </c>
      <c r="G434" s="93">
        <v>50000.0</v>
      </c>
      <c r="H434" s="94">
        <v>0.0</v>
      </c>
      <c r="I434" s="95">
        <f t="shared" si="3"/>
        <v>50000</v>
      </c>
      <c r="J434" s="93">
        <v>50000.0</v>
      </c>
      <c r="K434" s="96">
        <f t="shared" si="4"/>
        <v>0</v>
      </c>
      <c r="L434" s="97"/>
      <c r="M434" s="98"/>
    </row>
    <row r="435" ht="22.5" customHeight="1">
      <c r="A435" s="88" t="s">
        <v>513</v>
      </c>
      <c r="B435" s="89">
        <v>45728.0</v>
      </c>
      <c r="C435" s="90" t="s">
        <v>44</v>
      </c>
      <c r="D435" s="91" t="s">
        <v>45</v>
      </c>
      <c r="E435" s="91" t="s">
        <v>514</v>
      </c>
      <c r="F435" s="92" t="s">
        <v>47</v>
      </c>
      <c r="G435" s="93">
        <v>50000.0</v>
      </c>
      <c r="H435" s="94">
        <v>0.0</v>
      </c>
      <c r="I435" s="95">
        <f t="shared" si="3"/>
        <v>50000</v>
      </c>
      <c r="J435" s="93">
        <v>50000.0</v>
      </c>
      <c r="K435" s="96">
        <f t="shared" si="4"/>
        <v>0</v>
      </c>
      <c r="L435" s="97"/>
      <c r="M435" s="98"/>
    </row>
    <row r="436" ht="22.5" customHeight="1">
      <c r="A436" s="101">
        <v>288.0</v>
      </c>
      <c r="B436" s="89">
        <v>45728.0</v>
      </c>
      <c r="C436" s="90" t="s">
        <v>44</v>
      </c>
      <c r="D436" s="91" t="s">
        <v>45</v>
      </c>
      <c r="E436" s="91" t="s">
        <v>128</v>
      </c>
      <c r="F436" s="92" t="s">
        <v>47</v>
      </c>
      <c r="G436" s="93">
        <v>10000.0</v>
      </c>
      <c r="H436" s="94">
        <v>0.0</v>
      </c>
      <c r="I436" s="95">
        <f t="shared" si="3"/>
        <v>10000</v>
      </c>
      <c r="J436" s="93">
        <v>10000.0</v>
      </c>
      <c r="K436" s="96">
        <f t="shared" si="4"/>
        <v>0</v>
      </c>
      <c r="L436" s="97"/>
      <c r="M436" s="98"/>
    </row>
    <row r="437" ht="22.5" customHeight="1">
      <c r="A437" s="101">
        <v>292.0</v>
      </c>
      <c r="B437" s="89">
        <v>45728.0</v>
      </c>
      <c r="C437" s="90" t="s">
        <v>44</v>
      </c>
      <c r="D437" s="91" t="s">
        <v>45</v>
      </c>
      <c r="E437" s="91" t="s">
        <v>375</v>
      </c>
      <c r="F437" s="92" t="s">
        <v>47</v>
      </c>
      <c r="G437" s="93">
        <v>15000.0</v>
      </c>
      <c r="H437" s="94">
        <v>0.0</v>
      </c>
      <c r="I437" s="95">
        <f t="shared" si="3"/>
        <v>15000</v>
      </c>
      <c r="J437" s="93">
        <v>15000.0</v>
      </c>
      <c r="K437" s="96">
        <f t="shared" si="4"/>
        <v>0</v>
      </c>
      <c r="L437" s="97"/>
      <c r="M437" s="98"/>
    </row>
    <row r="438" ht="22.5" customHeight="1">
      <c r="A438" s="88" t="s">
        <v>515</v>
      </c>
      <c r="B438" s="89">
        <v>45728.0</v>
      </c>
      <c r="C438" s="90" t="s">
        <v>44</v>
      </c>
      <c r="D438" s="91" t="s">
        <v>45</v>
      </c>
      <c r="E438" s="91" t="s">
        <v>92</v>
      </c>
      <c r="F438" s="92" t="s">
        <v>47</v>
      </c>
      <c r="G438" s="93">
        <v>150000.0</v>
      </c>
      <c r="H438" s="94">
        <v>0.0</v>
      </c>
      <c r="I438" s="95">
        <f t="shared" si="3"/>
        <v>150000</v>
      </c>
      <c r="J438" s="93">
        <v>150000.0</v>
      </c>
      <c r="K438" s="96">
        <f t="shared" si="4"/>
        <v>0</v>
      </c>
      <c r="L438" s="97"/>
      <c r="M438" s="98"/>
    </row>
    <row r="439" ht="22.5" customHeight="1">
      <c r="A439" s="88" t="s">
        <v>516</v>
      </c>
      <c r="B439" s="89">
        <v>45728.0</v>
      </c>
      <c r="C439" s="90" t="s">
        <v>44</v>
      </c>
      <c r="D439" s="91" t="s">
        <v>45</v>
      </c>
      <c r="E439" s="91" t="s">
        <v>517</v>
      </c>
      <c r="F439" s="92" t="s">
        <v>47</v>
      </c>
      <c r="G439" s="93">
        <v>40000.0</v>
      </c>
      <c r="H439" s="94">
        <v>0.0</v>
      </c>
      <c r="I439" s="95">
        <f t="shared" si="3"/>
        <v>40000</v>
      </c>
      <c r="J439" s="93">
        <v>40000.0</v>
      </c>
      <c r="K439" s="96">
        <f t="shared" si="4"/>
        <v>0</v>
      </c>
      <c r="L439" s="97"/>
      <c r="M439" s="98"/>
    </row>
    <row r="440" ht="22.5" customHeight="1">
      <c r="A440" s="101">
        <v>1010557.0</v>
      </c>
      <c r="B440" s="89">
        <v>45729.0</v>
      </c>
      <c r="C440" s="90" t="s">
        <v>44</v>
      </c>
      <c r="D440" s="91" t="s">
        <v>45</v>
      </c>
      <c r="E440" s="91" t="s">
        <v>49</v>
      </c>
      <c r="F440" s="92" t="s">
        <v>47</v>
      </c>
      <c r="G440" s="93">
        <v>45000.0</v>
      </c>
      <c r="H440" s="94">
        <v>0.0</v>
      </c>
      <c r="I440" s="95">
        <f t="shared" si="3"/>
        <v>45000</v>
      </c>
      <c r="J440" s="93">
        <v>45000.0</v>
      </c>
      <c r="K440" s="96">
        <f t="shared" si="4"/>
        <v>0</v>
      </c>
      <c r="L440" s="97"/>
      <c r="M440" s="98"/>
    </row>
    <row r="441" ht="22.5" customHeight="1">
      <c r="A441" s="101">
        <v>962831.0</v>
      </c>
      <c r="B441" s="89">
        <v>45729.0</v>
      </c>
      <c r="C441" s="90" t="s">
        <v>44</v>
      </c>
      <c r="D441" s="91" t="s">
        <v>45</v>
      </c>
      <c r="E441" s="91" t="s">
        <v>518</v>
      </c>
      <c r="F441" s="92" t="s">
        <v>47</v>
      </c>
      <c r="G441" s="93">
        <v>120000.0</v>
      </c>
      <c r="H441" s="94">
        <v>0.0</v>
      </c>
      <c r="I441" s="95">
        <f t="shared" si="3"/>
        <v>120000</v>
      </c>
      <c r="J441" s="93">
        <v>120000.0</v>
      </c>
      <c r="K441" s="96">
        <f t="shared" si="4"/>
        <v>0</v>
      </c>
      <c r="L441" s="97"/>
      <c r="M441" s="98"/>
    </row>
    <row r="442" ht="22.5" customHeight="1">
      <c r="A442" s="101">
        <v>962833.0</v>
      </c>
      <c r="B442" s="89">
        <v>45729.0</v>
      </c>
      <c r="C442" s="90" t="s">
        <v>44</v>
      </c>
      <c r="D442" s="91" t="s">
        <v>45</v>
      </c>
      <c r="E442" s="91" t="s">
        <v>69</v>
      </c>
      <c r="F442" s="92" t="s">
        <v>47</v>
      </c>
      <c r="G442" s="93">
        <v>25000.0</v>
      </c>
      <c r="H442" s="94">
        <v>0.0</v>
      </c>
      <c r="I442" s="95">
        <f t="shared" si="3"/>
        <v>25000</v>
      </c>
      <c r="J442" s="93">
        <v>25000.0</v>
      </c>
      <c r="K442" s="96">
        <f t="shared" si="4"/>
        <v>0</v>
      </c>
      <c r="L442" s="97"/>
      <c r="M442" s="98"/>
    </row>
    <row r="443" ht="22.5" customHeight="1">
      <c r="A443" s="101">
        <v>962833.0</v>
      </c>
      <c r="B443" s="89">
        <v>45729.0</v>
      </c>
      <c r="C443" s="90" t="s">
        <v>44</v>
      </c>
      <c r="D443" s="91" t="s">
        <v>45</v>
      </c>
      <c r="E443" s="91" t="s">
        <v>408</v>
      </c>
      <c r="F443" s="92" t="s">
        <v>47</v>
      </c>
      <c r="G443" s="93">
        <v>30000.0</v>
      </c>
      <c r="H443" s="94">
        <v>0.0</v>
      </c>
      <c r="I443" s="95">
        <f t="shared" si="3"/>
        <v>30000</v>
      </c>
      <c r="J443" s="93">
        <v>30000.0</v>
      </c>
      <c r="K443" s="96">
        <f t="shared" si="4"/>
        <v>0</v>
      </c>
      <c r="L443" s="97"/>
      <c r="M443" s="98"/>
    </row>
    <row r="444" ht="22.5" customHeight="1">
      <c r="A444" s="101">
        <v>962832.0</v>
      </c>
      <c r="B444" s="89">
        <v>45729.0</v>
      </c>
      <c r="C444" s="90" t="s">
        <v>44</v>
      </c>
      <c r="D444" s="91" t="s">
        <v>45</v>
      </c>
      <c r="E444" s="91" t="s">
        <v>408</v>
      </c>
      <c r="F444" s="92" t="s">
        <v>47</v>
      </c>
      <c r="G444" s="93">
        <v>30000.0</v>
      </c>
      <c r="H444" s="94">
        <v>0.0</v>
      </c>
      <c r="I444" s="95">
        <f t="shared" si="3"/>
        <v>30000</v>
      </c>
      <c r="J444" s="93">
        <v>30000.0</v>
      </c>
      <c r="K444" s="96">
        <f t="shared" si="4"/>
        <v>0</v>
      </c>
      <c r="L444" s="97"/>
      <c r="M444" s="98"/>
    </row>
    <row r="445" ht="22.5" customHeight="1">
      <c r="A445" s="101">
        <v>962832.0</v>
      </c>
      <c r="B445" s="89">
        <v>45729.0</v>
      </c>
      <c r="C445" s="90" t="s">
        <v>44</v>
      </c>
      <c r="D445" s="91" t="s">
        <v>45</v>
      </c>
      <c r="E445" s="91" t="s">
        <v>519</v>
      </c>
      <c r="F445" s="92" t="s">
        <v>47</v>
      </c>
      <c r="G445" s="93">
        <v>10000.0</v>
      </c>
      <c r="H445" s="94">
        <v>0.0</v>
      </c>
      <c r="I445" s="95">
        <f t="shared" si="3"/>
        <v>10000</v>
      </c>
      <c r="J445" s="93">
        <v>10000.0</v>
      </c>
      <c r="K445" s="96">
        <f t="shared" si="4"/>
        <v>0</v>
      </c>
      <c r="L445" s="97"/>
      <c r="M445" s="98"/>
    </row>
    <row r="446" ht="22.5" customHeight="1">
      <c r="A446" s="101">
        <v>962830.0</v>
      </c>
      <c r="B446" s="89">
        <v>45729.0</v>
      </c>
      <c r="C446" s="90" t="s">
        <v>44</v>
      </c>
      <c r="D446" s="91" t="s">
        <v>45</v>
      </c>
      <c r="E446" s="91" t="s">
        <v>520</v>
      </c>
      <c r="F446" s="92" t="s">
        <v>47</v>
      </c>
      <c r="G446" s="93">
        <v>75000.0</v>
      </c>
      <c r="H446" s="94">
        <v>0.0</v>
      </c>
      <c r="I446" s="95">
        <f t="shared" si="3"/>
        <v>75000</v>
      </c>
      <c r="J446" s="93">
        <v>75000.0</v>
      </c>
      <c r="K446" s="96">
        <f t="shared" si="4"/>
        <v>0</v>
      </c>
      <c r="L446" s="97"/>
      <c r="M446" s="98"/>
    </row>
    <row r="447" ht="22.5" customHeight="1">
      <c r="A447" s="88" t="s">
        <v>521</v>
      </c>
      <c r="B447" s="89">
        <v>45729.0</v>
      </c>
      <c r="C447" s="90" t="s">
        <v>44</v>
      </c>
      <c r="D447" s="91" t="s">
        <v>45</v>
      </c>
      <c r="E447" s="91" t="s">
        <v>522</v>
      </c>
      <c r="F447" s="92" t="s">
        <v>47</v>
      </c>
      <c r="G447" s="93">
        <v>105000.0</v>
      </c>
      <c r="H447" s="94">
        <v>0.0</v>
      </c>
      <c r="I447" s="95">
        <f t="shared" si="3"/>
        <v>105000</v>
      </c>
      <c r="J447" s="93">
        <v>105000.0</v>
      </c>
      <c r="K447" s="96">
        <f t="shared" si="4"/>
        <v>0</v>
      </c>
      <c r="L447" s="97"/>
      <c r="M447" s="98"/>
    </row>
    <row r="448" ht="22.5" customHeight="1">
      <c r="A448" s="101">
        <v>1010557.0</v>
      </c>
      <c r="B448" s="89">
        <v>45729.0</v>
      </c>
      <c r="C448" s="90" t="s">
        <v>44</v>
      </c>
      <c r="D448" s="91" t="s">
        <v>45</v>
      </c>
      <c r="E448" s="91" t="s">
        <v>128</v>
      </c>
      <c r="F448" s="92" t="s">
        <v>47</v>
      </c>
      <c r="G448" s="93">
        <v>15000.0</v>
      </c>
      <c r="H448" s="94">
        <v>0.0</v>
      </c>
      <c r="I448" s="95">
        <f t="shared" si="3"/>
        <v>15000</v>
      </c>
      <c r="J448" s="93">
        <v>15000.0</v>
      </c>
      <c r="K448" s="96">
        <f t="shared" si="4"/>
        <v>0</v>
      </c>
      <c r="L448" s="97"/>
      <c r="M448" s="98"/>
    </row>
    <row r="449" ht="22.5" customHeight="1">
      <c r="A449" s="101">
        <v>1010557.0</v>
      </c>
      <c r="B449" s="89">
        <v>45729.0</v>
      </c>
      <c r="C449" s="90" t="s">
        <v>44</v>
      </c>
      <c r="D449" s="91" t="s">
        <v>45</v>
      </c>
      <c r="E449" s="91" t="s">
        <v>523</v>
      </c>
      <c r="F449" s="92" t="s">
        <v>47</v>
      </c>
      <c r="G449" s="93">
        <v>60000.0</v>
      </c>
      <c r="H449" s="94">
        <v>0.0</v>
      </c>
      <c r="I449" s="95">
        <f t="shared" si="3"/>
        <v>60000</v>
      </c>
      <c r="J449" s="93">
        <v>60000.0</v>
      </c>
      <c r="K449" s="96">
        <f t="shared" si="4"/>
        <v>0</v>
      </c>
      <c r="L449" s="97"/>
      <c r="M449" s="98"/>
    </row>
    <row r="450" ht="22.5" customHeight="1">
      <c r="A450" s="88" t="s">
        <v>524</v>
      </c>
      <c r="B450" s="89">
        <v>45729.0</v>
      </c>
      <c r="C450" s="90" t="s">
        <v>44</v>
      </c>
      <c r="D450" s="91" t="s">
        <v>45</v>
      </c>
      <c r="E450" s="91" t="s">
        <v>128</v>
      </c>
      <c r="F450" s="92" t="s">
        <v>47</v>
      </c>
      <c r="G450" s="93">
        <v>10000.0</v>
      </c>
      <c r="H450" s="94">
        <v>0.0</v>
      </c>
      <c r="I450" s="95">
        <f t="shared" si="3"/>
        <v>10000</v>
      </c>
      <c r="J450" s="93">
        <v>10000.0</v>
      </c>
      <c r="K450" s="96">
        <f t="shared" si="4"/>
        <v>0</v>
      </c>
      <c r="L450" s="97"/>
      <c r="M450" s="98"/>
    </row>
    <row r="451" ht="22.5" customHeight="1">
      <c r="A451" s="88" t="s">
        <v>525</v>
      </c>
      <c r="B451" s="89">
        <v>45729.0</v>
      </c>
      <c r="C451" s="90" t="s">
        <v>44</v>
      </c>
      <c r="D451" s="91" t="s">
        <v>45</v>
      </c>
      <c r="E451" s="91" t="s">
        <v>526</v>
      </c>
      <c r="F451" s="92" t="s">
        <v>47</v>
      </c>
      <c r="G451" s="93">
        <v>25000.0</v>
      </c>
      <c r="H451" s="94">
        <v>0.0</v>
      </c>
      <c r="I451" s="95">
        <f t="shared" si="3"/>
        <v>25000</v>
      </c>
      <c r="J451" s="93">
        <v>25000.0</v>
      </c>
      <c r="K451" s="96">
        <f t="shared" si="4"/>
        <v>0</v>
      </c>
      <c r="L451" s="97"/>
      <c r="M451" s="98"/>
    </row>
    <row r="452" ht="22.5" customHeight="1">
      <c r="A452" s="101">
        <v>1010557.0</v>
      </c>
      <c r="B452" s="89">
        <v>45729.0</v>
      </c>
      <c r="C452" s="90" t="s">
        <v>44</v>
      </c>
      <c r="D452" s="91" t="s">
        <v>45</v>
      </c>
      <c r="E452" s="91" t="s">
        <v>527</v>
      </c>
      <c r="F452" s="92" t="s">
        <v>47</v>
      </c>
      <c r="G452" s="93">
        <v>150000.0</v>
      </c>
      <c r="H452" s="94">
        <v>0.0</v>
      </c>
      <c r="I452" s="95">
        <f t="shared" si="3"/>
        <v>150000</v>
      </c>
      <c r="J452" s="93">
        <v>150000.0</v>
      </c>
      <c r="K452" s="96">
        <f t="shared" si="4"/>
        <v>0</v>
      </c>
      <c r="L452" s="97"/>
      <c r="M452" s="98"/>
    </row>
    <row r="453" ht="22.5" customHeight="1">
      <c r="A453" s="88" t="s">
        <v>528</v>
      </c>
      <c r="B453" s="89">
        <v>45730.0</v>
      </c>
      <c r="C453" s="90" t="s">
        <v>44</v>
      </c>
      <c r="D453" s="91" t="s">
        <v>45</v>
      </c>
      <c r="E453" s="91" t="s">
        <v>529</v>
      </c>
      <c r="F453" s="92" t="s">
        <v>47</v>
      </c>
      <c r="G453" s="93">
        <v>40000.0</v>
      </c>
      <c r="H453" s="94">
        <v>0.0</v>
      </c>
      <c r="I453" s="95">
        <f t="shared" si="3"/>
        <v>40000</v>
      </c>
      <c r="J453" s="93">
        <v>40000.0</v>
      </c>
      <c r="K453" s="96">
        <f t="shared" si="4"/>
        <v>0</v>
      </c>
      <c r="L453" s="97"/>
      <c r="M453" s="98"/>
    </row>
    <row r="454" ht="22.5" customHeight="1">
      <c r="A454" s="88" t="s">
        <v>530</v>
      </c>
      <c r="B454" s="89">
        <v>45730.0</v>
      </c>
      <c r="C454" s="90" t="s">
        <v>44</v>
      </c>
      <c r="D454" s="91" t="s">
        <v>45</v>
      </c>
      <c r="E454" s="91" t="s">
        <v>128</v>
      </c>
      <c r="F454" s="92" t="s">
        <v>47</v>
      </c>
      <c r="G454" s="93">
        <v>10000.0</v>
      </c>
      <c r="H454" s="94">
        <v>0.0</v>
      </c>
      <c r="I454" s="95">
        <f t="shared" si="3"/>
        <v>10000</v>
      </c>
      <c r="J454" s="93">
        <v>10000.0</v>
      </c>
      <c r="K454" s="96">
        <f t="shared" si="4"/>
        <v>0</v>
      </c>
      <c r="L454" s="97"/>
      <c r="M454" s="98"/>
    </row>
    <row r="455" ht="22.5" customHeight="1">
      <c r="A455" s="88" t="s">
        <v>531</v>
      </c>
      <c r="B455" s="89">
        <v>45730.0</v>
      </c>
      <c r="C455" s="90" t="s">
        <v>44</v>
      </c>
      <c r="D455" s="91" t="s">
        <v>45</v>
      </c>
      <c r="E455" s="91" t="s">
        <v>128</v>
      </c>
      <c r="F455" s="92" t="s">
        <v>47</v>
      </c>
      <c r="G455" s="93">
        <v>5000.0</v>
      </c>
      <c r="H455" s="94">
        <v>0.0</v>
      </c>
      <c r="I455" s="95">
        <f t="shared" si="3"/>
        <v>5000</v>
      </c>
      <c r="J455" s="93">
        <v>5000.0</v>
      </c>
      <c r="K455" s="96">
        <f t="shared" si="4"/>
        <v>0</v>
      </c>
      <c r="L455" s="97"/>
      <c r="M455" s="98"/>
    </row>
    <row r="456" ht="22.5" customHeight="1">
      <c r="A456" s="88" t="s">
        <v>532</v>
      </c>
      <c r="B456" s="89">
        <v>45731.0</v>
      </c>
      <c r="C456" s="90" t="s">
        <v>44</v>
      </c>
      <c r="D456" s="91" t="s">
        <v>45</v>
      </c>
      <c r="E456" s="91" t="s">
        <v>49</v>
      </c>
      <c r="F456" s="92" t="s">
        <v>47</v>
      </c>
      <c r="G456" s="93">
        <v>45000.0</v>
      </c>
      <c r="H456" s="94">
        <v>0.0</v>
      </c>
      <c r="I456" s="95">
        <f t="shared" si="3"/>
        <v>45000</v>
      </c>
      <c r="J456" s="93">
        <v>45000.0</v>
      </c>
      <c r="K456" s="96">
        <f t="shared" si="4"/>
        <v>0</v>
      </c>
      <c r="L456" s="97"/>
      <c r="M456" s="98"/>
    </row>
    <row r="457" ht="22.5" customHeight="1">
      <c r="A457" s="88" t="s">
        <v>533</v>
      </c>
      <c r="B457" s="89">
        <v>45731.0</v>
      </c>
      <c r="C457" s="90" t="s">
        <v>44</v>
      </c>
      <c r="D457" s="91" t="s">
        <v>45</v>
      </c>
      <c r="E457" s="91" t="s">
        <v>518</v>
      </c>
      <c r="F457" s="92" t="s">
        <v>47</v>
      </c>
      <c r="G457" s="93">
        <v>100000.0</v>
      </c>
      <c r="H457" s="94">
        <v>0.0</v>
      </c>
      <c r="I457" s="95">
        <f t="shared" si="3"/>
        <v>100000</v>
      </c>
      <c r="J457" s="93">
        <v>100000.0</v>
      </c>
      <c r="K457" s="96">
        <f t="shared" si="4"/>
        <v>0</v>
      </c>
      <c r="L457" s="97"/>
      <c r="M457" s="98"/>
    </row>
    <row r="458" ht="22.5" customHeight="1">
      <c r="A458" s="88" t="s">
        <v>534</v>
      </c>
      <c r="B458" s="89">
        <v>45731.0</v>
      </c>
      <c r="C458" s="90" t="s">
        <v>44</v>
      </c>
      <c r="D458" s="91" t="s">
        <v>45</v>
      </c>
      <c r="E458" s="91" t="s">
        <v>535</v>
      </c>
      <c r="F458" s="92" t="s">
        <v>47</v>
      </c>
      <c r="G458" s="93">
        <v>100000.0</v>
      </c>
      <c r="H458" s="94">
        <v>0.0</v>
      </c>
      <c r="I458" s="95">
        <f t="shared" si="3"/>
        <v>100000</v>
      </c>
      <c r="J458" s="93">
        <v>100000.0</v>
      </c>
      <c r="K458" s="96">
        <f t="shared" si="4"/>
        <v>0</v>
      </c>
      <c r="L458" s="97"/>
      <c r="M458" s="98"/>
    </row>
    <row r="459" ht="22.5" customHeight="1">
      <c r="A459" s="88" t="s">
        <v>536</v>
      </c>
      <c r="B459" s="89">
        <v>45731.0</v>
      </c>
      <c r="C459" s="90" t="s">
        <v>44</v>
      </c>
      <c r="D459" s="91" t="s">
        <v>45</v>
      </c>
      <c r="E459" s="91" t="s">
        <v>537</v>
      </c>
      <c r="F459" s="92" t="s">
        <v>47</v>
      </c>
      <c r="G459" s="93">
        <v>30000.0</v>
      </c>
      <c r="H459" s="94">
        <v>0.0</v>
      </c>
      <c r="I459" s="95">
        <f t="shared" si="3"/>
        <v>30000</v>
      </c>
      <c r="J459" s="93">
        <v>30000.0</v>
      </c>
      <c r="K459" s="96">
        <f t="shared" si="4"/>
        <v>0</v>
      </c>
      <c r="L459" s="97"/>
      <c r="M459" s="98"/>
    </row>
    <row r="460" ht="22.5" customHeight="1">
      <c r="A460" s="88" t="s">
        <v>538</v>
      </c>
      <c r="B460" s="89">
        <v>45731.0</v>
      </c>
      <c r="C460" s="90" t="s">
        <v>44</v>
      </c>
      <c r="D460" s="91" t="s">
        <v>45</v>
      </c>
      <c r="E460" s="91" t="s">
        <v>539</v>
      </c>
      <c r="F460" s="92" t="s">
        <v>47</v>
      </c>
      <c r="G460" s="93">
        <v>20000.0</v>
      </c>
      <c r="H460" s="94">
        <v>0.0</v>
      </c>
      <c r="I460" s="95">
        <f t="shared" si="3"/>
        <v>20000</v>
      </c>
      <c r="J460" s="93">
        <v>20000.0</v>
      </c>
      <c r="K460" s="96">
        <f t="shared" si="4"/>
        <v>0</v>
      </c>
      <c r="L460" s="97"/>
      <c r="M460" s="98"/>
    </row>
    <row r="461" ht="22.5" customHeight="1">
      <c r="A461" s="88" t="s">
        <v>540</v>
      </c>
      <c r="B461" s="89">
        <v>45731.0</v>
      </c>
      <c r="C461" s="90" t="s">
        <v>44</v>
      </c>
      <c r="D461" s="91" t="s">
        <v>45</v>
      </c>
      <c r="E461" s="91" t="s">
        <v>518</v>
      </c>
      <c r="F461" s="92" t="s">
        <v>47</v>
      </c>
      <c r="G461" s="93">
        <v>75000.0</v>
      </c>
      <c r="H461" s="94">
        <v>0.0</v>
      </c>
      <c r="I461" s="95">
        <f t="shared" si="3"/>
        <v>75000</v>
      </c>
      <c r="J461" s="93">
        <v>75000.0</v>
      </c>
      <c r="K461" s="96">
        <f t="shared" si="4"/>
        <v>0</v>
      </c>
      <c r="L461" s="97"/>
      <c r="M461" s="98"/>
    </row>
    <row r="462" ht="22.5" customHeight="1">
      <c r="A462" s="88" t="s">
        <v>541</v>
      </c>
      <c r="B462" s="89">
        <v>45732.0</v>
      </c>
      <c r="C462" s="90" t="s">
        <v>44</v>
      </c>
      <c r="D462" s="91" t="s">
        <v>45</v>
      </c>
      <c r="E462" s="91" t="s">
        <v>542</v>
      </c>
      <c r="F462" s="92" t="s">
        <v>47</v>
      </c>
      <c r="G462" s="93">
        <v>125000.0</v>
      </c>
      <c r="H462" s="94">
        <v>0.0</v>
      </c>
      <c r="I462" s="95">
        <f t="shared" si="3"/>
        <v>125000</v>
      </c>
      <c r="J462" s="93">
        <v>125000.0</v>
      </c>
      <c r="K462" s="96">
        <f t="shared" si="4"/>
        <v>0</v>
      </c>
      <c r="L462" s="97"/>
      <c r="M462" s="98"/>
    </row>
    <row r="463" ht="22.5" customHeight="1">
      <c r="A463" s="101">
        <v>962838.0</v>
      </c>
      <c r="B463" s="89">
        <v>45732.0</v>
      </c>
      <c r="C463" s="90" t="s">
        <v>44</v>
      </c>
      <c r="D463" s="91" t="s">
        <v>45</v>
      </c>
      <c r="E463" s="91" t="s">
        <v>543</v>
      </c>
      <c r="F463" s="92" t="s">
        <v>47</v>
      </c>
      <c r="G463" s="93">
        <v>30000.0</v>
      </c>
      <c r="H463" s="94">
        <v>0.0</v>
      </c>
      <c r="I463" s="95">
        <f t="shared" si="3"/>
        <v>30000</v>
      </c>
      <c r="J463" s="93">
        <v>30000.0</v>
      </c>
      <c r="K463" s="96">
        <f t="shared" si="4"/>
        <v>0</v>
      </c>
      <c r="L463" s="97"/>
      <c r="M463" s="98"/>
    </row>
    <row r="464" ht="22.5" customHeight="1">
      <c r="A464" s="101">
        <v>294.0</v>
      </c>
      <c r="B464" s="89">
        <v>45733.0</v>
      </c>
      <c r="C464" s="90" t="s">
        <v>44</v>
      </c>
      <c r="D464" s="91" t="s">
        <v>45</v>
      </c>
      <c r="E464" s="91" t="s">
        <v>408</v>
      </c>
      <c r="F464" s="92" t="s">
        <v>47</v>
      </c>
      <c r="G464" s="93">
        <v>30000.0</v>
      </c>
      <c r="H464" s="94">
        <v>0.0</v>
      </c>
      <c r="I464" s="95">
        <f t="shared" si="3"/>
        <v>30000</v>
      </c>
      <c r="J464" s="93">
        <v>30000.0</v>
      </c>
      <c r="K464" s="96">
        <f t="shared" si="4"/>
        <v>0</v>
      </c>
      <c r="L464" s="97"/>
      <c r="M464" s="98"/>
    </row>
    <row r="465" ht="22.5" customHeight="1">
      <c r="A465" s="101">
        <v>294.0</v>
      </c>
      <c r="B465" s="89">
        <v>45733.0</v>
      </c>
      <c r="C465" s="90" t="s">
        <v>44</v>
      </c>
      <c r="D465" s="91" t="s">
        <v>45</v>
      </c>
      <c r="E465" s="91" t="s">
        <v>544</v>
      </c>
      <c r="F465" s="92" t="s">
        <v>47</v>
      </c>
      <c r="G465" s="93">
        <v>40000.0</v>
      </c>
      <c r="H465" s="94">
        <v>0.0</v>
      </c>
      <c r="I465" s="95">
        <f t="shared" si="3"/>
        <v>40000</v>
      </c>
      <c r="J465" s="93">
        <v>40000.0</v>
      </c>
      <c r="K465" s="96">
        <f t="shared" si="4"/>
        <v>0</v>
      </c>
      <c r="L465" s="97"/>
      <c r="M465" s="98"/>
    </row>
    <row r="466" ht="22.5" customHeight="1">
      <c r="A466" s="101">
        <v>294.0</v>
      </c>
      <c r="B466" s="89">
        <v>45733.0</v>
      </c>
      <c r="C466" s="90" t="s">
        <v>44</v>
      </c>
      <c r="D466" s="91" t="s">
        <v>45</v>
      </c>
      <c r="E466" s="91" t="s">
        <v>128</v>
      </c>
      <c r="F466" s="92" t="s">
        <v>47</v>
      </c>
      <c r="G466" s="93">
        <v>10000.0</v>
      </c>
      <c r="H466" s="94">
        <v>0.0</v>
      </c>
      <c r="I466" s="95">
        <f t="shared" si="3"/>
        <v>10000</v>
      </c>
      <c r="J466" s="93">
        <v>10000.0</v>
      </c>
      <c r="K466" s="96">
        <f t="shared" si="4"/>
        <v>0</v>
      </c>
      <c r="L466" s="97"/>
      <c r="M466" s="98"/>
    </row>
    <row r="467" ht="22.5" customHeight="1">
      <c r="A467" s="88" t="s">
        <v>545</v>
      </c>
      <c r="B467" s="89">
        <v>45733.0</v>
      </c>
      <c r="C467" s="90" t="s">
        <v>44</v>
      </c>
      <c r="D467" s="91" t="s">
        <v>224</v>
      </c>
      <c r="E467" s="91" t="s">
        <v>546</v>
      </c>
      <c r="F467" s="92" t="s">
        <v>47</v>
      </c>
      <c r="G467" s="93">
        <v>1.65E7</v>
      </c>
      <c r="H467" s="94">
        <v>0.0</v>
      </c>
      <c r="I467" s="95">
        <f t="shared" si="3"/>
        <v>16500000</v>
      </c>
      <c r="J467" s="93">
        <v>1.65E7</v>
      </c>
      <c r="K467" s="96">
        <f t="shared" si="4"/>
        <v>0</v>
      </c>
      <c r="L467" s="97"/>
      <c r="M467" s="98"/>
    </row>
    <row r="468" ht="22.5" customHeight="1">
      <c r="A468" s="88" t="s">
        <v>547</v>
      </c>
      <c r="B468" s="89">
        <v>45734.0</v>
      </c>
      <c r="C468" s="90" t="s">
        <v>44</v>
      </c>
      <c r="D468" s="91" t="s">
        <v>45</v>
      </c>
      <c r="E468" s="91" t="s">
        <v>548</v>
      </c>
      <c r="F468" s="92" t="s">
        <v>47</v>
      </c>
      <c r="G468" s="93">
        <v>20000.0</v>
      </c>
      <c r="H468" s="94">
        <v>0.0</v>
      </c>
      <c r="I468" s="95">
        <f t="shared" si="3"/>
        <v>20000</v>
      </c>
      <c r="J468" s="93">
        <v>20000.0</v>
      </c>
      <c r="K468" s="96">
        <f t="shared" si="4"/>
        <v>0</v>
      </c>
      <c r="L468" s="97"/>
      <c r="M468" s="98"/>
    </row>
    <row r="469" ht="22.5" customHeight="1">
      <c r="A469" s="101">
        <v>962836.0</v>
      </c>
      <c r="B469" s="89">
        <v>45734.0</v>
      </c>
      <c r="C469" s="90" t="s">
        <v>44</v>
      </c>
      <c r="D469" s="91" t="s">
        <v>45</v>
      </c>
      <c r="E469" s="91" t="s">
        <v>518</v>
      </c>
      <c r="F469" s="92" t="s">
        <v>47</v>
      </c>
      <c r="G469" s="93">
        <v>120000.0</v>
      </c>
      <c r="H469" s="94">
        <v>0.0</v>
      </c>
      <c r="I469" s="95">
        <f t="shared" si="3"/>
        <v>120000</v>
      </c>
      <c r="J469" s="93">
        <v>120000.0</v>
      </c>
      <c r="K469" s="96">
        <f t="shared" si="4"/>
        <v>0</v>
      </c>
      <c r="L469" s="97"/>
      <c r="M469" s="98"/>
    </row>
    <row r="470" ht="22.5" customHeight="1">
      <c r="A470" s="101">
        <v>962836.0</v>
      </c>
      <c r="B470" s="89">
        <v>45734.0</v>
      </c>
      <c r="C470" s="90" t="s">
        <v>44</v>
      </c>
      <c r="D470" s="91" t="s">
        <v>45</v>
      </c>
      <c r="E470" s="91" t="s">
        <v>274</v>
      </c>
      <c r="F470" s="92" t="s">
        <v>47</v>
      </c>
      <c r="G470" s="93">
        <v>60000.0</v>
      </c>
      <c r="H470" s="94">
        <v>0.0</v>
      </c>
      <c r="I470" s="95">
        <f t="shared" si="3"/>
        <v>60000</v>
      </c>
      <c r="J470" s="93">
        <v>60000.0</v>
      </c>
      <c r="K470" s="96">
        <f t="shared" si="4"/>
        <v>0</v>
      </c>
      <c r="L470" s="97"/>
      <c r="M470" s="98"/>
    </row>
    <row r="471" ht="22.5" customHeight="1">
      <c r="A471" s="88" t="s">
        <v>549</v>
      </c>
      <c r="B471" s="89">
        <v>45734.0</v>
      </c>
      <c r="C471" s="90" t="s">
        <v>44</v>
      </c>
      <c r="D471" s="91" t="s">
        <v>237</v>
      </c>
      <c r="E471" s="91" t="s">
        <v>550</v>
      </c>
      <c r="F471" s="92" t="s">
        <v>47</v>
      </c>
      <c r="G471" s="93">
        <v>15000.0</v>
      </c>
      <c r="H471" s="94">
        <v>0.0</v>
      </c>
      <c r="I471" s="95">
        <f t="shared" si="3"/>
        <v>15000</v>
      </c>
      <c r="J471" s="93">
        <v>15000.0</v>
      </c>
      <c r="K471" s="96">
        <f t="shared" si="4"/>
        <v>0</v>
      </c>
      <c r="L471" s="97"/>
      <c r="M471" s="98"/>
    </row>
    <row r="472" ht="22.5" customHeight="1">
      <c r="A472" s="88" t="s">
        <v>551</v>
      </c>
      <c r="B472" s="89">
        <v>45734.0</v>
      </c>
      <c r="C472" s="90" t="s">
        <v>44</v>
      </c>
      <c r="D472" s="91" t="s">
        <v>45</v>
      </c>
      <c r="E472" s="91" t="s">
        <v>371</v>
      </c>
      <c r="F472" s="92" t="s">
        <v>47</v>
      </c>
      <c r="G472" s="93">
        <v>100000.0</v>
      </c>
      <c r="H472" s="94">
        <v>0.0</v>
      </c>
      <c r="I472" s="95">
        <f t="shared" si="3"/>
        <v>100000</v>
      </c>
      <c r="J472" s="93">
        <v>100000.0</v>
      </c>
      <c r="K472" s="96">
        <f t="shared" si="4"/>
        <v>0</v>
      </c>
      <c r="L472" s="97"/>
      <c r="M472" s="98"/>
    </row>
    <row r="473" ht="22.5" customHeight="1">
      <c r="A473" s="88" t="s">
        <v>552</v>
      </c>
      <c r="B473" s="89">
        <v>45734.0</v>
      </c>
      <c r="C473" s="90" t="s">
        <v>44</v>
      </c>
      <c r="D473" s="91" t="s">
        <v>45</v>
      </c>
      <c r="E473" s="91" t="s">
        <v>292</v>
      </c>
      <c r="F473" s="92" t="s">
        <v>47</v>
      </c>
      <c r="G473" s="93">
        <v>40000.0</v>
      </c>
      <c r="H473" s="94">
        <v>0.0</v>
      </c>
      <c r="I473" s="95">
        <f t="shared" si="3"/>
        <v>40000</v>
      </c>
      <c r="J473" s="93">
        <v>40000.0</v>
      </c>
      <c r="K473" s="96">
        <f t="shared" si="4"/>
        <v>0</v>
      </c>
      <c r="L473" s="97"/>
      <c r="M473" s="98"/>
    </row>
    <row r="474" ht="22.5" customHeight="1">
      <c r="A474" s="88" t="s">
        <v>553</v>
      </c>
      <c r="B474" s="89">
        <v>45734.0</v>
      </c>
      <c r="C474" s="90" t="s">
        <v>44</v>
      </c>
      <c r="D474" s="109"/>
      <c r="E474" s="91" t="s">
        <v>554</v>
      </c>
      <c r="F474" s="92" t="s">
        <v>47</v>
      </c>
      <c r="G474" s="93">
        <v>30000.0</v>
      </c>
      <c r="H474" s="94">
        <v>0.0</v>
      </c>
      <c r="I474" s="95">
        <f t="shared" si="3"/>
        <v>30000</v>
      </c>
      <c r="J474" s="93">
        <v>30000.0</v>
      </c>
      <c r="K474" s="96">
        <f t="shared" si="4"/>
        <v>0</v>
      </c>
      <c r="L474" s="97"/>
      <c r="M474" s="98"/>
    </row>
    <row r="475" ht="22.5" customHeight="1">
      <c r="A475" s="101">
        <v>1010557.0</v>
      </c>
      <c r="B475" s="89">
        <v>45734.0</v>
      </c>
      <c r="C475" s="90" t="s">
        <v>44</v>
      </c>
      <c r="D475" s="91" t="s">
        <v>45</v>
      </c>
      <c r="E475" s="91" t="s">
        <v>555</v>
      </c>
      <c r="F475" s="92" t="s">
        <v>47</v>
      </c>
      <c r="G475" s="93">
        <v>125000.0</v>
      </c>
      <c r="H475" s="94">
        <v>0.0</v>
      </c>
      <c r="I475" s="95">
        <f t="shared" si="3"/>
        <v>125000</v>
      </c>
      <c r="J475" s="93">
        <v>125000.0</v>
      </c>
      <c r="K475" s="96">
        <f t="shared" si="4"/>
        <v>0</v>
      </c>
      <c r="L475" s="97"/>
      <c r="M475" s="98"/>
    </row>
    <row r="476" ht="22.5" customHeight="1">
      <c r="A476" s="101">
        <v>1010557.0</v>
      </c>
      <c r="B476" s="89">
        <v>45734.0</v>
      </c>
      <c r="C476" s="90" t="s">
        <v>44</v>
      </c>
      <c r="D476" s="91" t="s">
        <v>45</v>
      </c>
      <c r="E476" s="91" t="s">
        <v>556</v>
      </c>
      <c r="F476" s="92" t="s">
        <v>47</v>
      </c>
      <c r="G476" s="93">
        <v>40000.0</v>
      </c>
      <c r="H476" s="94">
        <v>0.0</v>
      </c>
      <c r="I476" s="95">
        <f t="shared" si="3"/>
        <v>40000</v>
      </c>
      <c r="J476" s="93">
        <v>40000.0</v>
      </c>
      <c r="K476" s="96">
        <f t="shared" si="4"/>
        <v>0</v>
      </c>
      <c r="L476" s="97"/>
      <c r="M476" s="98"/>
    </row>
    <row r="477" ht="22.5" customHeight="1">
      <c r="A477" s="88" t="s">
        <v>557</v>
      </c>
      <c r="B477" s="89">
        <v>45735.0</v>
      </c>
      <c r="C477" s="90" t="s">
        <v>44</v>
      </c>
      <c r="D477" s="91" t="s">
        <v>45</v>
      </c>
      <c r="E477" s="91" t="s">
        <v>558</v>
      </c>
      <c r="F477" s="92" t="s">
        <v>47</v>
      </c>
      <c r="G477" s="93">
        <v>100000.0</v>
      </c>
      <c r="H477" s="94">
        <v>0.0</v>
      </c>
      <c r="I477" s="95">
        <f t="shared" si="3"/>
        <v>100000</v>
      </c>
      <c r="J477" s="93">
        <v>100000.0</v>
      </c>
      <c r="K477" s="96">
        <f t="shared" si="4"/>
        <v>0</v>
      </c>
      <c r="L477" s="97"/>
      <c r="M477" s="98"/>
    </row>
    <row r="478" ht="22.5" customHeight="1">
      <c r="A478" s="101">
        <v>296.0</v>
      </c>
      <c r="B478" s="89">
        <v>45735.0</v>
      </c>
      <c r="C478" s="90" t="s">
        <v>44</v>
      </c>
      <c r="D478" s="91" t="s">
        <v>237</v>
      </c>
      <c r="E478" s="91" t="s">
        <v>559</v>
      </c>
      <c r="F478" s="92" t="s">
        <v>47</v>
      </c>
      <c r="G478" s="93">
        <v>15000.0</v>
      </c>
      <c r="H478" s="94">
        <v>0.0</v>
      </c>
      <c r="I478" s="95">
        <f t="shared" si="3"/>
        <v>15000</v>
      </c>
      <c r="J478" s="93">
        <v>15000.0</v>
      </c>
      <c r="K478" s="96">
        <f t="shared" si="4"/>
        <v>0</v>
      </c>
      <c r="L478" s="97"/>
      <c r="M478" s="98"/>
    </row>
    <row r="479" ht="22.5" customHeight="1">
      <c r="A479" s="101">
        <v>295.0</v>
      </c>
      <c r="B479" s="89">
        <v>45735.0</v>
      </c>
      <c r="C479" s="90" t="s">
        <v>44</v>
      </c>
      <c r="D479" s="91" t="s">
        <v>237</v>
      </c>
      <c r="E479" s="91" t="s">
        <v>560</v>
      </c>
      <c r="F479" s="92" t="s">
        <v>47</v>
      </c>
      <c r="G479" s="93">
        <v>75000.0</v>
      </c>
      <c r="H479" s="94">
        <v>0.0</v>
      </c>
      <c r="I479" s="95">
        <f t="shared" si="3"/>
        <v>75000</v>
      </c>
      <c r="J479" s="93">
        <v>75000.0</v>
      </c>
      <c r="K479" s="96">
        <f t="shared" si="4"/>
        <v>0</v>
      </c>
      <c r="L479" s="97"/>
      <c r="M479" s="98"/>
    </row>
    <row r="480" ht="22.5" customHeight="1">
      <c r="A480" s="101">
        <v>1010551.0</v>
      </c>
      <c r="B480" s="89">
        <v>45735.0</v>
      </c>
      <c r="C480" s="90" t="s">
        <v>44</v>
      </c>
      <c r="D480" s="91" t="s">
        <v>45</v>
      </c>
      <c r="E480" s="91" t="s">
        <v>561</v>
      </c>
      <c r="F480" s="92" t="s">
        <v>47</v>
      </c>
      <c r="G480" s="93">
        <v>500000.0</v>
      </c>
      <c r="H480" s="94">
        <v>0.0</v>
      </c>
      <c r="I480" s="95">
        <f t="shared" si="3"/>
        <v>500000</v>
      </c>
      <c r="J480" s="93">
        <v>500000.0</v>
      </c>
      <c r="K480" s="96">
        <f t="shared" si="4"/>
        <v>0</v>
      </c>
      <c r="L480" s="97"/>
      <c r="M480" s="98"/>
    </row>
    <row r="481" ht="22.5" customHeight="1">
      <c r="A481" s="88" t="s">
        <v>562</v>
      </c>
      <c r="B481" s="89">
        <v>45736.0</v>
      </c>
      <c r="C481" s="90" t="s">
        <v>44</v>
      </c>
      <c r="D481" s="91" t="s">
        <v>45</v>
      </c>
      <c r="E481" s="91" t="s">
        <v>527</v>
      </c>
      <c r="F481" s="92" t="s">
        <v>47</v>
      </c>
      <c r="G481" s="93">
        <v>125000.0</v>
      </c>
      <c r="H481" s="94">
        <v>0.0</v>
      </c>
      <c r="I481" s="95">
        <f t="shared" si="3"/>
        <v>125000</v>
      </c>
      <c r="J481" s="93">
        <v>125000.0</v>
      </c>
      <c r="K481" s="96">
        <f t="shared" si="4"/>
        <v>0</v>
      </c>
      <c r="L481" s="97"/>
      <c r="M481" s="98"/>
    </row>
    <row r="482" ht="22.5" customHeight="1">
      <c r="A482" s="88" t="s">
        <v>563</v>
      </c>
      <c r="B482" s="89">
        <v>45736.0</v>
      </c>
      <c r="C482" s="90" t="s">
        <v>44</v>
      </c>
      <c r="D482" s="91" t="s">
        <v>45</v>
      </c>
      <c r="E482" s="91" t="s">
        <v>518</v>
      </c>
      <c r="F482" s="92" t="s">
        <v>47</v>
      </c>
      <c r="G482" s="93">
        <v>75000.0</v>
      </c>
      <c r="H482" s="94">
        <v>0.0</v>
      </c>
      <c r="I482" s="95">
        <f t="shared" si="3"/>
        <v>75000</v>
      </c>
      <c r="J482" s="93">
        <v>75000.0</v>
      </c>
      <c r="K482" s="96">
        <f t="shared" si="4"/>
        <v>0</v>
      </c>
      <c r="L482" s="97"/>
      <c r="M482" s="98"/>
    </row>
    <row r="483" ht="22.5" customHeight="1">
      <c r="A483" s="101">
        <v>754.0</v>
      </c>
      <c r="B483" s="89">
        <v>45736.0</v>
      </c>
      <c r="C483" s="90" t="s">
        <v>44</v>
      </c>
      <c r="D483" s="91" t="s">
        <v>45</v>
      </c>
      <c r="E483" s="91" t="s">
        <v>564</v>
      </c>
      <c r="F483" s="92" t="s">
        <v>47</v>
      </c>
      <c r="G483" s="93">
        <v>20000.0</v>
      </c>
      <c r="H483" s="94">
        <v>0.0</v>
      </c>
      <c r="I483" s="95">
        <f t="shared" si="3"/>
        <v>20000</v>
      </c>
      <c r="J483" s="93">
        <v>20000.0</v>
      </c>
      <c r="K483" s="96">
        <f t="shared" si="4"/>
        <v>0</v>
      </c>
      <c r="L483" s="97"/>
      <c r="M483" s="98"/>
    </row>
    <row r="484" ht="22.5" customHeight="1">
      <c r="A484" s="88" t="s">
        <v>565</v>
      </c>
      <c r="B484" s="89">
        <v>45738.0</v>
      </c>
      <c r="C484" s="90" t="s">
        <v>44</v>
      </c>
      <c r="D484" s="91" t="s">
        <v>45</v>
      </c>
      <c r="E484" s="91" t="s">
        <v>566</v>
      </c>
      <c r="F484" s="92" t="s">
        <v>47</v>
      </c>
      <c r="G484" s="93">
        <v>60000.0</v>
      </c>
      <c r="H484" s="94">
        <v>0.0</v>
      </c>
      <c r="I484" s="95">
        <f t="shared" si="3"/>
        <v>60000</v>
      </c>
      <c r="J484" s="93">
        <v>60000.0</v>
      </c>
      <c r="K484" s="96">
        <f t="shared" si="4"/>
        <v>0</v>
      </c>
      <c r="L484" s="97"/>
      <c r="M484" s="98"/>
    </row>
    <row r="485" ht="22.5" customHeight="1">
      <c r="A485" s="101">
        <v>962827.0</v>
      </c>
      <c r="B485" s="89">
        <v>45738.0</v>
      </c>
      <c r="C485" s="90" t="s">
        <v>44</v>
      </c>
      <c r="D485" s="91" t="s">
        <v>45</v>
      </c>
      <c r="E485" s="91" t="s">
        <v>511</v>
      </c>
      <c r="F485" s="92" t="s">
        <v>47</v>
      </c>
      <c r="G485" s="93">
        <v>60000.0</v>
      </c>
      <c r="H485" s="94">
        <v>0.0</v>
      </c>
      <c r="I485" s="95">
        <f t="shared" si="3"/>
        <v>60000</v>
      </c>
      <c r="J485" s="93">
        <v>60000.0</v>
      </c>
      <c r="K485" s="96">
        <f t="shared" si="4"/>
        <v>0</v>
      </c>
      <c r="L485" s="97"/>
      <c r="M485" s="98"/>
    </row>
    <row r="486" ht="22.5" customHeight="1">
      <c r="A486" s="88" t="s">
        <v>567</v>
      </c>
      <c r="B486" s="89">
        <v>45738.0</v>
      </c>
      <c r="C486" s="90" t="s">
        <v>44</v>
      </c>
      <c r="D486" s="91" t="s">
        <v>45</v>
      </c>
      <c r="E486" s="91" t="s">
        <v>69</v>
      </c>
      <c r="F486" s="92" t="s">
        <v>47</v>
      </c>
      <c r="G486" s="93">
        <v>50000.0</v>
      </c>
      <c r="H486" s="94">
        <v>0.0</v>
      </c>
      <c r="I486" s="95">
        <f t="shared" si="3"/>
        <v>50000</v>
      </c>
      <c r="J486" s="93">
        <v>50000.0</v>
      </c>
      <c r="K486" s="96">
        <f t="shared" si="4"/>
        <v>0</v>
      </c>
      <c r="L486" s="97"/>
      <c r="M486" s="98"/>
    </row>
    <row r="487" ht="22.5" customHeight="1">
      <c r="A487" s="88" t="s">
        <v>568</v>
      </c>
      <c r="B487" s="89">
        <v>45738.0</v>
      </c>
      <c r="C487" s="90" t="s">
        <v>44</v>
      </c>
      <c r="D487" s="91" t="s">
        <v>45</v>
      </c>
      <c r="E487" s="91" t="s">
        <v>166</v>
      </c>
      <c r="F487" s="92" t="s">
        <v>47</v>
      </c>
      <c r="G487" s="93">
        <v>10000.0</v>
      </c>
      <c r="H487" s="94">
        <v>0.0</v>
      </c>
      <c r="I487" s="95">
        <f t="shared" si="3"/>
        <v>10000</v>
      </c>
      <c r="J487" s="93">
        <v>10000.0</v>
      </c>
      <c r="K487" s="96">
        <f t="shared" si="4"/>
        <v>0</v>
      </c>
      <c r="L487" s="97"/>
      <c r="M487" s="98"/>
    </row>
    <row r="488" ht="22.5" customHeight="1">
      <c r="A488" s="101">
        <v>1010571.0</v>
      </c>
      <c r="B488" s="89">
        <v>45738.0</v>
      </c>
      <c r="C488" s="90" t="s">
        <v>44</v>
      </c>
      <c r="D488" s="91" t="s">
        <v>45</v>
      </c>
      <c r="E488" s="91" t="s">
        <v>292</v>
      </c>
      <c r="F488" s="92" t="s">
        <v>47</v>
      </c>
      <c r="G488" s="93">
        <v>165000.0</v>
      </c>
      <c r="H488" s="94">
        <v>0.0</v>
      </c>
      <c r="I488" s="95">
        <f t="shared" si="3"/>
        <v>165000</v>
      </c>
      <c r="J488" s="93">
        <v>165000.0</v>
      </c>
      <c r="K488" s="96">
        <f t="shared" si="4"/>
        <v>0</v>
      </c>
      <c r="L488" s="97"/>
      <c r="M488" s="98"/>
    </row>
    <row r="489" ht="22.5" customHeight="1">
      <c r="A489" s="101">
        <v>502.0</v>
      </c>
      <c r="B489" s="89">
        <v>45741.0</v>
      </c>
      <c r="C489" s="90" t="s">
        <v>44</v>
      </c>
      <c r="D489" s="91" t="s">
        <v>432</v>
      </c>
      <c r="E489" s="91" t="s">
        <v>569</v>
      </c>
      <c r="F489" s="92" t="s">
        <v>47</v>
      </c>
      <c r="G489" s="93">
        <v>500000.0</v>
      </c>
      <c r="H489" s="94">
        <v>0.0</v>
      </c>
      <c r="I489" s="95">
        <f t="shared" si="3"/>
        <v>500000</v>
      </c>
      <c r="J489" s="93">
        <v>500000.0</v>
      </c>
      <c r="K489" s="96">
        <f t="shared" si="4"/>
        <v>0</v>
      </c>
      <c r="L489" s="97"/>
      <c r="M489" s="98"/>
    </row>
    <row r="490" ht="22.5" customHeight="1">
      <c r="A490" s="101">
        <v>506.0</v>
      </c>
      <c r="B490" s="89">
        <v>45742.0</v>
      </c>
      <c r="C490" s="90" t="s">
        <v>44</v>
      </c>
      <c r="D490" s="91" t="s">
        <v>432</v>
      </c>
      <c r="E490" s="91" t="s">
        <v>570</v>
      </c>
      <c r="F490" s="92" t="s">
        <v>47</v>
      </c>
      <c r="G490" s="93">
        <v>350000.0</v>
      </c>
      <c r="H490" s="94">
        <v>0.0</v>
      </c>
      <c r="I490" s="95">
        <f t="shared" si="3"/>
        <v>350000</v>
      </c>
      <c r="J490" s="93">
        <v>350000.0</v>
      </c>
      <c r="K490" s="96">
        <f t="shared" si="4"/>
        <v>0</v>
      </c>
      <c r="L490" s="97"/>
      <c r="M490" s="98"/>
    </row>
    <row r="491" ht="22.5" customHeight="1">
      <c r="A491" s="101">
        <v>804.0</v>
      </c>
      <c r="B491" s="89">
        <v>45742.0</v>
      </c>
      <c r="C491" s="90" t="s">
        <v>44</v>
      </c>
      <c r="D491" s="91" t="s">
        <v>432</v>
      </c>
      <c r="E491" s="91" t="s">
        <v>571</v>
      </c>
      <c r="F491" s="92" t="s">
        <v>47</v>
      </c>
      <c r="G491" s="93">
        <v>371000.0</v>
      </c>
      <c r="H491" s="94">
        <v>0.0</v>
      </c>
      <c r="I491" s="95">
        <f t="shared" si="3"/>
        <v>371000</v>
      </c>
      <c r="J491" s="93">
        <v>371000.0</v>
      </c>
      <c r="K491" s="96">
        <f t="shared" si="4"/>
        <v>0</v>
      </c>
      <c r="L491" s="97"/>
      <c r="M491" s="98"/>
    </row>
    <row r="492" ht="22.5" customHeight="1">
      <c r="A492" s="101">
        <v>901.0</v>
      </c>
      <c r="B492" s="89">
        <v>45743.0</v>
      </c>
      <c r="C492" s="105" t="s">
        <v>96</v>
      </c>
      <c r="D492" s="91" t="s">
        <v>432</v>
      </c>
      <c r="E492" s="91" t="s">
        <v>572</v>
      </c>
      <c r="F492" s="92" t="s">
        <v>47</v>
      </c>
      <c r="G492" s="93">
        <v>600000.0</v>
      </c>
      <c r="H492" s="94">
        <v>0.0</v>
      </c>
      <c r="I492" s="95">
        <f t="shared" si="3"/>
        <v>600000</v>
      </c>
      <c r="J492" s="93">
        <v>450000.0</v>
      </c>
      <c r="K492" s="104">
        <f t="shared" si="4"/>
        <v>150000</v>
      </c>
      <c r="L492" s="97"/>
      <c r="M492" s="106"/>
    </row>
    <row r="493" ht="22.5" customHeight="1">
      <c r="A493" s="101">
        <v>603.0</v>
      </c>
      <c r="B493" s="89">
        <v>45743.0</v>
      </c>
      <c r="C493" s="90" t="s">
        <v>44</v>
      </c>
      <c r="D493" s="91" t="s">
        <v>432</v>
      </c>
      <c r="E493" s="91" t="s">
        <v>573</v>
      </c>
      <c r="F493" s="92" t="s">
        <v>47</v>
      </c>
      <c r="G493" s="93">
        <v>50000.0</v>
      </c>
      <c r="H493" s="94">
        <v>0.0</v>
      </c>
      <c r="I493" s="95">
        <f t="shared" si="3"/>
        <v>50000</v>
      </c>
      <c r="J493" s="93">
        <v>50000.0</v>
      </c>
      <c r="K493" s="96">
        <f t="shared" si="4"/>
        <v>0</v>
      </c>
      <c r="L493" s="97"/>
      <c r="M493" s="98"/>
    </row>
    <row r="494" ht="22.5" customHeight="1">
      <c r="A494" s="101">
        <v>756.0</v>
      </c>
      <c r="B494" s="89">
        <v>45743.0</v>
      </c>
      <c r="C494" s="90" t="s">
        <v>44</v>
      </c>
      <c r="D494" s="91" t="s">
        <v>45</v>
      </c>
      <c r="E494" s="91" t="s">
        <v>257</v>
      </c>
      <c r="F494" s="92" t="s">
        <v>47</v>
      </c>
      <c r="G494" s="93">
        <v>50000.0</v>
      </c>
      <c r="H494" s="94">
        <v>0.0</v>
      </c>
      <c r="I494" s="95">
        <f t="shared" si="3"/>
        <v>50000</v>
      </c>
      <c r="J494" s="93">
        <v>50000.0</v>
      </c>
      <c r="K494" s="96">
        <f t="shared" si="4"/>
        <v>0</v>
      </c>
      <c r="L494" s="97"/>
      <c r="M494" s="98"/>
    </row>
    <row r="495" ht="22.5" customHeight="1">
      <c r="A495" s="101">
        <v>1010562.0</v>
      </c>
      <c r="B495" s="89">
        <v>45743.0</v>
      </c>
      <c r="C495" s="90" t="s">
        <v>44</v>
      </c>
      <c r="D495" s="91" t="s">
        <v>45</v>
      </c>
      <c r="E495" s="91" t="s">
        <v>574</v>
      </c>
      <c r="F495" s="92" t="s">
        <v>47</v>
      </c>
      <c r="G495" s="93">
        <v>105000.0</v>
      </c>
      <c r="H495" s="94">
        <v>0.0</v>
      </c>
      <c r="I495" s="95">
        <f t="shared" si="3"/>
        <v>105000</v>
      </c>
      <c r="J495" s="93">
        <v>105000.0</v>
      </c>
      <c r="K495" s="96">
        <f t="shared" si="4"/>
        <v>0</v>
      </c>
      <c r="L495" s="97"/>
      <c r="M495" s="98"/>
    </row>
    <row r="496" ht="22.5" customHeight="1">
      <c r="A496" s="101">
        <v>606.0</v>
      </c>
      <c r="B496" s="89">
        <v>45746.0</v>
      </c>
      <c r="C496" s="90" t="s">
        <v>44</v>
      </c>
      <c r="D496" s="91" t="s">
        <v>57</v>
      </c>
      <c r="E496" s="91" t="s">
        <v>575</v>
      </c>
      <c r="F496" s="92" t="s">
        <v>47</v>
      </c>
      <c r="G496" s="93">
        <v>5000.0</v>
      </c>
      <c r="H496" s="94">
        <v>0.0</v>
      </c>
      <c r="I496" s="95">
        <f t="shared" si="3"/>
        <v>5000</v>
      </c>
      <c r="J496" s="93">
        <v>5000.0</v>
      </c>
      <c r="K496" s="96">
        <f t="shared" si="4"/>
        <v>0</v>
      </c>
      <c r="L496" s="97"/>
      <c r="M496" s="98"/>
    </row>
    <row r="497" ht="22.5" customHeight="1">
      <c r="A497" s="101">
        <v>758.0</v>
      </c>
      <c r="B497" s="89">
        <v>45746.0</v>
      </c>
      <c r="C497" s="90" t="s">
        <v>44</v>
      </c>
      <c r="D497" s="91" t="s">
        <v>45</v>
      </c>
      <c r="E497" s="91" t="s">
        <v>128</v>
      </c>
      <c r="F497" s="92" t="s">
        <v>47</v>
      </c>
      <c r="G497" s="93">
        <v>15000.0</v>
      </c>
      <c r="H497" s="94">
        <v>0.0</v>
      </c>
      <c r="I497" s="95">
        <f t="shared" si="3"/>
        <v>15000</v>
      </c>
      <c r="J497" s="93">
        <v>15000.0</v>
      </c>
      <c r="K497" s="96">
        <f t="shared" si="4"/>
        <v>0</v>
      </c>
      <c r="L497" s="97"/>
      <c r="M497" s="98"/>
    </row>
    <row r="498" ht="22.5" customHeight="1">
      <c r="A498" s="101">
        <v>758.0</v>
      </c>
      <c r="B498" s="89">
        <v>45746.0</v>
      </c>
      <c r="C498" s="90" t="s">
        <v>44</v>
      </c>
      <c r="D498" s="91" t="s">
        <v>45</v>
      </c>
      <c r="E498" s="91" t="s">
        <v>128</v>
      </c>
      <c r="F498" s="92" t="s">
        <v>47</v>
      </c>
      <c r="G498" s="93">
        <v>10000.0</v>
      </c>
      <c r="H498" s="94">
        <v>0.0</v>
      </c>
      <c r="I498" s="95">
        <f t="shared" si="3"/>
        <v>10000</v>
      </c>
      <c r="J498" s="93">
        <v>10000.0</v>
      </c>
      <c r="K498" s="96">
        <f t="shared" si="4"/>
        <v>0</v>
      </c>
      <c r="L498" s="97"/>
      <c r="M498" s="98"/>
    </row>
    <row r="499" ht="22.5" customHeight="1">
      <c r="A499" s="101">
        <v>760.0</v>
      </c>
      <c r="B499" s="89">
        <v>45746.0</v>
      </c>
      <c r="C499" s="90" t="s">
        <v>44</v>
      </c>
      <c r="D499" s="91" t="s">
        <v>45</v>
      </c>
      <c r="E499" s="91" t="s">
        <v>128</v>
      </c>
      <c r="F499" s="92" t="s">
        <v>47</v>
      </c>
      <c r="G499" s="93">
        <v>25000.0</v>
      </c>
      <c r="H499" s="94">
        <v>0.0</v>
      </c>
      <c r="I499" s="95">
        <f t="shared" si="3"/>
        <v>25000</v>
      </c>
      <c r="J499" s="93">
        <v>25000.0</v>
      </c>
      <c r="K499" s="96">
        <f t="shared" si="4"/>
        <v>0</v>
      </c>
      <c r="L499" s="97"/>
      <c r="M499" s="98"/>
    </row>
    <row r="500" ht="22.5" customHeight="1">
      <c r="A500" s="101">
        <v>760.0</v>
      </c>
      <c r="B500" s="89">
        <v>45746.0</v>
      </c>
      <c r="C500" s="90" t="s">
        <v>44</v>
      </c>
      <c r="D500" s="91" t="s">
        <v>45</v>
      </c>
      <c r="E500" s="91" t="s">
        <v>128</v>
      </c>
      <c r="F500" s="92" t="s">
        <v>47</v>
      </c>
      <c r="G500" s="93">
        <v>20000.0</v>
      </c>
      <c r="H500" s="94">
        <v>0.0</v>
      </c>
      <c r="I500" s="95">
        <f t="shared" si="3"/>
        <v>20000</v>
      </c>
      <c r="J500" s="93">
        <v>20000.0</v>
      </c>
      <c r="K500" s="96">
        <f t="shared" si="4"/>
        <v>0</v>
      </c>
      <c r="L500" s="97"/>
      <c r="M500" s="98"/>
    </row>
    <row r="501" ht="22.5" customHeight="1">
      <c r="A501" s="101">
        <v>609.0</v>
      </c>
      <c r="B501" s="89">
        <v>45746.0</v>
      </c>
      <c r="C501" s="90" t="s">
        <v>44</v>
      </c>
      <c r="D501" s="91" t="s">
        <v>45</v>
      </c>
      <c r="E501" s="91" t="s">
        <v>92</v>
      </c>
      <c r="F501" s="92" t="s">
        <v>47</v>
      </c>
      <c r="G501" s="93">
        <v>40000.0</v>
      </c>
      <c r="H501" s="94">
        <v>0.0</v>
      </c>
      <c r="I501" s="95">
        <f t="shared" si="3"/>
        <v>40000</v>
      </c>
      <c r="J501" s="93">
        <v>40000.0</v>
      </c>
      <c r="K501" s="96">
        <f t="shared" si="4"/>
        <v>0</v>
      </c>
      <c r="L501" s="97"/>
      <c r="M501" s="98"/>
    </row>
    <row r="502" ht="22.5" customHeight="1">
      <c r="A502" s="101">
        <v>609.0</v>
      </c>
      <c r="B502" s="89">
        <v>45746.0</v>
      </c>
      <c r="C502" s="90" t="s">
        <v>44</v>
      </c>
      <c r="D502" s="91" t="s">
        <v>57</v>
      </c>
      <c r="E502" s="91" t="s">
        <v>576</v>
      </c>
      <c r="F502" s="92" t="s">
        <v>47</v>
      </c>
      <c r="G502" s="93">
        <v>5000.0</v>
      </c>
      <c r="H502" s="94">
        <v>0.0</v>
      </c>
      <c r="I502" s="95">
        <f t="shared" si="3"/>
        <v>5000</v>
      </c>
      <c r="J502" s="93">
        <v>5000.0</v>
      </c>
      <c r="K502" s="96">
        <f t="shared" si="4"/>
        <v>0</v>
      </c>
      <c r="L502" s="97"/>
      <c r="M502" s="98"/>
    </row>
    <row r="503" ht="22.5" customHeight="1">
      <c r="A503" s="101">
        <v>608.0</v>
      </c>
      <c r="B503" s="89">
        <v>45746.0</v>
      </c>
      <c r="C503" s="90" t="s">
        <v>44</v>
      </c>
      <c r="D503" s="91" t="s">
        <v>45</v>
      </c>
      <c r="E503" s="91" t="s">
        <v>123</v>
      </c>
      <c r="F503" s="92" t="s">
        <v>47</v>
      </c>
      <c r="G503" s="93">
        <v>25000.0</v>
      </c>
      <c r="H503" s="94">
        <v>0.0</v>
      </c>
      <c r="I503" s="95">
        <f t="shared" si="3"/>
        <v>25000</v>
      </c>
      <c r="J503" s="93">
        <v>25000.0</v>
      </c>
      <c r="K503" s="96">
        <f t="shared" si="4"/>
        <v>0</v>
      </c>
      <c r="L503" s="97"/>
      <c r="M503" s="98"/>
    </row>
    <row r="504" ht="22.5" customHeight="1">
      <c r="A504" s="101">
        <v>608.0</v>
      </c>
      <c r="B504" s="89">
        <v>45746.0</v>
      </c>
      <c r="C504" s="90" t="s">
        <v>44</v>
      </c>
      <c r="D504" s="91" t="s">
        <v>45</v>
      </c>
      <c r="E504" s="91" t="s">
        <v>577</v>
      </c>
      <c r="F504" s="92" t="s">
        <v>47</v>
      </c>
      <c r="G504" s="93">
        <v>25000.0</v>
      </c>
      <c r="H504" s="94">
        <v>0.0</v>
      </c>
      <c r="I504" s="95">
        <f t="shared" si="3"/>
        <v>25000</v>
      </c>
      <c r="J504" s="93">
        <v>25000.0</v>
      </c>
      <c r="K504" s="96">
        <f t="shared" si="4"/>
        <v>0</v>
      </c>
      <c r="L504" s="97"/>
      <c r="M504" s="98"/>
    </row>
    <row r="505" ht="22.5" customHeight="1">
      <c r="A505" s="101">
        <v>1010569.0</v>
      </c>
      <c r="B505" s="89">
        <v>45746.0</v>
      </c>
      <c r="C505" s="90" t="s">
        <v>44</v>
      </c>
      <c r="D505" s="91" t="s">
        <v>45</v>
      </c>
      <c r="E505" s="91" t="s">
        <v>578</v>
      </c>
      <c r="F505" s="92" t="s">
        <v>47</v>
      </c>
      <c r="G505" s="93">
        <v>195000.0</v>
      </c>
      <c r="H505" s="94">
        <v>0.0</v>
      </c>
      <c r="I505" s="95">
        <f t="shared" si="3"/>
        <v>195000</v>
      </c>
      <c r="J505" s="93">
        <v>195000.0</v>
      </c>
      <c r="K505" s="96">
        <f t="shared" si="4"/>
        <v>0</v>
      </c>
      <c r="L505" s="97"/>
      <c r="M505" s="98"/>
    </row>
    <row r="506" ht="22.5" customHeight="1">
      <c r="A506" s="101">
        <v>509.0</v>
      </c>
      <c r="B506" s="89">
        <v>45747.0</v>
      </c>
      <c r="C506" s="90" t="s">
        <v>44</v>
      </c>
      <c r="D506" s="91" t="s">
        <v>45</v>
      </c>
      <c r="E506" s="91" t="s">
        <v>46</v>
      </c>
      <c r="F506" s="92" t="s">
        <v>47</v>
      </c>
      <c r="G506" s="93">
        <v>60000.0</v>
      </c>
      <c r="H506" s="94">
        <v>0.0</v>
      </c>
      <c r="I506" s="95">
        <f t="shared" si="3"/>
        <v>60000</v>
      </c>
      <c r="J506" s="93">
        <v>60000.0</v>
      </c>
      <c r="K506" s="96">
        <f t="shared" si="4"/>
        <v>0</v>
      </c>
      <c r="L506" s="97"/>
      <c r="M506" s="98"/>
    </row>
    <row r="507" ht="22.5" customHeight="1">
      <c r="A507" s="101">
        <v>757.0</v>
      </c>
      <c r="B507" s="89">
        <v>45747.0</v>
      </c>
      <c r="C507" s="90" t="s">
        <v>44</v>
      </c>
      <c r="D507" s="91" t="s">
        <v>45</v>
      </c>
      <c r="E507" s="91" t="s">
        <v>128</v>
      </c>
      <c r="F507" s="92" t="s">
        <v>47</v>
      </c>
      <c r="G507" s="93">
        <v>30000.0</v>
      </c>
      <c r="H507" s="94">
        <v>0.0</v>
      </c>
      <c r="I507" s="95">
        <f t="shared" si="3"/>
        <v>30000</v>
      </c>
      <c r="J507" s="93">
        <v>30000.0</v>
      </c>
      <c r="K507" s="96">
        <f t="shared" si="4"/>
        <v>0</v>
      </c>
      <c r="L507" s="97"/>
      <c r="M507" s="98"/>
    </row>
    <row r="508" ht="22.5" customHeight="1">
      <c r="A508" s="101">
        <v>607.0</v>
      </c>
      <c r="B508" s="89">
        <v>45748.0</v>
      </c>
      <c r="C508" s="90" t="s">
        <v>44</v>
      </c>
      <c r="D508" s="91" t="s">
        <v>45</v>
      </c>
      <c r="E508" s="91" t="s">
        <v>92</v>
      </c>
      <c r="F508" s="92" t="s">
        <v>47</v>
      </c>
      <c r="G508" s="93">
        <v>175000.0</v>
      </c>
      <c r="H508" s="94">
        <v>0.0</v>
      </c>
      <c r="I508" s="95">
        <f t="shared" si="3"/>
        <v>175000</v>
      </c>
      <c r="J508" s="93">
        <v>175000.0</v>
      </c>
      <c r="K508" s="96">
        <f t="shared" si="4"/>
        <v>0</v>
      </c>
      <c r="L508" s="97"/>
      <c r="M508" s="98"/>
    </row>
    <row r="509" ht="22.5" customHeight="1">
      <c r="A509" s="101">
        <v>759.0</v>
      </c>
      <c r="B509" s="89">
        <v>45748.0</v>
      </c>
      <c r="C509" s="90" t="s">
        <v>44</v>
      </c>
      <c r="D509" s="91" t="s">
        <v>45</v>
      </c>
      <c r="E509" s="91" t="s">
        <v>69</v>
      </c>
      <c r="F509" s="92" t="s">
        <v>47</v>
      </c>
      <c r="G509" s="93">
        <v>50000.0</v>
      </c>
      <c r="H509" s="94">
        <v>0.0</v>
      </c>
      <c r="I509" s="95">
        <f t="shared" si="3"/>
        <v>50000</v>
      </c>
      <c r="J509" s="93">
        <v>50000.0</v>
      </c>
      <c r="K509" s="96">
        <f t="shared" si="4"/>
        <v>0</v>
      </c>
      <c r="L509" s="97"/>
      <c r="M509" s="98"/>
    </row>
    <row r="510" ht="22.5" customHeight="1">
      <c r="A510" s="101">
        <v>761.0</v>
      </c>
      <c r="B510" s="89">
        <v>45748.0</v>
      </c>
      <c r="C510" s="90" t="s">
        <v>44</v>
      </c>
      <c r="D510" s="91" t="s">
        <v>160</v>
      </c>
      <c r="E510" s="91" t="s">
        <v>579</v>
      </c>
      <c r="F510" s="92" t="s">
        <v>47</v>
      </c>
      <c r="G510" s="93">
        <v>15000.0</v>
      </c>
      <c r="H510" s="94">
        <v>0.0</v>
      </c>
      <c r="I510" s="95">
        <f t="shared" si="3"/>
        <v>15000</v>
      </c>
      <c r="J510" s="93">
        <v>15000.0</v>
      </c>
      <c r="K510" s="96">
        <f t="shared" si="4"/>
        <v>0</v>
      </c>
      <c r="L510" s="97"/>
      <c r="M510" s="98"/>
    </row>
    <row r="511" ht="22.5" customHeight="1">
      <c r="A511" s="101">
        <v>1010556.0</v>
      </c>
      <c r="B511" s="89">
        <v>45748.0</v>
      </c>
      <c r="C511" s="90" t="s">
        <v>44</v>
      </c>
      <c r="D511" s="91" t="s">
        <v>45</v>
      </c>
      <c r="E511" s="91" t="s">
        <v>580</v>
      </c>
      <c r="F511" s="92" t="s">
        <v>47</v>
      </c>
      <c r="G511" s="93">
        <v>70000.0</v>
      </c>
      <c r="H511" s="94">
        <v>0.0</v>
      </c>
      <c r="I511" s="95">
        <f t="shared" si="3"/>
        <v>70000</v>
      </c>
      <c r="J511" s="93">
        <v>70000.0</v>
      </c>
      <c r="K511" s="96">
        <f t="shared" si="4"/>
        <v>0</v>
      </c>
      <c r="L511" s="97"/>
      <c r="M511" s="98"/>
    </row>
    <row r="512" ht="22.5" customHeight="1">
      <c r="A512" s="88" t="s">
        <v>581</v>
      </c>
      <c r="B512" s="89">
        <v>45748.0</v>
      </c>
      <c r="C512" s="90" t="s">
        <v>44</v>
      </c>
      <c r="D512" s="91" t="s">
        <v>224</v>
      </c>
      <c r="E512" s="92" t="s">
        <v>582</v>
      </c>
      <c r="F512" s="92" t="s">
        <v>47</v>
      </c>
      <c r="G512" s="93">
        <v>125000.0</v>
      </c>
      <c r="H512" s="94">
        <v>0.0</v>
      </c>
      <c r="I512" s="95">
        <f t="shared" si="3"/>
        <v>125000</v>
      </c>
      <c r="J512" s="93">
        <v>125000.0</v>
      </c>
      <c r="K512" s="96">
        <f t="shared" si="4"/>
        <v>0</v>
      </c>
      <c r="L512" s="97"/>
      <c r="M512" s="98"/>
    </row>
    <row r="513" ht="22.5" customHeight="1">
      <c r="A513" s="101">
        <v>762.0</v>
      </c>
      <c r="B513" s="89">
        <v>45749.0</v>
      </c>
      <c r="C513" s="90" t="s">
        <v>44</v>
      </c>
      <c r="D513" s="91" t="s">
        <v>45</v>
      </c>
      <c r="E513" s="91" t="s">
        <v>583</v>
      </c>
      <c r="F513" s="92" t="s">
        <v>47</v>
      </c>
      <c r="G513" s="93">
        <v>10000.0</v>
      </c>
      <c r="H513" s="94">
        <v>0.0</v>
      </c>
      <c r="I513" s="95">
        <f t="shared" si="3"/>
        <v>10000</v>
      </c>
      <c r="J513" s="93">
        <v>10000.0</v>
      </c>
      <c r="K513" s="96">
        <f t="shared" si="4"/>
        <v>0</v>
      </c>
      <c r="L513" s="97"/>
      <c r="M513" s="98"/>
    </row>
    <row r="514" ht="22.5" customHeight="1">
      <c r="A514" s="88" t="s">
        <v>584</v>
      </c>
      <c r="B514" s="89">
        <v>45750.0</v>
      </c>
      <c r="C514" s="90" t="s">
        <v>44</v>
      </c>
      <c r="D514" s="91" t="s">
        <v>57</v>
      </c>
      <c r="E514" s="91" t="s">
        <v>585</v>
      </c>
      <c r="F514" s="92" t="s">
        <v>47</v>
      </c>
      <c r="G514" s="93">
        <v>25000.0</v>
      </c>
      <c r="H514" s="94">
        <v>0.0</v>
      </c>
      <c r="I514" s="95">
        <f t="shared" si="3"/>
        <v>25000</v>
      </c>
      <c r="J514" s="93">
        <v>25000.0</v>
      </c>
      <c r="K514" s="96">
        <f t="shared" si="4"/>
        <v>0</v>
      </c>
      <c r="L514" s="97"/>
      <c r="M514" s="98"/>
    </row>
    <row r="515" ht="22.5" customHeight="1">
      <c r="A515" s="101">
        <v>763.0</v>
      </c>
      <c r="B515" s="89">
        <v>45750.0</v>
      </c>
      <c r="C515" s="90" t="s">
        <v>44</v>
      </c>
      <c r="D515" s="91" t="s">
        <v>45</v>
      </c>
      <c r="E515" s="91" t="s">
        <v>550</v>
      </c>
      <c r="F515" s="92" t="s">
        <v>47</v>
      </c>
      <c r="G515" s="93">
        <v>65000.0</v>
      </c>
      <c r="H515" s="94">
        <v>0.0</v>
      </c>
      <c r="I515" s="95">
        <f t="shared" si="3"/>
        <v>65000</v>
      </c>
      <c r="J515" s="93">
        <v>65000.0</v>
      </c>
      <c r="K515" s="96">
        <f t="shared" si="4"/>
        <v>0</v>
      </c>
      <c r="L515" s="97"/>
      <c r="M515" s="98"/>
    </row>
    <row r="516" ht="22.5" customHeight="1">
      <c r="A516" s="101">
        <v>754.0</v>
      </c>
      <c r="B516" s="89">
        <v>45750.0</v>
      </c>
      <c r="C516" s="90" t="s">
        <v>44</v>
      </c>
      <c r="D516" s="91" t="s">
        <v>45</v>
      </c>
      <c r="E516" s="91" t="s">
        <v>165</v>
      </c>
      <c r="F516" s="92" t="s">
        <v>47</v>
      </c>
      <c r="G516" s="93">
        <v>40000.0</v>
      </c>
      <c r="H516" s="94">
        <v>0.0</v>
      </c>
      <c r="I516" s="95">
        <f t="shared" si="3"/>
        <v>40000</v>
      </c>
      <c r="J516" s="93">
        <v>40000.0</v>
      </c>
      <c r="K516" s="96">
        <f t="shared" si="4"/>
        <v>0</v>
      </c>
      <c r="L516" s="97"/>
      <c r="M516" s="98"/>
    </row>
    <row r="517" ht="22.5" customHeight="1">
      <c r="A517" s="101">
        <v>511.0</v>
      </c>
      <c r="B517" s="89">
        <v>45750.0</v>
      </c>
      <c r="C517" s="90" t="s">
        <v>44</v>
      </c>
      <c r="D517" s="91" t="s">
        <v>432</v>
      </c>
      <c r="E517" s="91" t="s">
        <v>586</v>
      </c>
      <c r="F517" s="92" t="s">
        <v>47</v>
      </c>
      <c r="G517" s="93">
        <v>450000.0</v>
      </c>
      <c r="H517" s="94">
        <v>0.0</v>
      </c>
      <c r="I517" s="95">
        <f t="shared" si="3"/>
        <v>450000</v>
      </c>
      <c r="J517" s="93">
        <v>450000.0</v>
      </c>
      <c r="K517" s="96">
        <f t="shared" si="4"/>
        <v>0</v>
      </c>
      <c r="L517" s="97"/>
      <c r="M517" s="98"/>
    </row>
    <row r="518" ht="22.5" customHeight="1">
      <c r="A518" s="101">
        <v>512.0</v>
      </c>
      <c r="B518" s="89">
        <v>45750.0</v>
      </c>
      <c r="C518" s="90" t="s">
        <v>44</v>
      </c>
      <c r="D518" s="91" t="s">
        <v>57</v>
      </c>
      <c r="E518" s="91" t="s">
        <v>550</v>
      </c>
      <c r="F518" s="92" t="s">
        <v>47</v>
      </c>
      <c r="G518" s="93">
        <v>15000.0</v>
      </c>
      <c r="H518" s="94">
        <v>0.0</v>
      </c>
      <c r="I518" s="95">
        <f t="shared" si="3"/>
        <v>15000</v>
      </c>
      <c r="J518" s="93">
        <v>15000.0</v>
      </c>
      <c r="K518" s="96">
        <f t="shared" si="4"/>
        <v>0</v>
      </c>
      <c r="L518" s="97"/>
      <c r="M518" s="98"/>
    </row>
    <row r="519" ht="22.5" customHeight="1">
      <c r="A519" s="101">
        <v>765.0</v>
      </c>
      <c r="B519" s="89">
        <v>45750.0</v>
      </c>
      <c r="C519" s="90" t="s">
        <v>44</v>
      </c>
      <c r="D519" s="91" t="s">
        <v>45</v>
      </c>
      <c r="E519" s="91" t="s">
        <v>587</v>
      </c>
      <c r="F519" s="92" t="s">
        <v>47</v>
      </c>
      <c r="G519" s="93">
        <v>40000.0</v>
      </c>
      <c r="H519" s="94">
        <v>0.0</v>
      </c>
      <c r="I519" s="95">
        <f t="shared" si="3"/>
        <v>40000</v>
      </c>
      <c r="J519" s="93">
        <v>40000.0</v>
      </c>
      <c r="K519" s="96">
        <f t="shared" si="4"/>
        <v>0</v>
      </c>
      <c r="L519" s="97"/>
      <c r="M519" s="98"/>
    </row>
    <row r="520" ht="22.5" customHeight="1">
      <c r="A520" s="101">
        <v>765.0</v>
      </c>
      <c r="B520" s="89">
        <v>45750.0</v>
      </c>
      <c r="C520" s="90" t="s">
        <v>44</v>
      </c>
      <c r="D520" s="91" t="s">
        <v>45</v>
      </c>
      <c r="E520" s="91" t="s">
        <v>588</v>
      </c>
      <c r="F520" s="92" t="s">
        <v>47</v>
      </c>
      <c r="G520" s="93">
        <v>50000.0</v>
      </c>
      <c r="H520" s="94">
        <v>0.0</v>
      </c>
      <c r="I520" s="95">
        <f t="shared" si="3"/>
        <v>50000</v>
      </c>
      <c r="J520" s="93">
        <v>50000.0</v>
      </c>
      <c r="K520" s="96">
        <f t="shared" si="4"/>
        <v>0</v>
      </c>
      <c r="L520" s="97"/>
      <c r="M520" s="98"/>
    </row>
    <row r="521" ht="22.5" customHeight="1">
      <c r="A521" s="101">
        <v>765.0</v>
      </c>
      <c r="B521" s="89">
        <v>45750.0</v>
      </c>
      <c r="C521" s="90" t="s">
        <v>44</v>
      </c>
      <c r="D521" s="91" t="s">
        <v>45</v>
      </c>
      <c r="E521" s="91" t="s">
        <v>589</v>
      </c>
      <c r="F521" s="92" t="s">
        <v>47</v>
      </c>
      <c r="G521" s="93">
        <v>400000.0</v>
      </c>
      <c r="H521" s="94">
        <v>0.0</v>
      </c>
      <c r="I521" s="95">
        <f t="shared" si="3"/>
        <v>400000</v>
      </c>
      <c r="J521" s="93">
        <v>400000.0</v>
      </c>
      <c r="K521" s="96">
        <f t="shared" si="4"/>
        <v>0</v>
      </c>
      <c r="L521" s="97"/>
      <c r="M521" s="98"/>
    </row>
    <row r="522" ht="22.5" customHeight="1">
      <c r="A522" s="101">
        <v>1010572.0</v>
      </c>
      <c r="B522" s="89">
        <v>45751.0</v>
      </c>
      <c r="C522" s="90" t="s">
        <v>44</v>
      </c>
      <c r="D522" s="91" t="s">
        <v>45</v>
      </c>
      <c r="E522" s="91" t="s">
        <v>49</v>
      </c>
      <c r="F522" s="92" t="s">
        <v>47</v>
      </c>
      <c r="G522" s="93">
        <v>45000.0</v>
      </c>
      <c r="H522" s="94">
        <v>0.0</v>
      </c>
      <c r="I522" s="95">
        <f t="shared" si="3"/>
        <v>45000</v>
      </c>
      <c r="J522" s="93">
        <v>45000.0</v>
      </c>
      <c r="K522" s="96">
        <f t="shared" si="4"/>
        <v>0</v>
      </c>
      <c r="L522" s="97"/>
      <c r="M522" s="98"/>
    </row>
    <row r="523" ht="22.5" customHeight="1">
      <c r="A523" s="101">
        <v>764.0</v>
      </c>
      <c r="B523" s="89">
        <v>45751.0</v>
      </c>
      <c r="C523" s="90" t="s">
        <v>44</v>
      </c>
      <c r="D523" s="91" t="s">
        <v>45</v>
      </c>
      <c r="E523" s="91" t="s">
        <v>92</v>
      </c>
      <c r="F523" s="92" t="s">
        <v>47</v>
      </c>
      <c r="G523" s="93">
        <v>100000.0</v>
      </c>
      <c r="H523" s="94">
        <v>0.0</v>
      </c>
      <c r="I523" s="95">
        <f t="shared" si="3"/>
        <v>100000</v>
      </c>
      <c r="J523" s="93">
        <v>100000.0</v>
      </c>
      <c r="K523" s="96">
        <f t="shared" si="4"/>
        <v>0</v>
      </c>
      <c r="L523" s="97"/>
      <c r="M523" s="98"/>
    </row>
    <row r="524" ht="22.5" customHeight="1">
      <c r="A524" s="101">
        <v>764.0</v>
      </c>
      <c r="B524" s="89">
        <v>45751.0</v>
      </c>
      <c r="C524" s="90" t="s">
        <v>44</v>
      </c>
      <c r="D524" s="91" t="s">
        <v>45</v>
      </c>
      <c r="E524" s="91" t="s">
        <v>128</v>
      </c>
      <c r="F524" s="92" t="s">
        <v>47</v>
      </c>
      <c r="G524" s="93">
        <v>5000.0</v>
      </c>
      <c r="H524" s="94">
        <v>0.0</v>
      </c>
      <c r="I524" s="95">
        <f t="shared" si="3"/>
        <v>5000</v>
      </c>
      <c r="J524" s="93">
        <v>5000.0</v>
      </c>
      <c r="K524" s="96">
        <f t="shared" si="4"/>
        <v>0</v>
      </c>
      <c r="L524" s="97"/>
      <c r="M524" s="98"/>
    </row>
    <row r="525" ht="22.5" customHeight="1">
      <c r="A525" s="101">
        <v>764.0</v>
      </c>
      <c r="B525" s="89">
        <v>45751.0</v>
      </c>
      <c r="C525" s="90" t="s">
        <v>44</v>
      </c>
      <c r="D525" s="91" t="s">
        <v>45</v>
      </c>
      <c r="E525" s="91" t="s">
        <v>590</v>
      </c>
      <c r="F525" s="92" t="s">
        <v>47</v>
      </c>
      <c r="G525" s="93">
        <v>35000.0</v>
      </c>
      <c r="H525" s="94">
        <v>0.0</v>
      </c>
      <c r="I525" s="95">
        <f t="shared" si="3"/>
        <v>35000</v>
      </c>
      <c r="J525" s="93">
        <v>35000.0</v>
      </c>
      <c r="K525" s="96">
        <f t="shared" si="4"/>
        <v>0</v>
      </c>
      <c r="L525" s="97"/>
      <c r="M525" s="98"/>
    </row>
    <row r="526" ht="22.5" customHeight="1">
      <c r="A526" s="101">
        <v>513.0</v>
      </c>
      <c r="B526" s="89">
        <v>45751.0</v>
      </c>
      <c r="C526" s="90" t="s">
        <v>44</v>
      </c>
      <c r="D526" s="91" t="s">
        <v>432</v>
      </c>
      <c r="E526" s="91" t="s">
        <v>591</v>
      </c>
      <c r="F526" s="92" t="s">
        <v>47</v>
      </c>
      <c r="G526" s="93">
        <v>1225000.0</v>
      </c>
      <c r="H526" s="94">
        <v>0.0</v>
      </c>
      <c r="I526" s="95">
        <f t="shared" si="3"/>
        <v>1225000</v>
      </c>
      <c r="J526" s="93">
        <v>1225000.0</v>
      </c>
      <c r="K526" s="96">
        <f t="shared" si="4"/>
        <v>0</v>
      </c>
      <c r="L526" s="97"/>
      <c r="M526" s="98"/>
    </row>
    <row r="527" ht="22.5" customHeight="1">
      <c r="A527" s="88" t="s">
        <v>592</v>
      </c>
      <c r="B527" s="89">
        <v>45751.0</v>
      </c>
      <c r="C527" s="90" t="s">
        <v>44</v>
      </c>
      <c r="D527" s="91" t="s">
        <v>45</v>
      </c>
      <c r="E527" s="92" t="s">
        <v>67</v>
      </c>
      <c r="F527" s="92" t="s">
        <v>47</v>
      </c>
      <c r="G527" s="93">
        <v>105000.0</v>
      </c>
      <c r="H527" s="94">
        <v>0.0</v>
      </c>
      <c r="I527" s="95">
        <f t="shared" si="3"/>
        <v>105000</v>
      </c>
      <c r="J527" s="93">
        <v>105000.0</v>
      </c>
      <c r="K527" s="96">
        <f t="shared" si="4"/>
        <v>0</v>
      </c>
      <c r="L527" s="97"/>
      <c r="M527" s="98"/>
    </row>
    <row r="528" ht="22.5" customHeight="1">
      <c r="A528" s="101">
        <v>611.0</v>
      </c>
      <c r="B528" s="89">
        <v>45752.0</v>
      </c>
      <c r="C528" s="90" t="s">
        <v>44</v>
      </c>
      <c r="D528" s="91" t="s">
        <v>45</v>
      </c>
      <c r="E528" s="91" t="s">
        <v>593</v>
      </c>
      <c r="F528" s="92" t="s">
        <v>47</v>
      </c>
      <c r="G528" s="93">
        <v>25000.0</v>
      </c>
      <c r="H528" s="94">
        <v>0.0</v>
      </c>
      <c r="I528" s="95">
        <f t="shared" si="3"/>
        <v>25000</v>
      </c>
      <c r="J528" s="93">
        <v>25000.0</v>
      </c>
      <c r="K528" s="96">
        <f t="shared" si="4"/>
        <v>0</v>
      </c>
      <c r="L528" s="97"/>
      <c r="M528" s="98"/>
    </row>
    <row r="529" ht="22.5" customHeight="1">
      <c r="A529" s="101">
        <v>614.0</v>
      </c>
      <c r="B529" s="89">
        <v>45753.0</v>
      </c>
      <c r="C529" s="90" t="s">
        <v>44</v>
      </c>
      <c r="D529" s="91" t="s">
        <v>45</v>
      </c>
      <c r="E529" s="91" t="s">
        <v>594</v>
      </c>
      <c r="F529" s="92" t="s">
        <v>47</v>
      </c>
      <c r="G529" s="93">
        <v>100000.0</v>
      </c>
      <c r="H529" s="94">
        <v>0.0</v>
      </c>
      <c r="I529" s="95">
        <f t="shared" si="3"/>
        <v>100000</v>
      </c>
      <c r="J529" s="93">
        <v>100000.0</v>
      </c>
      <c r="K529" s="96">
        <f t="shared" si="4"/>
        <v>0</v>
      </c>
      <c r="L529" s="97"/>
      <c r="M529" s="98"/>
    </row>
    <row r="530" ht="22.5" customHeight="1">
      <c r="A530" s="101">
        <v>616.0</v>
      </c>
      <c r="B530" s="89">
        <v>45753.0</v>
      </c>
      <c r="C530" s="90" t="s">
        <v>44</v>
      </c>
      <c r="D530" s="91" t="s">
        <v>45</v>
      </c>
      <c r="E530" s="91" t="s">
        <v>595</v>
      </c>
      <c r="F530" s="92" t="s">
        <v>47</v>
      </c>
      <c r="G530" s="93">
        <v>120000.0</v>
      </c>
      <c r="H530" s="94">
        <v>0.0</v>
      </c>
      <c r="I530" s="95">
        <f t="shared" si="3"/>
        <v>120000</v>
      </c>
      <c r="J530" s="93">
        <v>120000.0</v>
      </c>
      <c r="K530" s="96">
        <f t="shared" si="4"/>
        <v>0</v>
      </c>
      <c r="L530" s="97"/>
      <c r="M530" s="98"/>
    </row>
    <row r="531" ht="22.5" customHeight="1">
      <c r="A531" s="101">
        <v>616.0</v>
      </c>
      <c r="B531" s="89">
        <v>45753.0</v>
      </c>
      <c r="C531" s="90" t="s">
        <v>44</v>
      </c>
      <c r="D531" s="91" t="s">
        <v>45</v>
      </c>
      <c r="E531" s="91" t="s">
        <v>275</v>
      </c>
      <c r="F531" s="92" t="s">
        <v>47</v>
      </c>
      <c r="G531" s="93">
        <v>120000.0</v>
      </c>
      <c r="H531" s="94">
        <v>0.0</v>
      </c>
      <c r="I531" s="95">
        <f t="shared" si="3"/>
        <v>120000</v>
      </c>
      <c r="J531" s="93">
        <v>120000.0</v>
      </c>
      <c r="K531" s="96">
        <f t="shared" si="4"/>
        <v>0</v>
      </c>
      <c r="L531" s="97"/>
      <c r="M531" s="98"/>
    </row>
    <row r="532" ht="22.5" customHeight="1">
      <c r="A532" s="101">
        <v>613.0</v>
      </c>
      <c r="B532" s="89">
        <v>45753.0</v>
      </c>
      <c r="C532" s="90" t="s">
        <v>44</v>
      </c>
      <c r="D532" s="91" t="s">
        <v>57</v>
      </c>
      <c r="E532" s="91" t="s">
        <v>596</v>
      </c>
      <c r="F532" s="92" t="s">
        <v>47</v>
      </c>
      <c r="G532" s="93">
        <v>650000.0</v>
      </c>
      <c r="H532" s="94">
        <v>0.0</v>
      </c>
      <c r="I532" s="95">
        <f t="shared" si="3"/>
        <v>650000</v>
      </c>
      <c r="J532" s="93">
        <v>650000.0</v>
      </c>
      <c r="K532" s="96">
        <f t="shared" si="4"/>
        <v>0</v>
      </c>
      <c r="L532" s="97"/>
      <c r="M532" s="98"/>
    </row>
    <row r="533" ht="22.5" customHeight="1">
      <c r="A533" s="101">
        <v>612.0</v>
      </c>
      <c r="B533" s="89">
        <v>45754.0</v>
      </c>
      <c r="C533" s="90" t="s">
        <v>44</v>
      </c>
      <c r="D533" s="91" t="s">
        <v>57</v>
      </c>
      <c r="E533" s="91" t="s">
        <v>387</v>
      </c>
      <c r="F533" s="92" t="s">
        <v>47</v>
      </c>
      <c r="G533" s="93">
        <v>15000.0</v>
      </c>
      <c r="H533" s="94">
        <v>0.0</v>
      </c>
      <c r="I533" s="95">
        <f t="shared" si="3"/>
        <v>15000</v>
      </c>
      <c r="J533" s="93">
        <v>15000.0</v>
      </c>
      <c r="K533" s="96">
        <f t="shared" si="4"/>
        <v>0</v>
      </c>
      <c r="L533" s="97"/>
      <c r="M533" s="98"/>
    </row>
    <row r="534" ht="22.5" customHeight="1">
      <c r="A534" s="101">
        <v>617.0</v>
      </c>
      <c r="B534" s="89">
        <v>45754.0</v>
      </c>
      <c r="C534" s="90" t="s">
        <v>44</v>
      </c>
      <c r="D534" s="91" t="s">
        <v>57</v>
      </c>
      <c r="E534" s="91" t="s">
        <v>597</v>
      </c>
      <c r="F534" s="92" t="s">
        <v>47</v>
      </c>
      <c r="G534" s="93">
        <v>10000.0</v>
      </c>
      <c r="H534" s="94">
        <v>0.0</v>
      </c>
      <c r="I534" s="95">
        <f t="shared" si="3"/>
        <v>10000</v>
      </c>
      <c r="J534" s="93">
        <v>10000.0</v>
      </c>
      <c r="K534" s="96">
        <f t="shared" si="4"/>
        <v>0</v>
      </c>
      <c r="L534" s="97"/>
      <c r="M534" s="98"/>
    </row>
    <row r="535" ht="22.5" customHeight="1">
      <c r="A535" s="101">
        <v>615.0</v>
      </c>
      <c r="B535" s="89">
        <v>45754.0</v>
      </c>
      <c r="C535" s="90" t="s">
        <v>44</v>
      </c>
      <c r="D535" s="91" t="s">
        <v>57</v>
      </c>
      <c r="E535" s="91" t="s">
        <v>92</v>
      </c>
      <c r="F535" s="92" t="s">
        <v>47</v>
      </c>
      <c r="G535" s="93">
        <v>115000.0</v>
      </c>
      <c r="H535" s="94">
        <v>0.0</v>
      </c>
      <c r="I535" s="95">
        <f t="shared" si="3"/>
        <v>115000</v>
      </c>
      <c r="J535" s="93">
        <v>115000.0</v>
      </c>
      <c r="K535" s="96">
        <f t="shared" si="4"/>
        <v>0</v>
      </c>
      <c r="L535" s="97"/>
      <c r="M535" s="98"/>
    </row>
    <row r="536" ht="22.5" customHeight="1">
      <c r="A536" s="101">
        <v>620.0</v>
      </c>
      <c r="B536" s="89">
        <v>45754.0</v>
      </c>
      <c r="C536" s="90" t="s">
        <v>44</v>
      </c>
      <c r="D536" s="91" t="s">
        <v>57</v>
      </c>
      <c r="E536" s="91" t="s">
        <v>598</v>
      </c>
      <c r="F536" s="92" t="s">
        <v>47</v>
      </c>
      <c r="G536" s="93">
        <v>10000.0</v>
      </c>
      <c r="H536" s="94">
        <v>0.0</v>
      </c>
      <c r="I536" s="95">
        <f t="shared" si="3"/>
        <v>10000</v>
      </c>
      <c r="J536" s="93">
        <v>10000.0</v>
      </c>
      <c r="K536" s="96">
        <f t="shared" si="4"/>
        <v>0</v>
      </c>
      <c r="L536" s="97"/>
      <c r="M536" s="98"/>
    </row>
    <row r="537" ht="22.5" customHeight="1">
      <c r="A537" s="101">
        <v>1010565.0</v>
      </c>
      <c r="B537" s="89">
        <v>45755.0</v>
      </c>
      <c r="C537" s="90" t="s">
        <v>44</v>
      </c>
      <c r="D537" s="91" t="s">
        <v>45</v>
      </c>
      <c r="E537" s="91" t="s">
        <v>49</v>
      </c>
      <c r="F537" s="92" t="s">
        <v>47</v>
      </c>
      <c r="G537" s="93">
        <v>35000.0</v>
      </c>
      <c r="H537" s="94">
        <v>0.0</v>
      </c>
      <c r="I537" s="95">
        <f t="shared" si="3"/>
        <v>35000</v>
      </c>
      <c r="J537" s="93">
        <v>35000.0</v>
      </c>
      <c r="K537" s="96">
        <f t="shared" si="4"/>
        <v>0</v>
      </c>
      <c r="L537" s="97"/>
      <c r="M537" s="98"/>
    </row>
    <row r="538" ht="22.5" customHeight="1">
      <c r="A538" s="101">
        <v>1010561.0</v>
      </c>
      <c r="B538" s="89">
        <v>45755.0</v>
      </c>
      <c r="C538" s="90" t="s">
        <v>44</v>
      </c>
      <c r="D538" s="91" t="s">
        <v>45</v>
      </c>
      <c r="E538" s="91" t="s">
        <v>49</v>
      </c>
      <c r="F538" s="92" t="s">
        <v>47</v>
      </c>
      <c r="G538" s="93">
        <v>35000.0</v>
      </c>
      <c r="H538" s="94">
        <v>0.0</v>
      </c>
      <c r="I538" s="95">
        <f t="shared" si="3"/>
        <v>35000</v>
      </c>
      <c r="J538" s="93">
        <v>35000.0</v>
      </c>
      <c r="K538" s="96">
        <f t="shared" si="4"/>
        <v>0</v>
      </c>
      <c r="L538" s="97"/>
      <c r="M538" s="98"/>
    </row>
    <row r="539" ht="22.5" customHeight="1">
      <c r="A539" s="101">
        <v>621.0</v>
      </c>
      <c r="B539" s="89">
        <v>45755.0</v>
      </c>
      <c r="C539" s="90" t="s">
        <v>44</v>
      </c>
      <c r="D539" s="91" t="s">
        <v>45</v>
      </c>
      <c r="E539" s="91" t="s">
        <v>46</v>
      </c>
      <c r="F539" s="92" t="s">
        <v>47</v>
      </c>
      <c r="G539" s="93">
        <v>125000.0</v>
      </c>
      <c r="H539" s="94">
        <v>0.0</v>
      </c>
      <c r="I539" s="95">
        <f t="shared" si="3"/>
        <v>125000</v>
      </c>
      <c r="J539" s="93">
        <v>125000.0</v>
      </c>
      <c r="K539" s="96">
        <f t="shared" si="4"/>
        <v>0</v>
      </c>
      <c r="L539" s="97"/>
      <c r="M539" s="98"/>
    </row>
    <row r="540" ht="22.5" customHeight="1">
      <c r="A540" s="101">
        <v>1010557.0</v>
      </c>
      <c r="B540" s="89">
        <v>45755.0</v>
      </c>
      <c r="C540" s="90" t="s">
        <v>44</v>
      </c>
      <c r="D540" s="91" t="s">
        <v>45</v>
      </c>
      <c r="E540" s="91" t="s">
        <v>518</v>
      </c>
      <c r="F540" s="92" t="s">
        <v>47</v>
      </c>
      <c r="G540" s="93">
        <v>75000.0</v>
      </c>
      <c r="H540" s="94">
        <v>0.0</v>
      </c>
      <c r="I540" s="95">
        <f t="shared" si="3"/>
        <v>75000</v>
      </c>
      <c r="J540" s="93">
        <v>75000.0</v>
      </c>
      <c r="K540" s="96">
        <f t="shared" si="4"/>
        <v>0</v>
      </c>
      <c r="L540" s="97"/>
      <c r="M540" s="98"/>
    </row>
    <row r="541" ht="22.5" customHeight="1">
      <c r="A541" s="101">
        <v>1010557.0</v>
      </c>
      <c r="B541" s="89">
        <v>45755.0</v>
      </c>
      <c r="C541" s="90" t="s">
        <v>44</v>
      </c>
      <c r="D541" s="91" t="s">
        <v>45</v>
      </c>
      <c r="E541" s="91" t="s">
        <v>599</v>
      </c>
      <c r="F541" s="92" t="s">
        <v>47</v>
      </c>
      <c r="G541" s="93">
        <v>15000.0</v>
      </c>
      <c r="H541" s="94">
        <v>0.0</v>
      </c>
      <c r="I541" s="95">
        <f t="shared" si="3"/>
        <v>15000</v>
      </c>
      <c r="J541" s="93">
        <v>15000.0</v>
      </c>
      <c r="K541" s="96">
        <f t="shared" si="4"/>
        <v>0</v>
      </c>
      <c r="L541" s="97"/>
      <c r="M541" s="98"/>
    </row>
    <row r="542" ht="22.5" customHeight="1">
      <c r="A542" s="101">
        <v>1010560.0</v>
      </c>
      <c r="B542" s="89">
        <v>45755.0</v>
      </c>
      <c r="C542" s="90" t="s">
        <v>44</v>
      </c>
      <c r="D542" s="91" t="s">
        <v>45</v>
      </c>
      <c r="E542" s="91" t="s">
        <v>343</v>
      </c>
      <c r="F542" s="92" t="s">
        <v>47</v>
      </c>
      <c r="G542" s="93">
        <v>150000.0</v>
      </c>
      <c r="H542" s="94">
        <v>0.0</v>
      </c>
      <c r="I542" s="95">
        <f t="shared" si="3"/>
        <v>150000</v>
      </c>
      <c r="J542" s="93">
        <v>150000.0</v>
      </c>
      <c r="K542" s="96">
        <f t="shared" si="4"/>
        <v>0</v>
      </c>
      <c r="L542" s="97"/>
      <c r="M542" s="98"/>
    </row>
    <row r="543" ht="22.5" customHeight="1">
      <c r="A543" s="101">
        <v>1010565.0</v>
      </c>
      <c r="B543" s="89">
        <v>45755.0</v>
      </c>
      <c r="C543" s="90" t="s">
        <v>44</v>
      </c>
      <c r="D543" s="91" t="s">
        <v>45</v>
      </c>
      <c r="E543" s="91" t="s">
        <v>46</v>
      </c>
      <c r="F543" s="92" t="s">
        <v>47</v>
      </c>
      <c r="G543" s="93">
        <v>60000.0</v>
      </c>
      <c r="H543" s="94">
        <v>0.0</v>
      </c>
      <c r="I543" s="95">
        <f t="shared" si="3"/>
        <v>60000</v>
      </c>
      <c r="J543" s="93">
        <v>60000.0</v>
      </c>
      <c r="K543" s="96">
        <f t="shared" si="4"/>
        <v>0</v>
      </c>
      <c r="L543" s="97"/>
      <c r="M543" s="98"/>
    </row>
    <row r="544" ht="22.5" customHeight="1">
      <c r="A544" s="101">
        <v>1010565.0</v>
      </c>
      <c r="B544" s="89">
        <v>45755.0</v>
      </c>
      <c r="C544" s="90" t="s">
        <v>44</v>
      </c>
      <c r="D544" s="91" t="s">
        <v>45</v>
      </c>
      <c r="E544" s="91" t="s">
        <v>518</v>
      </c>
      <c r="F544" s="92" t="s">
        <v>47</v>
      </c>
      <c r="G544" s="93">
        <v>70000.0</v>
      </c>
      <c r="H544" s="94">
        <v>0.0</v>
      </c>
      <c r="I544" s="95">
        <f t="shared" si="3"/>
        <v>70000</v>
      </c>
      <c r="J544" s="93">
        <v>70000.0</v>
      </c>
      <c r="K544" s="96">
        <f t="shared" si="4"/>
        <v>0</v>
      </c>
      <c r="L544" s="97"/>
      <c r="M544" s="98"/>
    </row>
    <row r="545" ht="22.5" customHeight="1">
      <c r="A545" s="101">
        <v>1010566.0</v>
      </c>
      <c r="B545" s="89">
        <v>45755.0</v>
      </c>
      <c r="C545" s="90" t="s">
        <v>44</v>
      </c>
      <c r="D545" s="91" t="s">
        <v>45</v>
      </c>
      <c r="E545" s="91" t="s">
        <v>69</v>
      </c>
      <c r="F545" s="92" t="s">
        <v>47</v>
      </c>
      <c r="G545" s="93">
        <v>35000.0</v>
      </c>
      <c r="H545" s="94">
        <v>0.0</v>
      </c>
      <c r="I545" s="95">
        <f t="shared" si="3"/>
        <v>35000</v>
      </c>
      <c r="J545" s="93">
        <v>35000.0</v>
      </c>
      <c r="K545" s="96">
        <f t="shared" si="4"/>
        <v>0</v>
      </c>
      <c r="L545" s="97"/>
      <c r="M545" s="98"/>
    </row>
    <row r="546" ht="22.5" customHeight="1">
      <c r="A546" s="101">
        <v>1010566.0</v>
      </c>
      <c r="B546" s="89">
        <v>45755.0</v>
      </c>
      <c r="C546" s="90" t="s">
        <v>44</v>
      </c>
      <c r="D546" s="91" t="s">
        <v>45</v>
      </c>
      <c r="E546" s="91" t="s">
        <v>69</v>
      </c>
      <c r="F546" s="92" t="s">
        <v>47</v>
      </c>
      <c r="G546" s="93">
        <v>35000.0</v>
      </c>
      <c r="H546" s="94">
        <v>0.0</v>
      </c>
      <c r="I546" s="95">
        <f t="shared" si="3"/>
        <v>35000</v>
      </c>
      <c r="J546" s="93">
        <v>35000.0</v>
      </c>
      <c r="K546" s="96">
        <f t="shared" si="4"/>
        <v>0</v>
      </c>
      <c r="L546" s="97"/>
      <c r="M546" s="98"/>
    </row>
    <row r="547" ht="22.5" customHeight="1">
      <c r="A547" s="101">
        <v>1010565.0</v>
      </c>
      <c r="B547" s="89">
        <v>45755.0</v>
      </c>
      <c r="C547" s="90" t="s">
        <v>44</v>
      </c>
      <c r="D547" s="91" t="s">
        <v>45</v>
      </c>
      <c r="E547" s="91" t="s">
        <v>128</v>
      </c>
      <c r="F547" s="92" t="s">
        <v>47</v>
      </c>
      <c r="G547" s="93">
        <v>5000.0</v>
      </c>
      <c r="H547" s="94">
        <v>0.0</v>
      </c>
      <c r="I547" s="95">
        <f t="shared" si="3"/>
        <v>5000</v>
      </c>
      <c r="J547" s="93">
        <v>5000.0</v>
      </c>
      <c r="K547" s="96">
        <f t="shared" si="4"/>
        <v>0</v>
      </c>
      <c r="L547" s="97"/>
      <c r="M547" s="98"/>
    </row>
    <row r="548" ht="22.5" customHeight="1">
      <c r="A548" s="101">
        <v>1010564.0</v>
      </c>
      <c r="B548" s="89">
        <v>45755.0</v>
      </c>
      <c r="C548" s="90" t="s">
        <v>44</v>
      </c>
      <c r="D548" s="91" t="s">
        <v>45</v>
      </c>
      <c r="E548" s="91" t="s">
        <v>600</v>
      </c>
      <c r="F548" s="92" t="s">
        <v>47</v>
      </c>
      <c r="G548" s="93">
        <v>80000.0</v>
      </c>
      <c r="H548" s="94">
        <v>0.0</v>
      </c>
      <c r="I548" s="95">
        <f t="shared" si="3"/>
        <v>80000</v>
      </c>
      <c r="J548" s="93">
        <v>80000.0</v>
      </c>
      <c r="K548" s="96">
        <f t="shared" si="4"/>
        <v>0</v>
      </c>
      <c r="L548" s="97"/>
      <c r="M548" s="98"/>
    </row>
    <row r="549" ht="22.5" customHeight="1">
      <c r="A549" s="101">
        <v>622.0</v>
      </c>
      <c r="B549" s="89">
        <v>45755.0</v>
      </c>
      <c r="C549" s="90" t="s">
        <v>44</v>
      </c>
      <c r="D549" s="91" t="s">
        <v>45</v>
      </c>
      <c r="E549" s="91" t="s">
        <v>67</v>
      </c>
      <c r="F549" s="92" t="s">
        <v>47</v>
      </c>
      <c r="G549" s="93">
        <v>175000.0</v>
      </c>
      <c r="H549" s="94">
        <v>0.0</v>
      </c>
      <c r="I549" s="95">
        <f t="shared" si="3"/>
        <v>175000</v>
      </c>
      <c r="J549" s="93">
        <v>175000.0</v>
      </c>
      <c r="K549" s="96">
        <f t="shared" si="4"/>
        <v>0</v>
      </c>
      <c r="L549" s="97"/>
      <c r="M549" s="98"/>
    </row>
    <row r="550" ht="22.5" customHeight="1">
      <c r="A550" s="101">
        <v>622.0</v>
      </c>
      <c r="B550" s="89">
        <v>45755.0</v>
      </c>
      <c r="C550" s="90" t="s">
        <v>44</v>
      </c>
      <c r="D550" s="91" t="s">
        <v>45</v>
      </c>
      <c r="E550" s="91" t="s">
        <v>46</v>
      </c>
      <c r="F550" s="92" t="s">
        <v>47</v>
      </c>
      <c r="G550" s="93">
        <v>60000.0</v>
      </c>
      <c r="H550" s="94">
        <v>0.0</v>
      </c>
      <c r="I550" s="95">
        <f t="shared" si="3"/>
        <v>60000</v>
      </c>
      <c r="J550" s="93">
        <v>60000.0</v>
      </c>
      <c r="K550" s="96">
        <f t="shared" si="4"/>
        <v>0</v>
      </c>
      <c r="L550" s="97"/>
      <c r="M550" s="98"/>
    </row>
    <row r="551" ht="22.5" customHeight="1">
      <c r="A551" s="101">
        <v>514.0</v>
      </c>
      <c r="B551" s="89">
        <v>45755.0</v>
      </c>
      <c r="C551" s="90" t="s">
        <v>44</v>
      </c>
      <c r="D551" s="91" t="s">
        <v>432</v>
      </c>
      <c r="E551" s="91" t="s">
        <v>601</v>
      </c>
      <c r="F551" s="92" t="s">
        <v>47</v>
      </c>
      <c r="G551" s="93">
        <v>600000.0</v>
      </c>
      <c r="H551" s="94">
        <v>0.0</v>
      </c>
      <c r="I551" s="95">
        <f t="shared" si="3"/>
        <v>600000</v>
      </c>
      <c r="J551" s="93">
        <v>600000.0</v>
      </c>
      <c r="K551" s="96">
        <f t="shared" si="4"/>
        <v>0</v>
      </c>
      <c r="L551" s="97"/>
      <c r="M551" s="98"/>
    </row>
    <row r="552" ht="22.5" customHeight="1">
      <c r="A552" s="101">
        <v>903.0</v>
      </c>
      <c r="B552" s="89">
        <v>45756.0</v>
      </c>
      <c r="C552" s="105" t="s">
        <v>96</v>
      </c>
      <c r="D552" s="91" t="s">
        <v>45</v>
      </c>
      <c r="E552" s="91" t="s">
        <v>602</v>
      </c>
      <c r="F552" s="92" t="s">
        <v>47</v>
      </c>
      <c r="G552" s="93">
        <v>514000.0</v>
      </c>
      <c r="H552" s="94">
        <v>0.0</v>
      </c>
      <c r="I552" s="95">
        <f t="shared" si="3"/>
        <v>514000</v>
      </c>
      <c r="J552" s="93">
        <v>450000.0</v>
      </c>
      <c r="K552" s="104">
        <f t="shared" si="4"/>
        <v>64000</v>
      </c>
      <c r="L552" s="97"/>
      <c r="M552" s="98"/>
    </row>
    <row r="553" ht="22.5" customHeight="1">
      <c r="A553" s="101">
        <v>614.0</v>
      </c>
      <c r="B553" s="89">
        <v>45756.0</v>
      </c>
      <c r="C553" s="90" t="s">
        <v>44</v>
      </c>
      <c r="D553" s="91" t="s">
        <v>45</v>
      </c>
      <c r="E553" s="91" t="s">
        <v>603</v>
      </c>
      <c r="F553" s="92" t="s">
        <v>47</v>
      </c>
      <c r="G553" s="93">
        <v>60000.0</v>
      </c>
      <c r="H553" s="94">
        <v>0.0</v>
      </c>
      <c r="I553" s="95">
        <f t="shared" si="3"/>
        <v>60000</v>
      </c>
      <c r="J553" s="93">
        <v>60000.0</v>
      </c>
      <c r="K553" s="96">
        <f t="shared" si="4"/>
        <v>0</v>
      </c>
      <c r="L553" s="97"/>
      <c r="M553" s="98"/>
    </row>
    <row r="554" ht="22.5" customHeight="1">
      <c r="A554" s="101">
        <v>626.0</v>
      </c>
      <c r="B554" s="89">
        <v>45756.0</v>
      </c>
      <c r="C554" s="90" t="s">
        <v>44</v>
      </c>
      <c r="D554" s="91" t="s">
        <v>45</v>
      </c>
      <c r="E554" s="91" t="s">
        <v>251</v>
      </c>
      <c r="F554" s="92" t="s">
        <v>47</v>
      </c>
      <c r="G554" s="93">
        <v>75000.0</v>
      </c>
      <c r="H554" s="94">
        <v>0.0</v>
      </c>
      <c r="I554" s="95">
        <f t="shared" si="3"/>
        <v>75000</v>
      </c>
      <c r="J554" s="93">
        <v>75000.0</v>
      </c>
      <c r="K554" s="96">
        <f t="shared" si="4"/>
        <v>0</v>
      </c>
      <c r="L554" s="97"/>
      <c r="M554" s="98"/>
    </row>
    <row r="555" ht="22.5" customHeight="1">
      <c r="A555" s="88" t="s">
        <v>604</v>
      </c>
      <c r="B555" s="89">
        <v>45756.0</v>
      </c>
      <c r="C555" s="90" t="s">
        <v>44</v>
      </c>
      <c r="D555" s="91" t="s">
        <v>45</v>
      </c>
      <c r="E555" s="91" t="s">
        <v>597</v>
      </c>
      <c r="F555" s="92" t="s">
        <v>47</v>
      </c>
      <c r="G555" s="93">
        <v>10000.0</v>
      </c>
      <c r="H555" s="94">
        <v>0.0</v>
      </c>
      <c r="I555" s="95">
        <f t="shared" si="3"/>
        <v>10000</v>
      </c>
      <c r="J555" s="93">
        <v>10000.0</v>
      </c>
      <c r="K555" s="96">
        <f t="shared" si="4"/>
        <v>0</v>
      </c>
      <c r="L555" s="97"/>
      <c r="M555" s="98"/>
    </row>
    <row r="556" ht="22.5" customHeight="1">
      <c r="A556" s="101">
        <v>1010574.0</v>
      </c>
      <c r="B556" s="89">
        <v>45756.0</v>
      </c>
      <c r="C556" s="90" t="s">
        <v>44</v>
      </c>
      <c r="D556" s="91" t="s">
        <v>45</v>
      </c>
      <c r="E556" s="91" t="s">
        <v>46</v>
      </c>
      <c r="F556" s="92" t="s">
        <v>47</v>
      </c>
      <c r="G556" s="93">
        <v>60000.0</v>
      </c>
      <c r="H556" s="94">
        <v>0.0</v>
      </c>
      <c r="I556" s="95">
        <f t="shared" si="3"/>
        <v>60000</v>
      </c>
      <c r="J556" s="93">
        <v>60000.0</v>
      </c>
      <c r="K556" s="96">
        <f t="shared" si="4"/>
        <v>0</v>
      </c>
      <c r="L556" s="97"/>
      <c r="M556" s="98"/>
    </row>
    <row r="557" ht="22.5" customHeight="1">
      <c r="A557" s="88" t="s">
        <v>605</v>
      </c>
      <c r="B557" s="89">
        <v>45756.0</v>
      </c>
      <c r="C557" s="90" t="s">
        <v>44</v>
      </c>
      <c r="D557" s="91" t="s">
        <v>45</v>
      </c>
      <c r="E557" s="91" t="s">
        <v>606</v>
      </c>
      <c r="F557" s="92" t="s">
        <v>47</v>
      </c>
      <c r="G557" s="93">
        <v>80000.0</v>
      </c>
      <c r="H557" s="94">
        <v>0.0</v>
      </c>
      <c r="I557" s="95">
        <f t="shared" si="3"/>
        <v>80000</v>
      </c>
      <c r="J557" s="93">
        <v>80000.0</v>
      </c>
      <c r="K557" s="96">
        <f t="shared" si="4"/>
        <v>0</v>
      </c>
      <c r="L557" s="97"/>
      <c r="M557" s="98"/>
    </row>
    <row r="558" ht="22.5" customHeight="1">
      <c r="A558" s="101">
        <v>631.0</v>
      </c>
      <c r="B558" s="89">
        <v>45757.0</v>
      </c>
      <c r="C558" s="90" t="s">
        <v>44</v>
      </c>
      <c r="D558" s="91" t="s">
        <v>57</v>
      </c>
      <c r="E558" s="91" t="s">
        <v>559</v>
      </c>
      <c r="F558" s="92" t="s">
        <v>47</v>
      </c>
      <c r="G558" s="93">
        <v>15000.0</v>
      </c>
      <c r="H558" s="94">
        <v>0.0</v>
      </c>
      <c r="I558" s="95">
        <f t="shared" si="3"/>
        <v>15000</v>
      </c>
      <c r="J558" s="93">
        <v>15000.0</v>
      </c>
      <c r="K558" s="96">
        <f t="shared" si="4"/>
        <v>0</v>
      </c>
      <c r="L558" s="97"/>
      <c r="M558" s="98"/>
    </row>
    <row r="559" ht="22.5" customHeight="1">
      <c r="A559" s="101">
        <v>631.0</v>
      </c>
      <c r="B559" s="89">
        <v>45757.0</v>
      </c>
      <c r="C559" s="90" t="s">
        <v>44</v>
      </c>
      <c r="D559" s="91" t="s">
        <v>57</v>
      </c>
      <c r="E559" s="91" t="s">
        <v>607</v>
      </c>
      <c r="F559" s="92" t="s">
        <v>47</v>
      </c>
      <c r="G559" s="93">
        <v>135000.0</v>
      </c>
      <c r="H559" s="94">
        <v>0.0</v>
      </c>
      <c r="I559" s="95">
        <f t="shared" si="3"/>
        <v>135000</v>
      </c>
      <c r="J559" s="93">
        <v>135000.0</v>
      </c>
      <c r="K559" s="96">
        <f t="shared" si="4"/>
        <v>0</v>
      </c>
      <c r="L559" s="97"/>
      <c r="M559" s="98"/>
    </row>
    <row r="560" ht="22.5" customHeight="1">
      <c r="A560" s="101">
        <v>631.0</v>
      </c>
      <c r="B560" s="89">
        <v>45757.0</v>
      </c>
      <c r="C560" s="90" t="s">
        <v>44</v>
      </c>
      <c r="D560" s="91" t="s">
        <v>57</v>
      </c>
      <c r="E560" s="91" t="s">
        <v>387</v>
      </c>
      <c r="F560" s="92" t="s">
        <v>47</v>
      </c>
      <c r="G560" s="93">
        <v>15000.0</v>
      </c>
      <c r="H560" s="94">
        <v>0.0</v>
      </c>
      <c r="I560" s="95">
        <f t="shared" si="3"/>
        <v>15000</v>
      </c>
      <c r="J560" s="93">
        <v>15000.0</v>
      </c>
      <c r="K560" s="96">
        <f t="shared" si="4"/>
        <v>0</v>
      </c>
      <c r="L560" s="97"/>
      <c r="M560" s="98"/>
    </row>
    <row r="561" ht="22.5" customHeight="1">
      <c r="A561" s="101">
        <v>630.0</v>
      </c>
      <c r="B561" s="89">
        <v>45757.0</v>
      </c>
      <c r="C561" s="90" t="s">
        <v>44</v>
      </c>
      <c r="D561" s="91" t="s">
        <v>224</v>
      </c>
      <c r="E561" s="91" t="s">
        <v>608</v>
      </c>
      <c r="F561" s="92" t="s">
        <v>47</v>
      </c>
      <c r="G561" s="93">
        <v>155000.0</v>
      </c>
      <c r="H561" s="94">
        <v>0.0</v>
      </c>
      <c r="I561" s="95">
        <f t="shared" si="3"/>
        <v>155000</v>
      </c>
      <c r="J561" s="93">
        <v>155000.0</v>
      </c>
      <c r="K561" s="96">
        <f t="shared" si="4"/>
        <v>0</v>
      </c>
      <c r="L561" s="97"/>
      <c r="M561" s="98"/>
    </row>
    <row r="562" ht="22.5" customHeight="1">
      <c r="A562" s="101">
        <v>791.0</v>
      </c>
      <c r="B562" s="89">
        <v>45757.0</v>
      </c>
      <c r="C562" s="90" t="s">
        <v>44</v>
      </c>
      <c r="D562" s="91" t="s">
        <v>45</v>
      </c>
      <c r="E562" s="91" t="s">
        <v>92</v>
      </c>
      <c r="F562" s="92" t="s">
        <v>47</v>
      </c>
      <c r="G562" s="93">
        <v>100000.0</v>
      </c>
      <c r="H562" s="94">
        <v>0.0</v>
      </c>
      <c r="I562" s="95">
        <f t="shared" si="3"/>
        <v>100000</v>
      </c>
      <c r="J562" s="93">
        <v>100000.0</v>
      </c>
      <c r="K562" s="96">
        <f t="shared" si="4"/>
        <v>0</v>
      </c>
      <c r="L562" s="97"/>
      <c r="M562" s="98"/>
    </row>
    <row r="563" ht="22.5" customHeight="1">
      <c r="A563" s="88" t="s">
        <v>609</v>
      </c>
      <c r="B563" s="89">
        <v>45757.0</v>
      </c>
      <c r="C563" s="90" t="s">
        <v>44</v>
      </c>
      <c r="D563" s="91" t="s">
        <v>45</v>
      </c>
      <c r="E563" s="91" t="s">
        <v>92</v>
      </c>
      <c r="F563" s="92" t="s">
        <v>47</v>
      </c>
      <c r="G563" s="93">
        <v>125000.0</v>
      </c>
      <c r="H563" s="94">
        <v>0.0</v>
      </c>
      <c r="I563" s="95">
        <f t="shared" si="3"/>
        <v>125000</v>
      </c>
      <c r="J563" s="93">
        <v>125000.0</v>
      </c>
      <c r="K563" s="96">
        <f t="shared" si="4"/>
        <v>0</v>
      </c>
      <c r="L563" s="97"/>
      <c r="M563" s="98"/>
    </row>
    <row r="564" ht="22.5" customHeight="1">
      <c r="A564" s="101">
        <v>851.0</v>
      </c>
      <c r="B564" s="89">
        <v>45758.0</v>
      </c>
      <c r="C564" s="90" t="s">
        <v>44</v>
      </c>
      <c r="D564" s="91" t="s">
        <v>432</v>
      </c>
      <c r="E564" s="91" t="s">
        <v>610</v>
      </c>
      <c r="F564" s="92" t="s">
        <v>47</v>
      </c>
      <c r="G564" s="93">
        <v>70000.0</v>
      </c>
      <c r="H564" s="94">
        <v>0.0</v>
      </c>
      <c r="I564" s="95">
        <f t="shared" si="3"/>
        <v>70000</v>
      </c>
      <c r="J564" s="93">
        <v>70000.0</v>
      </c>
      <c r="K564" s="96">
        <f t="shared" si="4"/>
        <v>0</v>
      </c>
      <c r="L564" s="97"/>
      <c r="M564" s="98"/>
    </row>
    <row r="565" ht="22.5" customHeight="1">
      <c r="A565" s="101">
        <v>633.0</v>
      </c>
      <c r="B565" s="89">
        <v>45759.0</v>
      </c>
      <c r="C565" s="90" t="s">
        <v>44</v>
      </c>
      <c r="D565" s="91" t="s">
        <v>57</v>
      </c>
      <c r="E565" s="91" t="s">
        <v>387</v>
      </c>
      <c r="F565" s="92" t="s">
        <v>47</v>
      </c>
      <c r="G565" s="93">
        <v>15000.0</v>
      </c>
      <c r="H565" s="94">
        <v>0.0</v>
      </c>
      <c r="I565" s="95">
        <f t="shared" si="3"/>
        <v>15000</v>
      </c>
      <c r="J565" s="93">
        <v>15000.0</v>
      </c>
      <c r="K565" s="96">
        <f t="shared" si="4"/>
        <v>0</v>
      </c>
      <c r="L565" s="97"/>
      <c r="M565" s="98"/>
    </row>
    <row r="566" ht="22.5" customHeight="1">
      <c r="A566" s="101">
        <v>521.0</v>
      </c>
      <c r="B566" s="89">
        <v>45760.0</v>
      </c>
      <c r="C566" s="90" t="s">
        <v>44</v>
      </c>
      <c r="D566" s="91" t="s">
        <v>160</v>
      </c>
      <c r="E566" s="91" t="s">
        <v>412</v>
      </c>
      <c r="F566" s="92" t="s">
        <v>47</v>
      </c>
      <c r="G566" s="93">
        <v>8000.0</v>
      </c>
      <c r="H566" s="94">
        <v>0.0</v>
      </c>
      <c r="I566" s="95">
        <f t="shared" si="3"/>
        <v>8000</v>
      </c>
      <c r="J566" s="93">
        <v>8000.0</v>
      </c>
      <c r="K566" s="96">
        <f t="shared" si="4"/>
        <v>0</v>
      </c>
      <c r="L566" s="97"/>
      <c r="M566" s="98"/>
    </row>
    <row r="567" ht="22.5" customHeight="1">
      <c r="A567" s="101">
        <v>634.0</v>
      </c>
      <c r="B567" s="89">
        <v>45760.0</v>
      </c>
      <c r="C567" s="90" t="s">
        <v>44</v>
      </c>
      <c r="D567" s="91" t="s">
        <v>45</v>
      </c>
      <c r="E567" s="91" t="s">
        <v>387</v>
      </c>
      <c r="F567" s="92" t="s">
        <v>47</v>
      </c>
      <c r="G567" s="93">
        <v>5000.0</v>
      </c>
      <c r="H567" s="94">
        <v>0.0</v>
      </c>
      <c r="I567" s="95">
        <f t="shared" si="3"/>
        <v>5000</v>
      </c>
      <c r="J567" s="93">
        <v>5000.0</v>
      </c>
      <c r="K567" s="96">
        <f t="shared" si="4"/>
        <v>0</v>
      </c>
      <c r="L567" s="97"/>
      <c r="M567" s="98"/>
    </row>
    <row r="568" ht="22.5" customHeight="1">
      <c r="A568" s="101">
        <v>634.0</v>
      </c>
      <c r="B568" s="89">
        <v>45760.0</v>
      </c>
      <c r="C568" s="90" t="s">
        <v>44</v>
      </c>
      <c r="D568" s="91" t="s">
        <v>45</v>
      </c>
      <c r="E568" s="91" t="s">
        <v>611</v>
      </c>
      <c r="F568" s="92" t="s">
        <v>47</v>
      </c>
      <c r="G568" s="93">
        <v>65000.0</v>
      </c>
      <c r="H568" s="94">
        <v>0.0</v>
      </c>
      <c r="I568" s="95">
        <f t="shared" si="3"/>
        <v>65000</v>
      </c>
      <c r="J568" s="93">
        <v>65000.0</v>
      </c>
      <c r="K568" s="96">
        <f t="shared" si="4"/>
        <v>0</v>
      </c>
      <c r="L568" s="97"/>
      <c r="M568" s="98"/>
    </row>
    <row r="569" ht="22.5" customHeight="1">
      <c r="A569" s="101">
        <v>1010573.0</v>
      </c>
      <c r="B569" s="89">
        <v>45760.0</v>
      </c>
      <c r="C569" s="90" t="s">
        <v>44</v>
      </c>
      <c r="D569" s="91" t="s">
        <v>45</v>
      </c>
      <c r="E569" s="91" t="s">
        <v>46</v>
      </c>
      <c r="F569" s="92" t="s">
        <v>47</v>
      </c>
      <c r="G569" s="93">
        <v>125000.0</v>
      </c>
      <c r="H569" s="94">
        <v>0.0</v>
      </c>
      <c r="I569" s="95">
        <f t="shared" si="3"/>
        <v>125000</v>
      </c>
      <c r="J569" s="93">
        <v>125000.0</v>
      </c>
      <c r="K569" s="96">
        <f t="shared" si="4"/>
        <v>0</v>
      </c>
      <c r="L569" s="97"/>
      <c r="M569" s="98"/>
    </row>
    <row r="570" ht="22.5" customHeight="1">
      <c r="A570" s="101">
        <v>1010573.0</v>
      </c>
      <c r="B570" s="89">
        <v>45760.0</v>
      </c>
      <c r="C570" s="90" t="s">
        <v>44</v>
      </c>
      <c r="D570" s="91" t="s">
        <v>45</v>
      </c>
      <c r="E570" s="91" t="s">
        <v>612</v>
      </c>
      <c r="F570" s="92" t="s">
        <v>47</v>
      </c>
      <c r="G570" s="93">
        <v>75000.0</v>
      </c>
      <c r="H570" s="94">
        <v>0.0</v>
      </c>
      <c r="I570" s="95">
        <f t="shared" si="3"/>
        <v>75000</v>
      </c>
      <c r="J570" s="93">
        <v>75000.0</v>
      </c>
      <c r="K570" s="96">
        <f t="shared" si="4"/>
        <v>0</v>
      </c>
      <c r="L570" s="97"/>
      <c r="M570" s="98"/>
    </row>
    <row r="571" ht="22.5" customHeight="1">
      <c r="A571" s="101">
        <v>1010651.0</v>
      </c>
      <c r="B571" s="89">
        <v>45760.0</v>
      </c>
      <c r="C571" s="90" t="s">
        <v>44</v>
      </c>
      <c r="D571" s="91" t="s">
        <v>45</v>
      </c>
      <c r="E571" s="91" t="s">
        <v>613</v>
      </c>
      <c r="F571" s="92" t="s">
        <v>47</v>
      </c>
      <c r="G571" s="93">
        <v>155000.0</v>
      </c>
      <c r="H571" s="94">
        <v>0.0</v>
      </c>
      <c r="I571" s="95">
        <f t="shared" si="3"/>
        <v>155000</v>
      </c>
      <c r="J571" s="93">
        <v>155000.0</v>
      </c>
      <c r="K571" s="96">
        <f t="shared" si="4"/>
        <v>0</v>
      </c>
      <c r="L571" s="97"/>
      <c r="M571" s="98"/>
    </row>
    <row r="572" ht="22.5" customHeight="1">
      <c r="A572" s="101">
        <v>1010652.0</v>
      </c>
      <c r="B572" s="89">
        <v>45760.0</v>
      </c>
      <c r="C572" s="90" t="s">
        <v>44</v>
      </c>
      <c r="D572" s="91" t="s">
        <v>45</v>
      </c>
      <c r="E572" s="91" t="s">
        <v>128</v>
      </c>
      <c r="F572" s="92" t="s">
        <v>47</v>
      </c>
      <c r="G572" s="93">
        <v>40000.0</v>
      </c>
      <c r="H572" s="94">
        <v>0.0</v>
      </c>
      <c r="I572" s="95">
        <f t="shared" si="3"/>
        <v>40000</v>
      </c>
      <c r="J572" s="93">
        <v>40000.0</v>
      </c>
      <c r="K572" s="96">
        <f t="shared" si="4"/>
        <v>0</v>
      </c>
      <c r="L572" s="97"/>
      <c r="M572" s="98"/>
    </row>
    <row r="573" ht="22.5" customHeight="1">
      <c r="A573" s="101">
        <v>786.0</v>
      </c>
      <c r="B573" s="89">
        <v>45760.0</v>
      </c>
      <c r="C573" s="90" t="s">
        <v>44</v>
      </c>
      <c r="D573" s="91" t="s">
        <v>45</v>
      </c>
      <c r="E573" s="91" t="s">
        <v>588</v>
      </c>
      <c r="F573" s="92" t="s">
        <v>47</v>
      </c>
      <c r="G573" s="93">
        <v>60000.0</v>
      </c>
      <c r="H573" s="94">
        <v>0.0</v>
      </c>
      <c r="I573" s="95">
        <f t="shared" si="3"/>
        <v>60000</v>
      </c>
      <c r="J573" s="93">
        <v>60000.0</v>
      </c>
      <c r="K573" s="96">
        <f t="shared" si="4"/>
        <v>0</v>
      </c>
      <c r="L573" s="97"/>
      <c r="M573" s="98"/>
    </row>
    <row r="574" ht="22.5" customHeight="1">
      <c r="A574" s="101">
        <v>635.0</v>
      </c>
      <c r="B574" s="89">
        <v>45761.0</v>
      </c>
      <c r="C574" s="90" t="s">
        <v>44</v>
      </c>
      <c r="D574" s="91" t="s">
        <v>57</v>
      </c>
      <c r="E574" s="91" t="s">
        <v>614</v>
      </c>
      <c r="F574" s="92" t="s">
        <v>47</v>
      </c>
      <c r="G574" s="93">
        <v>7000.0</v>
      </c>
      <c r="H574" s="94">
        <v>0.0</v>
      </c>
      <c r="I574" s="95">
        <f t="shared" si="3"/>
        <v>7000</v>
      </c>
      <c r="J574" s="93">
        <v>7000.0</v>
      </c>
      <c r="K574" s="96">
        <f t="shared" si="4"/>
        <v>0</v>
      </c>
      <c r="L574" s="97"/>
      <c r="M574" s="98"/>
    </row>
    <row r="575" ht="22.5" customHeight="1">
      <c r="A575" s="101">
        <v>637.0</v>
      </c>
      <c r="B575" s="89">
        <v>45761.0</v>
      </c>
      <c r="C575" s="90" t="s">
        <v>44</v>
      </c>
      <c r="D575" s="91" t="s">
        <v>57</v>
      </c>
      <c r="E575" s="91" t="s">
        <v>615</v>
      </c>
      <c r="F575" s="92" t="s">
        <v>47</v>
      </c>
      <c r="G575" s="93">
        <v>40000.0</v>
      </c>
      <c r="H575" s="94">
        <v>0.0</v>
      </c>
      <c r="I575" s="95">
        <f t="shared" si="3"/>
        <v>40000</v>
      </c>
      <c r="J575" s="93">
        <v>40000.0</v>
      </c>
      <c r="K575" s="96">
        <f t="shared" si="4"/>
        <v>0</v>
      </c>
      <c r="L575" s="97"/>
      <c r="M575" s="98"/>
    </row>
    <row r="576" ht="22.5" customHeight="1">
      <c r="A576" s="101">
        <v>638.0</v>
      </c>
      <c r="B576" s="89">
        <v>45761.0</v>
      </c>
      <c r="C576" s="90" t="s">
        <v>44</v>
      </c>
      <c r="D576" s="91" t="s">
        <v>57</v>
      </c>
      <c r="E576" s="91" t="s">
        <v>616</v>
      </c>
      <c r="F576" s="92" t="s">
        <v>47</v>
      </c>
      <c r="G576" s="93">
        <v>6000.0</v>
      </c>
      <c r="H576" s="94">
        <v>0.0</v>
      </c>
      <c r="I576" s="95">
        <f t="shared" si="3"/>
        <v>6000</v>
      </c>
      <c r="J576" s="93">
        <v>6000.0</v>
      </c>
      <c r="K576" s="96">
        <f t="shared" si="4"/>
        <v>0</v>
      </c>
      <c r="L576" s="97"/>
      <c r="M576" s="98"/>
    </row>
    <row r="577" ht="22.5" customHeight="1">
      <c r="A577" s="101">
        <v>853.0</v>
      </c>
      <c r="B577" s="89">
        <v>45761.0</v>
      </c>
      <c r="C577" s="90" t="s">
        <v>44</v>
      </c>
      <c r="D577" s="91" t="s">
        <v>432</v>
      </c>
      <c r="E577" s="91" t="s">
        <v>617</v>
      </c>
      <c r="F577" s="92" t="s">
        <v>47</v>
      </c>
      <c r="G577" s="93">
        <v>7000.0</v>
      </c>
      <c r="H577" s="94">
        <v>0.0</v>
      </c>
      <c r="I577" s="95">
        <f t="shared" si="3"/>
        <v>7000</v>
      </c>
      <c r="J577" s="93">
        <v>7000.0</v>
      </c>
      <c r="K577" s="96">
        <f t="shared" si="4"/>
        <v>0</v>
      </c>
      <c r="L577" s="97"/>
      <c r="M577" s="98"/>
    </row>
    <row r="578" ht="22.5" customHeight="1">
      <c r="A578" s="101">
        <v>636.0</v>
      </c>
      <c r="B578" s="89">
        <v>45761.0</v>
      </c>
      <c r="C578" s="90" t="s">
        <v>44</v>
      </c>
      <c r="D578" s="91" t="s">
        <v>45</v>
      </c>
      <c r="E578" s="91" t="s">
        <v>121</v>
      </c>
      <c r="F578" s="92" t="s">
        <v>47</v>
      </c>
      <c r="G578" s="93">
        <v>30000.0</v>
      </c>
      <c r="H578" s="94">
        <v>0.0</v>
      </c>
      <c r="I578" s="95">
        <f t="shared" si="3"/>
        <v>30000</v>
      </c>
      <c r="J578" s="93">
        <v>30000.0</v>
      </c>
      <c r="K578" s="96">
        <f t="shared" si="4"/>
        <v>0</v>
      </c>
      <c r="L578" s="97"/>
      <c r="M578" s="98"/>
    </row>
    <row r="579" ht="22.5" customHeight="1">
      <c r="A579" s="101">
        <v>1010573.0</v>
      </c>
      <c r="B579" s="89">
        <v>45761.0</v>
      </c>
      <c r="C579" s="90" t="s">
        <v>44</v>
      </c>
      <c r="D579" s="91" t="s">
        <v>45</v>
      </c>
      <c r="E579" s="91" t="s">
        <v>618</v>
      </c>
      <c r="F579" s="92" t="s">
        <v>47</v>
      </c>
      <c r="G579" s="93">
        <v>175000.0</v>
      </c>
      <c r="H579" s="94">
        <v>0.0</v>
      </c>
      <c r="I579" s="95">
        <f t="shared" si="3"/>
        <v>175000</v>
      </c>
      <c r="J579" s="93">
        <v>175000.0</v>
      </c>
      <c r="K579" s="96">
        <f t="shared" si="4"/>
        <v>0</v>
      </c>
      <c r="L579" s="97"/>
      <c r="M579" s="98"/>
    </row>
    <row r="580" ht="22.5" customHeight="1">
      <c r="A580" s="101">
        <v>1010577.0</v>
      </c>
      <c r="B580" s="89">
        <v>45761.0</v>
      </c>
      <c r="C580" s="90" t="s">
        <v>44</v>
      </c>
      <c r="D580" s="91" t="s">
        <v>45</v>
      </c>
      <c r="E580" s="91" t="s">
        <v>619</v>
      </c>
      <c r="F580" s="92" t="s">
        <v>47</v>
      </c>
      <c r="G580" s="93">
        <v>50000.0</v>
      </c>
      <c r="H580" s="94">
        <v>0.0</v>
      </c>
      <c r="I580" s="95">
        <f t="shared" si="3"/>
        <v>50000</v>
      </c>
      <c r="J580" s="93">
        <v>50000.0</v>
      </c>
      <c r="K580" s="96">
        <f t="shared" si="4"/>
        <v>0</v>
      </c>
      <c r="L580" s="97"/>
      <c r="M580" s="98"/>
    </row>
    <row r="581" ht="22.5" customHeight="1">
      <c r="A581" s="101">
        <v>1010576.0</v>
      </c>
      <c r="B581" s="89">
        <v>45761.0</v>
      </c>
      <c r="C581" s="90" t="s">
        <v>44</v>
      </c>
      <c r="D581" s="91" t="s">
        <v>45</v>
      </c>
      <c r="E581" s="91" t="s">
        <v>620</v>
      </c>
      <c r="F581" s="92" t="s">
        <v>47</v>
      </c>
      <c r="G581" s="93">
        <v>100000.0</v>
      </c>
      <c r="H581" s="94">
        <v>0.0</v>
      </c>
      <c r="I581" s="95">
        <f t="shared" si="3"/>
        <v>100000</v>
      </c>
      <c r="J581" s="93">
        <v>100000.0</v>
      </c>
      <c r="K581" s="96">
        <f t="shared" si="4"/>
        <v>0</v>
      </c>
      <c r="L581" s="97"/>
      <c r="M581" s="98"/>
    </row>
    <row r="582" ht="22.5" customHeight="1">
      <c r="A582" s="101">
        <v>1010563.0</v>
      </c>
      <c r="B582" s="89">
        <v>45761.0</v>
      </c>
      <c r="C582" s="90" t="s">
        <v>44</v>
      </c>
      <c r="D582" s="91" t="s">
        <v>45</v>
      </c>
      <c r="E582" s="91" t="s">
        <v>194</v>
      </c>
      <c r="F582" s="92" t="s">
        <v>47</v>
      </c>
      <c r="G582" s="93">
        <v>90000.0</v>
      </c>
      <c r="H582" s="94">
        <v>0.0</v>
      </c>
      <c r="I582" s="95">
        <f t="shared" si="3"/>
        <v>90000</v>
      </c>
      <c r="J582" s="93">
        <v>90000.0</v>
      </c>
      <c r="K582" s="96">
        <f t="shared" si="4"/>
        <v>0</v>
      </c>
      <c r="L582" s="97"/>
      <c r="M582" s="98"/>
    </row>
    <row r="583" ht="22.5" customHeight="1">
      <c r="A583" s="88" t="s">
        <v>621</v>
      </c>
      <c r="B583" s="89">
        <v>45762.0</v>
      </c>
      <c r="C583" s="90" t="s">
        <v>44</v>
      </c>
      <c r="D583" s="91" t="s">
        <v>45</v>
      </c>
      <c r="E583" s="91" t="s">
        <v>622</v>
      </c>
      <c r="F583" s="92" t="s">
        <v>47</v>
      </c>
      <c r="G583" s="93">
        <v>1.485E7</v>
      </c>
      <c r="H583" s="94">
        <v>0.0</v>
      </c>
      <c r="I583" s="95">
        <f t="shared" si="3"/>
        <v>14850000</v>
      </c>
      <c r="J583" s="93">
        <v>1.485E7</v>
      </c>
      <c r="K583" s="96">
        <f t="shared" si="4"/>
        <v>0</v>
      </c>
      <c r="L583" s="97"/>
      <c r="M583" s="98"/>
    </row>
    <row r="584" ht="22.5" customHeight="1">
      <c r="A584" s="101">
        <v>771.0</v>
      </c>
      <c r="B584" s="89">
        <v>45763.0</v>
      </c>
      <c r="C584" s="90" t="s">
        <v>44</v>
      </c>
      <c r="D584" s="91" t="s">
        <v>45</v>
      </c>
      <c r="E584" s="91" t="s">
        <v>367</v>
      </c>
      <c r="F584" s="92" t="s">
        <v>47</v>
      </c>
      <c r="G584" s="93">
        <v>50000.0</v>
      </c>
      <c r="H584" s="94">
        <v>0.0</v>
      </c>
      <c r="I584" s="95">
        <f t="shared" si="3"/>
        <v>50000</v>
      </c>
      <c r="J584" s="93">
        <v>50000.0</v>
      </c>
      <c r="K584" s="96">
        <f t="shared" si="4"/>
        <v>0</v>
      </c>
      <c r="L584" s="97"/>
      <c r="M584" s="98"/>
    </row>
    <row r="585" ht="22.5" customHeight="1">
      <c r="A585" s="101">
        <v>854.0</v>
      </c>
      <c r="B585" s="89">
        <v>45763.0</v>
      </c>
      <c r="C585" s="90" t="s">
        <v>44</v>
      </c>
      <c r="D585" s="91" t="s">
        <v>432</v>
      </c>
      <c r="E585" s="91" t="s">
        <v>623</v>
      </c>
      <c r="F585" s="92" t="s">
        <v>47</v>
      </c>
      <c r="G585" s="93">
        <v>110000.0</v>
      </c>
      <c r="H585" s="94">
        <v>0.0</v>
      </c>
      <c r="I585" s="95">
        <f t="shared" si="3"/>
        <v>110000</v>
      </c>
      <c r="J585" s="93">
        <v>110000.0</v>
      </c>
      <c r="K585" s="96">
        <f t="shared" si="4"/>
        <v>0</v>
      </c>
      <c r="L585" s="97"/>
      <c r="M585" s="98"/>
    </row>
    <row r="586" ht="22.5" customHeight="1">
      <c r="A586" s="101">
        <v>772.0</v>
      </c>
      <c r="B586" s="89">
        <v>45763.0</v>
      </c>
      <c r="C586" s="90" t="s">
        <v>44</v>
      </c>
      <c r="D586" s="91" t="s">
        <v>45</v>
      </c>
      <c r="E586" s="91" t="s">
        <v>624</v>
      </c>
      <c r="F586" s="92" t="s">
        <v>47</v>
      </c>
      <c r="G586" s="93">
        <v>50000.0</v>
      </c>
      <c r="H586" s="94">
        <v>0.0</v>
      </c>
      <c r="I586" s="95">
        <f t="shared" si="3"/>
        <v>50000</v>
      </c>
      <c r="J586" s="93">
        <v>50000.0</v>
      </c>
      <c r="K586" s="96">
        <f t="shared" si="4"/>
        <v>0</v>
      </c>
      <c r="L586" s="97"/>
      <c r="M586" s="98"/>
    </row>
    <row r="587" ht="22.5" customHeight="1">
      <c r="A587" s="101">
        <v>776.0</v>
      </c>
      <c r="B587" s="89">
        <v>45763.0</v>
      </c>
      <c r="C587" s="90" t="s">
        <v>44</v>
      </c>
      <c r="D587" s="91" t="s">
        <v>57</v>
      </c>
      <c r="E587" s="91" t="s">
        <v>625</v>
      </c>
      <c r="F587" s="92" t="s">
        <v>47</v>
      </c>
      <c r="G587" s="93">
        <v>6000.0</v>
      </c>
      <c r="H587" s="94">
        <v>0.0</v>
      </c>
      <c r="I587" s="95">
        <f t="shared" si="3"/>
        <v>6000</v>
      </c>
      <c r="J587" s="93">
        <v>6000.0</v>
      </c>
      <c r="K587" s="96">
        <f t="shared" si="4"/>
        <v>0</v>
      </c>
      <c r="L587" s="97"/>
      <c r="M587" s="98"/>
    </row>
    <row r="588" ht="22.5" customHeight="1">
      <c r="A588" s="101">
        <v>523.0</v>
      </c>
      <c r="B588" s="89">
        <v>45763.0</v>
      </c>
      <c r="C588" s="90" t="s">
        <v>44</v>
      </c>
      <c r="D588" s="91" t="s">
        <v>57</v>
      </c>
      <c r="E588" s="91" t="s">
        <v>626</v>
      </c>
      <c r="F588" s="92" t="s">
        <v>47</v>
      </c>
      <c r="G588" s="93">
        <v>15000.0</v>
      </c>
      <c r="H588" s="94">
        <v>0.0</v>
      </c>
      <c r="I588" s="95">
        <f t="shared" si="3"/>
        <v>15000</v>
      </c>
      <c r="J588" s="93">
        <v>15000.0</v>
      </c>
      <c r="K588" s="96">
        <f t="shared" si="4"/>
        <v>0</v>
      </c>
      <c r="L588" s="97"/>
      <c r="M588" s="98"/>
    </row>
    <row r="589" ht="22.5" customHeight="1">
      <c r="A589" s="101">
        <v>524.0</v>
      </c>
      <c r="B589" s="89">
        <v>45763.0</v>
      </c>
      <c r="C589" s="90" t="s">
        <v>44</v>
      </c>
      <c r="D589" s="91" t="s">
        <v>57</v>
      </c>
      <c r="E589" s="91" t="s">
        <v>92</v>
      </c>
      <c r="F589" s="92" t="s">
        <v>47</v>
      </c>
      <c r="G589" s="93">
        <v>115000.0</v>
      </c>
      <c r="H589" s="94">
        <v>0.0</v>
      </c>
      <c r="I589" s="95">
        <f t="shared" si="3"/>
        <v>115000</v>
      </c>
      <c r="J589" s="93">
        <v>115000.0</v>
      </c>
      <c r="K589" s="96">
        <f t="shared" si="4"/>
        <v>0</v>
      </c>
      <c r="L589" s="97"/>
      <c r="M589" s="98"/>
    </row>
    <row r="590" ht="22.5" customHeight="1">
      <c r="A590" s="101">
        <v>1010653.0</v>
      </c>
      <c r="B590" s="89">
        <v>45763.0</v>
      </c>
      <c r="C590" s="90" t="s">
        <v>44</v>
      </c>
      <c r="D590" s="91" t="s">
        <v>45</v>
      </c>
      <c r="E590" s="91" t="s">
        <v>128</v>
      </c>
      <c r="F590" s="92" t="s">
        <v>47</v>
      </c>
      <c r="G590" s="93">
        <v>15000.0</v>
      </c>
      <c r="H590" s="94">
        <v>0.0</v>
      </c>
      <c r="I590" s="95">
        <f t="shared" si="3"/>
        <v>15000</v>
      </c>
      <c r="J590" s="93">
        <v>15000.0</v>
      </c>
      <c r="K590" s="96">
        <f t="shared" si="4"/>
        <v>0</v>
      </c>
      <c r="L590" s="97"/>
      <c r="M590" s="98"/>
    </row>
    <row r="591" ht="22.5" customHeight="1">
      <c r="A591" s="101">
        <v>767.0</v>
      </c>
      <c r="B591" s="89">
        <v>45764.0</v>
      </c>
      <c r="C591" s="90" t="s">
        <v>44</v>
      </c>
      <c r="D591" s="91" t="s">
        <v>45</v>
      </c>
      <c r="E591" s="91" t="s">
        <v>49</v>
      </c>
      <c r="F591" s="92" t="s">
        <v>47</v>
      </c>
      <c r="G591" s="93">
        <v>20000.0</v>
      </c>
      <c r="H591" s="94">
        <v>0.0</v>
      </c>
      <c r="I591" s="95">
        <f t="shared" si="3"/>
        <v>20000</v>
      </c>
      <c r="J591" s="93">
        <v>20000.0</v>
      </c>
      <c r="K591" s="96">
        <f t="shared" si="4"/>
        <v>0</v>
      </c>
      <c r="L591" s="97"/>
      <c r="M591" s="98"/>
    </row>
    <row r="592" ht="22.5" customHeight="1">
      <c r="A592" s="88" t="s">
        <v>627</v>
      </c>
      <c r="B592" s="89">
        <v>45766.0</v>
      </c>
      <c r="C592" s="90" t="s">
        <v>44</v>
      </c>
      <c r="D592" s="91" t="s">
        <v>45</v>
      </c>
      <c r="E592" s="91" t="s">
        <v>49</v>
      </c>
      <c r="F592" s="92" t="s">
        <v>47</v>
      </c>
      <c r="G592" s="93">
        <v>35000.0</v>
      </c>
      <c r="H592" s="94">
        <v>0.0</v>
      </c>
      <c r="I592" s="95">
        <f t="shared" si="3"/>
        <v>35000</v>
      </c>
      <c r="J592" s="93">
        <v>35000.0</v>
      </c>
      <c r="K592" s="96">
        <f t="shared" si="4"/>
        <v>0</v>
      </c>
      <c r="L592" s="97"/>
      <c r="M592" s="98"/>
    </row>
    <row r="593" ht="22.5" customHeight="1">
      <c r="A593" s="101">
        <v>777.0</v>
      </c>
      <c r="B593" s="89">
        <v>45766.0</v>
      </c>
      <c r="C593" s="90" t="s">
        <v>44</v>
      </c>
      <c r="D593" s="91" t="s">
        <v>224</v>
      </c>
      <c r="E593" s="91" t="s">
        <v>628</v>
      </c>
      <c r="F593" s="92" t="s">
        <v>47</v>
      </c>
      <c r="G593" s="93">
        <v>2250000.0</v>
      </c>
      <c r="H593" s="94">
        <v>0.0</v>
      </c>
      <c r="I593" s="95">
        <f t="shared" si="3"/>
        <v>2250000</v>
      </c>
      <c r="J593" s="93">
        <v>2250000.0</v>
      </c>
      <c r="K593" s="96">
        <f t="shared" si="4"/>
        <v>0</v>
      </c>
      <c r="L593" s="97"/>
      <c r="M593" s="98"/>
    </row>
    <row r="594" ht="22.5" customHeight="1">
      <c r="A594" s="101">
        <v>529.0</v>
      </c>
      <c r="B594" s="89">
        <v>45766.0</v>
      </c>
      <c r="C594" s="90" t="s">
        <v>44</v>
      </c>
      <c r="D594" s="91" t="s">
        <v>45</v>
      </c>
      <c r="E594" s="92" t="s">
        <v>629</v>
      </c>
      <c r="F594" s="92" t="s">
        <v>47</v>
      </c>
      <c r="G594" s="93">
        <v>10000.0</v>
      </c>
      <c r="H594" s="94">
        <v>0.0</v>
      </c>
      <c r="I594" s="95">
        <f t="shared" si="3"/>
        <v>10000</v>
      </c>
      <c r="J594" s="93">
        <v>10000.0</v>
      </c>
      <c r="K594" s="96">
        <f t="shared" si="4"/>
        <v>0</v>
      </c>
      <c r="L594" s="97"/>
      <c r="M594" s="98"/>
    </row>
    <row r="595" ht="22.5" customHeight="1">
      <c r="A595" s="101">
        <v>529.0</v>
      </c>
      <c r="B595" s="89">
        <v>45766.0</v>
      </c>
      <c r="C595" s="90" t="s">
        <v>44</v>
      </c>
      <c r="D595" s="91" t="s">
        <v>45</v>
      </c>
      <c r="E595" s="92" t="s">
        <v>629</v>
      </c>
      <c r="F595" s="92" t="s">
        <v>47</v>
      </c>
      <c r="G595" s="93">
        <v>15000.0</v>
      </c>
      <c r="H595" s="94">
        <v>0.0</v>
      </c>
      <c r="I595" s="95">
        <f t="shared" si="3"/>
        <v>15000</v>
      </c>
      <c r="J595" s="93">
        <v>15000.0</v>
      </c>
      <c r="K595" s="96">
        <f t="shared" si="4"/>
        <v>0</v>
      </c>
      <c r="L595" s="97"/>
      <c r="M595" s="98"/>
    </row>
    <row r="596" ht="22.5" customHeight="1">
      <c r="A596" s="88" t="s">
        <v>630</v>
      </c>
      <c r="B596" s="89">
        <v>45766.0</v>
      </c>
      <c r="C596" s="90" t="s">
        <v>44</v>
      </c>
      <c r="D596" s="91" t="s">
        <v>45</v>
      </c>
      <c r="E596" s="91" t="s">
        <v>92</v>
      </c>
      <c r="F596" s="92" t="s">
        <v>47</v>
      </c>
      <c r="G596" s="93">
        <v>80000.0</v>
      </c>
      <c r="H596" s="94">
        <v>0.0</v>
      </c>
      <c r="I596" s="95">
        <f t="shared" si="3"/>
        <v>80000</v>
      </c>
      <c r="J596" s="93">
        <v>80000.0</v>
      </c>
      <c r="K596" s="96">
        <f t="shared" si="4"/>
        <v>0</v>
      </c>
      <c r="L596" s="97"/>
      <c r="M596" s="98"/>
    </row>
    <row r="597" ht="22.5" customHeight="1">
      <c r="A597" s="101">
        <v>780.0</v>
      </c>
      <c r="B597" s="89">
        <v>45766.0</v>
      </c>
      <c r="C597" s="90" t="s">
        <v>44</v>
      </c>
      <c r="D597" s="91" t="s">
        <v>45</v>
      </c>
      <c r="E597" s="91" t="s">
        <v>631</v>
      </c>
      <c r="F597" s="92" t="s">
        <v>47</v>
      </c>
      <c r="G597" s="93">
        <v>150000.0</v>
      </c>
      <c r="H597" s="94">
        <v>0.0</v>
      </c>
      <c r="I597" s="95">
        <f t="shared" si="3"/>
        <v>150000</v>
      </c>
      <c r="J597" s="93">
        <v>150000.0</v>
      </c>
      <c r="K597" s="96">
        <f t="shared" si="4"/>
        <v>0</v>
      </c>
      <c r="L597" s="97"/>
      <c r="M597" s="98"/>
    </row>
    <row r="598" ht="22.5" customHeight="1">
      <c r="A598" s="101">
        <v>780.0</v>
      </c>
      <c r="B598" s="89">
        <v>45766.0</v>
      </c>
      <c r="C598" s="90" t="s">
        <v>44</v>
      </c>
      <c r="D598" s="91" t="s">
        <v>45</v>
      </c>
      <c r="E598" s="91" t="s">
        <v>632</v>
      </c>
      <c r="F598" s="92" t="s">
        <v>47</v>
      </c>
      <c r="G598" s="93">
        <v>75000.0</v>
      </c>
      <c r="H598" s="94">
        <v>0.0</v>
      </c>
      <c r="I598" s="95">
        <f t="shared" si="3"/>
        <v>75000</v>
      </c>
      <c r="J598" s="93">
        <v>75000.0</v>
      </c>
      <c r="K598" s="96">
        <f t="shared" si="4"/>
        <v>0</v>
      </c>
      <c r="L598" s="97"/>
      <c r="M598" s="98"/>
    </row>
    <row r="599" ht="22.5" customHeight="1">
      <c r="A599" s="101">
        <v>905.0</v>
      </c>
      <c r="B599" s="89">
        <v>45766.0</v>
      </c>
      <c r="C599" s="90" t="s">
        <v>44</v>
      </c>
      <c r="D599" s="91" t="s">
        <v>432</v>
      </c>
      <c r="E599" s="91" t="s">
        <v>633</v>
      </c>
      <c r="F599" s="92" t="s">
        <v>47</v>
      </c>
      <c r="G599" s="93">
        <v>450000.0</v>
      </c>
      <c r="H599" s="94">
        <v>0.0</v>
      </c>
      <c r="I599" s="95">
        <f t="shared" si="3"/>
        <v>450000</v>
      </c>
      <c r="J599" s="93">
        <v>450000.0</v>
      </c>
      <c r="K599" s="96">
        <f t="shared" si="4"/>
        <v>0</v>
      </c>
      <c r="L599" s="97"/>
      <c r="M599" s="98"/>
    </row>
    <row r="600" ht="22.5" customHeight="1">
      <c r="A600" s="88" t="s">
        <v>634</v>
      </c>
      <c r="B600" s="89">
        <v>45766.0</v>
      </c>
      <c r="C600" s="90" t="s">
        <v>44</v>
      </c>
      <c r="D600" s="91" t="s">
        <v>160</v>
      </c>
      <c r="E600" s="91" t="s">
        <v>635</v>
      </c>
      <c r="F600" s="92" t="s">
        <v>47</v>
      </c>
      <c r="G600" s="93">
        <v>29000.0</v>
      </c>
      <c r="H600" s="94">
        <v>0.0</v>
      </c>
      <c r="I600" s="95">
        <f t="shared" si="3"/>
        <v>29000</v>
      </c>
      <c r="J600" s="93">
        <v>29000.0</v>
      </c>
      <c r="K600" s="96">
        <f t="shared" si="4"/>
        <v>0</v>
      </c>
      <c r="L600" s="97"/>
      <c r="M600" s="98"/>
    </row>
    <row r="601" ht="22.5" customHeight="1">
      <c r="A601" s="101">
        <v>528.0</v>
      </c>
      <c r="B601" s="89">
        <v>45766.0</v>
      </c>
      <c r="C601" s="90" t="s">
        <v>44</v>
      </c>
      <c r="D601" s="91" t="s">
        <v>432</v>
      </c>
      <c r="E601" s="91" t="s">
        <v>636</v>
      </c>
      <c r="F601" s="92" t="s">
        <v>47</v>
      </c>
      <c r="G601" s="93">
        <v>1776000.0</v>
      </c>
      <c r="H601" s="94">
        <v>0.0</v>
      </c>
      <c r="I601" s="95">
        <f t="shared" si="3"/>
        <v>1776000</v>
      </c>
      <c r="J601" s="93">
        <v>1776000.0</v>
      </c>
      <c r="K601" s="96">
        <f t="shared" si="4"/>
        <v>0</v>
      </c>
      <c r="L601" s="97"/>
      <c r="M601" s="98"/>
    </row>
    <row r="602" ht="22.5" customHeight="1">
      <c r="A602" s="101">
        <v>1010657.0</v>
      </c>
      <c r="B602" s="89">
        <v>45766.0</v>
      </c>
      <c r="C602" s="90" t="s">
        <v>44</v>
      </c>
      <c r="D602" s="91" t="s">
        <v>45</v>
      </c>
      <c r="E602" s="91" t="s">
        <v>92</v>
      </c>
      <c r="F602" s="92" t="s">
        <v>47</v>
      </c>
      <c r="G602" s="93">
        <v>145000.0</v>
      </c>
      <c r="H602" s="94">
        <v>0.0</v>
      </c>
      <c r="I602" s="95">
        <f t="shared" si="3"/>
        <v>145000</v>
      </c>
      <c r="J602" s="93">
        <v>145000.0</v>
      </c>
      <c r="K602" s="96">
        <f t="shared" si="4"/>
        <v>0</v>
      </c>
      <c r="L602" s="97"/>
      <c r="M602" s="98"/>
    </row>
    <row r="603" ht="22.5" customHeight="1">
      <c r="A603" s="101">
        <v>1010655.0</v>
      </c>
      <c r="B603" s="89">
        <v>45766.0</v>
      </c>
      <c r="C603" s="90" t="s">
        <v>44</v>
      </c>
      <c r="D603" s="91" t="s">
        <v>45</v>
      </c>
      <c r="E603" s="91" t="s">
        <v>292</v>
      </c>
      <c r="F603" s="92" t="s">
        <v>47</v>
      </c>
      <c r="G603" s="93">
        <v>220000.0</v>
      </c>
      <c r="H603" s="94">
        <v>0.0</v>
      </c>
      <c r="I603" s="95">
        <f t="shared" si="3"/>
        <v>220000</v>
      </c>
      <c r="J603" s="93">
        <v>220000.0</v>
      </c>
      <c r="K603" s="96">
        <f t="shared" si="4"/>
        <v>0</v>
      </c>
      <c r="L603" s="97"/>
      <c r="M603" s="98"/>
    </row>
    <row r="604" ht="22.5" customHeight="1">
      <c r="A604" s="101">
        <v>1010656.0</v>
      </c>
      <c r="B604" s="89">
        <v>45766.0</v>
      </c>
      <c r="C604" s="90" t="s">
        <v>44</v>
      </c>
      <c r="D604" s="91" t="s">
        <v>45</v>
      </c>
      <c r="E604" s="91" t="s">
        <v>292</v>
      </c>
      <c r="F604" s="92" t="s">
        <v>47</v>
      </c>
      <c r="G604" s="93">
        <v>160000.0</v>
      </c>
      <c r="H604" s="94">
        <v>0.0</v>
      </c>
      <c r="I604" s="95">
        <f t="shared" si="3"/>
        <v>160000</v>
      </c>
      <c r="J604" s="93">
        <v>160000.0</v>
      </c>
      <c r="K604" s="96">
        <f t="shared" si="4"/>
        <v>0</v>
      </c>
      <c r="L604" s="97"/>
      <c r="M604" s="98"/>
    </row>
    <row r="605" ht="22.5" customHeight="1">
      <c r="A605" s="101">
        <v>775.0</v>
      </c>
      <c r="B605" s="89">
        <v>45767.0</v>
      </c>
      <c r="C605" s="90" t="s">
        <v>44</v>
      </c>
      <c r="D605" s="91" t="s">
        <v>432</v>
      </c>
      <c r="E605" s="91" t="s">
        <v>637</v>
      </c>
      <c r="F605" s="92" t="s">
        <v>47</v>
      </c>
      <c r="G605" s="93">
        <v>950000.0</v>
      </c>
      <c r="H605" s="94">
        <v>0.0</v>
      </c>
      <c r="I605" s="95">
        <f t="shared" si="3"/>
        <v>950000</v>
      </c>
      <c r="J605" s="93">
        <v>950000.0</v>
      </c>
      <c r="K605" s="96">
        <f t="shared" si="4"/>
        <v>0</v>
      </c>
      <c r="L605" s="97"/>
      <c r="M605" s="98"/>
    </row>
    <row r="606" ht="22.5" customHeight="1">
      <c r="A606" s="101">
        <v>782.0</v>
      </c>
      <c r="B606" s="89">
        <v>45768.0</v>
      </c>
      <c r="C606" s="90" t="s">
        <v>44</v>
      </c>
      <c r="D606" s="91" t="s">
        <v>45</v>
      </c>
      <c r="E606" s="91" t="s">
        <v>638</v>
      </c>
      <c r="F606" s="92" t="s">
        <v>47</v>
      </c>
      <c r="G606" s="93">
        <v>20000.0</v>
      </c>
      <c r="H606" s="94">
        <v>0.0</v>
      </c>
      <c r="I606" s="95">
        <f t="shared" si="3"/>
        <v>20000</v>
      </c>
      <c r="J606" s="93">
        <v>20000.0</v>
      </c>
      <c r="K606" s="96">
        <f t="shared" si="4"/>
        <v>0</v>
      </c>
      <c r="L606" s="97"/>
      <c r="M606" s="98"/>
    </row>
    <row r="607" ht="22.5" customHeight="1">
      <c r="A607" s="101">
        <v>781.0</v>
      </c>
      <c r="B607" s="89">
        <v>45768.0</v>
      </c>
      <c r="C607" s="90" t="s">
        <v>44</v>
      </c>
      <c r="D607" s="91" t="s">
        <v>45</v>
      </c>
      <c r="E607" s="91" t="s">
        <v>639</v>
      </c>
      <c r="F607" s="92" t="s">
        <v>47</v>
      </c>
      <c r="G607" s="93">
        <v>15000.0</v>
      </c>
      <c r="H607" s="94">
        <v>0.0</v>
      </c>
      <c r="I607" s="95">
        <f t="shared" si="3"/>
        <v>15000</v>
      </c>
      <c r="J607" s="93">
        <v>15000.0</v>
      </c>
      <c r="K607" s="96">
        <f t="shared" si="4"/>
        <v>0</v>
      </c>
      <c r="L607" s="97"/>
      <c r="M607" s="98"/>
    </row>
    <row r="608" ht="22.5" customHeight="1">
      <c r="A608" s="101">
        <v>783.0</v>
      </c>
      <c r="B608" s="89">
        <v>45768.0</v>
      </c>
      <c r="C608" s="90" t="s">
        <v>44</v>
      </c>
      <c r="D608" s="91" t="s">
        <v>45</v>
      </c>
      <c r="E608" s="91" t="s">
        <v>69</v>
      </c>
      <c r="F608" s="92" t="s">
        <v>47</v>
      </c>
      <c r="G608" s="93">
        <v>30000.0</v>
      </c>
      <c r="H608" s="94">
        <v>0.0</v>
      </c>
      <c r="I608" s="95">
        <f t="shared" si="3"/>
        <v>30000</v>
      </c>
      <c r="J608" s="93">
        <v>30000.0</v>
      </c>
      <c r="K608" s="96">
        <f t="shared" si="4"/>
        <v>0</v>
      </c>
      <c r="L608" s="97"/>
      <c r="M608" s="98"/>
    </row>
    <row r="609" ht="22.5" customHeight="1">
      <c r="A609" s="101">
        <v>1010660.0</v>
      </c>
      <c r="B609" s="89">
        <v>45768.0</v>
      </c>
      <c r="C609" s="90" t="s">
        <v>44</v>
      </c>
      <c r="D609" s="91" t="s">
        <v>45</v>
      </c>
      <c r="E609" s="91" t="s">
        <v>640</v>
      </c>
      <c r="F609" s="92" t="s">
        <v>47</v>
      </c>
      <c r="G609" s="93">
        <v>410000.0</v>
      </c>
      <c r="H609" s="94">
        <v>0.0</v>
      </c>
      <c r="I609" s="95">
        <f t="shared" si="3"/>
        <v>410000</v>
      </c>
      <c r="J609" s="93">
        <v>410000.0</v>
      </c>
      <c r="K609" s="96">
        <f t="shared" si="4"/>
        <v>0</v>
      </c>
      <c r="L609" s="97"/>
      <c r="M609" s="98"/>
    </row>
    <row r="610" ht="22.5" customHeight="1">
      <c r="A610" s="101">
        <v>1010659.0</v>
      </c>
      <c r="B610" s="89">
        <v>45768.0</v>
      </c>
      <c r="C610" s="90" t="s">
        <v>44</v>
      </c>
      <c r="D610" s="91" t="s">
        <v>45</v>
      </c>
      <c r="E610" s="91" t="s">
        <v>292</v>
      </c>
      <c r="F610" s="92" t="s">
        <v>47</v>
      </c>
      <c r="G610" s="93">
        <v>150000.0</v>
      </c>
      <c r="H610" s="94">
        <v>0.0</v>
      </c>
      <c r="I610" s="95">
        <f t="shared" si="3"/>
        <v>150000</v>
      </c>
      <c r="J610" s="93">
        <v>150000.0</v>
      </c>
      <c r="K610" s="96">
        <f t="shared" si="4"/>
        <v>0</v>
      </c>
      <c r="L610" s="97"/>
      <c r="M610" s="98"/>
    </row>
    <row r="611" ht="22.5" customHeight="1">
      <c r="A611" s="101">
        <v>1010664.0</v>
      </c>
      <c r="B611" s="89">
        <v>45768.0</v>
      </c>
      <c r="C611" s="90" t="s">
        <v>44</v>
      </c>
      <c r="D611" s="91" t="s">
        <v>45</v>
      </c>
      <c r="E611" s="91" t="s">
        <v>92</v>
      </c>
      <c r="F611" s="92" t="s">
        <v>47</v>
      </c>
      <c r="G611" s="93">
        <v>175000.0</v>
      </c>
      <c r="H611" s="94">
        <v>0.0</v>
      </c>
      <c r="I611" s="95">
        <f t="shared" si="3"/>
        <v>175000</v>
      </c>
      <c r="J611" s="93">
        <v>175000.0</v>
      </c>
      <c r="K611" s="96">
        <f t="shared" si="4"/>
        <v>0</v>
      </c>
      <c r="L611" s="97"/>
      <c r="M611" s="98"/>
    </row>
    <row r="612" ht="22.5" customHeight="1">
      <c r="A612" s="101">
        <v>1010664.0</v>
      </c>
      <c r="B612" s="89">
        <v>45768.0</v>
      </c>
      <c r="C612" s="90" t="s">
        <v>44</v>
      </c>
      <c r="D612" s="91" t="s">
        <v>45</v>
      </c>
      <c r="E612" s="91" t="s">
        <v>590</v>
      </c>
      <c r="F612" s="92" t="s">
        <v>47</v>
      </c>
      <c r="G612" s="93">
        <v>45000.0</v>
      </c>
      <c r="H612" s="94">
        <v>0.0</v>
      </c>
      <c r="I612" s="95">
        <f t="shared" si="3"/>
        <v>45000</v>
      </c>
      <c r="J612" s="93">
        <v>45000.0</v>
      </c>
      <c r="K612" s="96">
        <f t="shared" si="4"/>
        <v>0</v>
      </c>
      <c r="L612" s="97"/>
      <c r="M612" s="98"/>
    </row>
    <row r="613" ht="22.5" customHeight="1">
      <c r="A613" s="101">
        <v>1010666.0</v>
      </c>
      <c r="B613" s="89">
        <v>45768.0</v>
      </c>
      <c r="C613" s="90" t="s">
        <v>44</v>
      </c>
      <c r="D613" s="91" t="s">
        <v>45</v>
      </c>
      <c r="E613" s="91" t="s">
        <v>69</v>
      </c>
      <c r="F613" s="92" t="s">
        <v>47</v>
      </c>
      <c r="G613" s="93">
        <v>30000.0</v>
      </c>
      <c r="H613" s="94">
        <v>0.0</v>
      </c>
      <c r="I613" s="95">
        <f t="shared" si="3"/>
        <v>30000</v>
      </c>
      <c r="J613" s="93">
        <v>30000.0</v>
      </c>
      <c r="K613" s="96">
        <f t="shared" si="4"/>
        <v>0</v>
      </c>
      <c r="L613" s="97"/>
      <c r="M613" s="98"/>
    </row>
    <row r="614" ht="22.5" customHeight="1">
      <c r="A614" s="101">
        <v>1010665.0</v>
      </c>
      <c r="B614" s="89">
        <v>45768.0</v>
      </c>
      <c r="C614" s="90" t="s">
        <v>44</v>
      </c>
      <c r="D614" s="91" t="s">
        <v>45</v>
      </c>
      <c r="E614" s="91" t="s">
        <v>128</v>
      </c>
      <c r="F614" s="92" t="s">
        <v>47</v>
      </c>
      <c r="G614" s="93">
        <v>15000.0</v>
      </c>
      <c r="H614" s="94">
        <v>0.0</v>
      </c>
      <c r="I614" s="95">
        <f t="shared" si="3"/>
        <v>15000</v>
      </c>
      <c r="J614" s="93">
        <v>0.0</v>
      </c>
      <c r="K614" s="104">
        <f t="shared" si="4"/>
        <v>15000</v>
      </c>
      <c r="L614" s="97"/>
      <c r="M614" s="98"/>
    </row>
    <row r="615" ht="22.5" customHeight="1">
      <c r="A615" s="88" t="s">
        <v>641</v>
      </c>
      <c r="B615" s="89">
        <v>45769.0</v>
      </c>
      <c r="C615" s="90" t="s">
        <v>44</v>
      </c>
      <c r="D615" s="91" t="s">
        <v>20</v>
      </c>
      <c r="E615" s="91" t="s">
        <v>642</v>
      </c>
      <c r="F615" s="92" t="s">
        <v>47</v>
      </c>
      <c r="G615" s="93">
        <v>93000.0</v>
      </c>
      <c r="H615" s="94">
        <v>0.0</v>
      </c>
      <c r="I615" s="95">
        <f t="shared" si="3"/>
        <v>93000</v>
      </c>
      <c r="J615" s="93">
        <v>93000.0</v>
      </c>
      <c r="K615" s="96">
        <f t="shared" si="4"/>
        <v>0</v>
      </c>
      <c r="L615" s="97"/>
      <c r="M615" s="98"/>
    </row>
    <row r="616" ht="22.5" customHeight="1">
      <c r="A616" s="101">
        <v>786.0</v>
      </c>
      <c r="B616" s="89">
        <v>45769.0</v>
      </c>
      <c r="C616" s="90" t="s">
        <v>44</v>
      </c>
      <c r="D616" s="91" t="s">
        <v>45</v>
      </c>
      <c r="E616" s="91" t="s">
        <v>92</v>
      </c>
      <c r="F616" s="92" t="s">
        <v>47</v>
      </c>
      <c r="G616" s="93">
        <v>80000.0</v>
      </c>
      <c r="H616" s="94">
        <v>0.0</v>
      </c>
      <c r="I616" s="95">
        <f t="shared" si="3"/>
        <v>80000</v>
      </c>
      <c r="J616" s="93">
        <v>80000.0</v>
      </c>
      <c r="K616" s="96">
        <f t="shared" si="4"/>
        <v>0</v>
      </c>
      <c r="L616" s="97"/>
      <c r="M616" s="98"/>
    </row>
    <row r="617" ht="22.5" customHeight="1">
      <c r="A617" s="101">
        <v>786.0</v>
      </c>
      <c r="B617" s="89">
        <v>45769.0</v>
      </c>
      <c r="C617" s="90" t="s">
        <v>44</v>
      </c>
      <c r="D617" s="91" t="s">
        <v>45</v>
      </c>
      <c r="E617" s="91" t="s">
        <v>46</v>
      </c>
      <c r="F617" s="92" t="s">
        <v>47</v>
      </c>
      <c r="G617" s="93">
        <v>30000.0</v>
      </c>
      <c r="H617" s="94">
        <v>0.0</v>
      </c>
      <c r="I617" s="95">
        <f t="shared" si="3"/>
        <v>30000</v>
      </c>
      <c r="J617" s="93">
        <v>30000.0</v>
      </c>
      <c r="K617" s="96">
        <f t="shared" si="4"/>
        <v>0</v>
      </c>
      <c r="L617" s="97"/>
      <c r="M617" s="98"/>
    </row>
    <row r="618" ht="22.5" customHeight="1">
      <c r="A618" s="101">
        <v>791.0</v>
      </c>
      <c r="B618" s="89">
        <v>45769.0</v>
      </c>
      <c r="C618" s="90" t="s">
        <v>44</v>
      </c>
      <c r="D618" s="91" t="s">
        <v>45</v>
      </c>
      <c r="E618" s="91" t="s">
        <v>232</v>
      </c>
      <c r="F618" s="92" t="s">
        <v>47</v>
      </c>
      <c r="G618" s="93">
        <v>40000.0</v>
      </c>
      <c r="H618" s="94">
        <v>0.0</v>
      </c>
      <c r="I618" s="95">
        <f t="shared" si="3"/>
        <v>40000</v>
      </c>
      <c r="J618" s="93">
        <v>40000.0</v>
      </c>
      <c r="K618" s="96">
        <f t="shared" si="4"/>
        <v>0</v>
      </c>
      <c r="L618" s="97"/>
      <c r="M618" s="98"/>
    </row>
    <row r="619" ht="22.5" customHeight="1">
      <c r="A619" s="101">
        <v>784.0</v>
      </c>
      <c r="B619" s="89">
        <v>45770.0</v>
      </c>
      <c r="C619" s="90" t="s">
        <v>44</v>
      </c>
      <c r="D619" s="91" t="s">
        <v>45</v>
      </c>
      <c r="E619" s="91" t="s">
        <v>643</v>
      </c>
      <c r="F619" s="92" t="s">
        <v>47</v>
      </c>
      <c r="G619" s="93">
        <v>150000.0</v>
      </c>
      <c r="H619" s="94">
        <v>0.0</v>
      </c>
      <c r="I619" s="95">
        <f t="shared" si="3"/>
        <v>150000</v>
      </c>
      <c r="J619" s="93">
        <v>150000.0</v>
      </c>
      <c r="K619" s="96">
        <f t="shared" si="4"/>
        <v>0</v>
      </c>
      <c r="L619" s="97"/>
      <c r="M619" s="98"/>
    </row>
    <row r="620" ht="22.5" customHeight="1">
      <c r="A620" s="101">
        <v>785.0</v>
      </c>
      <c r="B620" s="89">
        <v>45770.0</v>
      </c>
      <c r="C620" s="90" t="s">
        <v>44</v>
      </c>
      <c r="D620" s="91" t="s">
        <v>45</v>
      </c>
      <c r="E620" s="91" t="s">
        <v>382</v>
      </c>
      <c r="F620" s="92" t="s">
        <v>47</v>
      </c>
      <c r="G620" s="93">
        <v>15000.0</v>
      </c>
      <c r="H620" s="94">
        <v>0.0</v>
      </c>
      <c r="I620" s="95">
        <f t="shared" si="3"/>
        <v>15000</v>
      </c>
      <c r="J620" s="93">
        <v>15000.0</v>
      </c>
      <c r="K620" s="96">
        <f t="shared" si="4"/>
        <v>0</v>
      </c>
      <c r="L620" s="97"/>
      <c r="M620" s="98"/>
    </row>
    <row r="621" ht="22.5" customHeight="1">
      <c r="A621" s="88" t="s">
        <v>644</v>
      </c>
      <c r="B621" s="89">
        <v>45770.0</v>
      </c>
      <c r="C621" s="90" t="s">
        <v>44</v>
      </c>
      <c r="D621" s="91" t="s">
        <v>45</v>
      </c>
      <c r="E621" s="91" t="s">
        <v>92</v>
      </c>
      <c r="F621" s="92" t="s">
        <v>47</v>
      </c>
      <c r="G621" s="93">
        <v>45000.0</v>
      </c>
      <c r="H621" s="94">
        <v>0.0</v>
      </c>
      <c r="I621" s="95">
        <f t="shared" si="3"/>
        <v>45000</v>
      </c>
      <c r="J621" s="93">
        <v>45000.0</v>
      </c>
      <c r="K621" s="96">
        <f t="shared" si="4"/>
        <v>0</v>
      </c>
      <c r="L621" s="97"/>
      <c r="M621" s="98"/>
    </row>
    <row r="622" ht="22.5" customHeight="1">
      <c r="A622" s="88" t="s">
        <v>645</v>
      </c>
      <c r="B622" s="89">
        <v>45770.0</v>
      </c>
      <c r="C622" s="90" t="s">
        <v>44</v>
      </c>
      <c r="D622" s="91" t="s">
        <v>45</v>
      </c>
      <c r="E622" s="91" t="s">
        <v>646</v>
      </c>
      <c r="F622" s="92" t="s">
        <v>47</v>
      </c>
      <c r="G622" s="93">
        <v>125000.0</v>
      </c>
      <c r="H622" s="94">
        <v>0.0</v>
      </c>
      <c r="I622" s="95">
        <f t="shared" si="3"/>
        <v>125000</v>
      </c>
      <c r="J622" s="93">
        <v>125000.0</v>
      </c>
      <c r="K622" s="96">
        <f t="shared" si="4"/>
        <v>0</v>
      </c>
      <c r="L622" s="97"/>
      <c r="M622" s="98"/>
    </row>
    <row r="623" ht="22.5" customHeight="1">
      <c r="A623" s="101">
        <v>531.0</v>
      </c>
      <c r="B623" s="89">
        <v>45771.0</v>
      </c>
      <c r="C623" s="90" t="s">
        <v>44</v>
      </c>
      <c r="D623" s="91" t="s">
        <v>432</v>
      </c>
      <c r="E623" s="91" t="s">
        <v>647</v>
      </c>
      <c r="F623" s="92" t="s">
        <v>47</v>
      </c>
      <c r="G623" s="93">
        <v>150000.0</v>
      </c>
      <c r="H623" s="94">
        <v>0.0</v>
      </c>
      <c r="I623" s="95">
        <f t="shared" si="3"/>
        <v>150000</v>
      </c>
      <c r="J623" s="93">
        <v>150000.0</v>
      </c>
      <c r="K623" s="96">
        <f t="shared" si="4"/>
        <v>0</v>
      </c>
      <c r="L623" s="97"/>
      <c r="M623" s="98"/>
    </row>
    <row r="624" ht="22.5" customHeight="1">
      <c r="A624" s="101">
        <v>532.0</v>
      </c>
      <c r="B624" s="89">
        <v>45771.0</v>
      </c>
      <c r="C624" s="90" t="s">
        <v>44</v>
      </c>
      <c r="D624" s="91" t="s">
        <v>432</v>
      </c>
      <c r="E624" s="91" t="s">
        <v>648</v>
      </c>
      <c r="F624" s="92" t="s">
        <v>47</v>
      </c>
      <c r="G624" s="93">
        <v>300000.0</v>
      </c>
      <c r="H624" s="94">
        <v>0.0</v>
      </c>
      <c r="I624" s="95">
        <f t="shared" si="3"/>
        <v>300000</v>
      </c>
      <c r="J624" s="93">
        <v>300000.0</v>
      </c>
      <c r="K624" s="96">
        <f t="shared" si="4"/>
        <v>0</v>
      </c>
      <c r="L624" s="97"/>
      <c r="M624" s="98"/>
    </row>
    <row r="625" ht="22.5" customHeight="1">
      <c r="A625" s="101">
        <v>787.0</v>
      </c>
      <c r="B625" s="89">
        <v>45772.0</v>
      </c>
      <c r="C625" s="90" t="s">
        <v>44</v>
      </c>
      <c r="D625" s="91" t="s">
        <v>45</v>
      </c>
      <c r="E625" s="91" t="s">
        <v>625</v>
      </c>
      <c r="F625" s="92" t="s">
        <v>47</v>
      </c>
      <c r="G625" s="93">
        <v>25000.0</v>
      </c>
      <c r="H625" s="94">
        <v>0.0</v>
      </c>
      <c r="I625" s="95">
        <f t="shared" si="3"/>
        <v>25000</v>
      </c>
      <c r="J625" s="93">
        <v>25000.0</v>
      </c>
      <c r="K625" s="96">
        <f t="shared" si="4"/>
        <v>0</v>
      </c>
      <c r="L625" s="97"/>
      <c r="M625" s="98"/>
    </row>
    <row r="626" ht="22.5" customHeight="1">
      <c r="A626" s="88" t="s">
        <v>649</v>
      </c>
      <c r="B626" s="89">
        <v>45772.0</v>
      </c>
      <c r="C626" s="90" t="s">
        <v>44</v>
      </c>
      <c r="D626" s="91" t="s">
        <v>432</v>
      </c>
      <c r="E626" s="91" t="s">
        <v>650</v>
      </c>
      <c r="F626" s="92" t="s">
        <v>47</v>
      </c>
      <c r="G626" s="93">
        <v>30000.0</v>
      </c>
      <c r="H626" s="94">
        <v>0.0</v>
      </c>
      <c r="I626" s="95">
        <f t="shared" si="3"/>
        <v>30000</v>
      </c>
      <c r="J626" s="93">
        <v>30000.0</v>
      </c>
      <c r="K626" s="96">
        <f t="shared" si="4"/>
        <v>0</v>
      </c>
      <c r="L626" s="97"/>
      <c r="M626" s="98"/>
    </row>
    <row r="627" ht="22.5" customHeight="1">
      <c r="A627" s="101">
        <v>1010671.0</v>
      </c>
      <c r="B627" s="89">
        <v>45772.0</v>
      </c>
      <c r="C627" s="90" t="s">
        <v>44</v>
      </c>
      <c r="D627" s="91" t="s">
        <v>45</v>
      </c>
      <c r="E627" s="91" t="s">
        <v>387</v>
      </c>
      <c r="F627" s="92" t="s">
        <v>47</v>
      </c>
      <c r="G627" s="93">
        <v>35000.0</v>
      </c>
      <c r="H627" s="94">
        <v>0.0</v>
      </c>
      <c r="I627" s="95">
        <f t="shared" si="3"/>
        <v>35000</v>
      </c>
      <c r="J627" s="93">
        <v>35000.0</v>
      </c>
      <c r="K627" s="96">
        <f t="shared" si="4"/>
        <v>0</v>
      </c>
      <c r="L627" s="97"/>
      <c r="M627" s="98"/>
    </row>
    <row r="628" ht="22.5" customHeight="1">
      <c r="A628" s="101">
        <v>792.0</v>
      </c>
      <c r="B628" s="89">
        <v>45775.0</v>
      </c>
      <c r="C628" s="90" t="s">
        <v>44</v>
      </c>
      <c r="D628" s="91" t="s">
        <v>57</v>
      </c>
      <c r="E628" s="91" t="s">
        <v>560</v>
      </c>
      <c r="F628" s="92" t="s">
        <v>47</v>
      </c>
      <c r="G628" s="93">
        <v>15000.0</v>
      </c>
      <c r="H628" s="94">
        <v>0.0</v>
      </c>
      <c r="I628" s="95">
        <f t="shared" si="3"/>
        <v>15000</v>
      </c>
      <c r="J628" s="93">
        <v>15000.0</v>
      </c>
      <c r="K628" s="96">
        <f t="shared" si="4"/>
        <v>0</v>
      </c>
      <c r="L628" s="97"/>
      <c r="M628" s="98"/>
    </row>
    <row r="629" ht="22.5" customHeight="1">
      <c r="A629" s="88" t="s">
        <v>651</v>
      </c>
      <c r="B629" s="89">
        <v>45775.0</v>
      </c>
      <c r="C629" s="90" t="s">
        <v>44</v>
      </c>
      <c r="D629" s="91" t="s">
        <v>45</v>
      </c>
      <c r="E629" s="91" t="s">
        <v>652</v>
      </c>
      <c r="F629" s="92" t="s">
        <v>47</v>
      </c>
      <c r="G629" s="93">
        <v>60000.0</v>
      </c>
      <c r="H629" s="94">
        <v>0.0</v>
      </c>
      <c r="I629" s="95">
        <f t="shared" si="3"/>
        <v>60000</v>
      </c>
      <c r="J629" s="93">
        <v>60000.0</v>
      </c>
      <c r="K629" s="96">
        <f t="shared" si="4"/>
        <v>0</v>
      </c>
      <c r="L629" s="97"/>
      <c r="M629" s="98"/>
    </row>
    <row r="630" ht="22.5" customHeight="1">
      <c r="A630" s="101">
        <v>1010671.0</v>
      </c>
      <c r="B630" s="89">
        <v>45775.0</v>
      </c>
      <c r="C630" s="90" t="s">
        <v>44</v>
      </c>
      <c r="D630" s="91" t="s">
        <v>45</v>
      </c>
      <c r="E630" s="91" t="s">
        <v>653</v>
      </c>
      <c r="F630" s="92" t="s">
        <v>47</v>
      </c>
      <c r="G630" s="93">
        <v>20000.0</v>
      </c>
      <c r="H630" s="94">
        <v>0.0</v>
      </c>
      <c r="I630" s="95">
        <f t="shared" si="3"/>
        <v>20000</v>
      </c>
      <c r="J630" s="93">
        <v>20000.0</v>
      </c>
      <c r="K630" s="96">
        <f t="shared" si="4"/>
        <v>0</v>
      </c>
      <c r="L630" s="97"/>
      <c r="M630" s="98"/>
    </row>
    <row r="631" ht="22.5" customHeight="1">
      <c r="A631" s="101">
        <v>789.0</v>
      </c>
      <c r="B631" s="89">
        <v>45776.0</v>
      </c>
      <c r="C631" s="90" t="s">
        <v>44</v>
      </c>
      <c r="D631" s="91" t="s">
        <v>45</v>
      </c>
      <c r="E631" s="91" t="s">
        <v>629</v>
      </c>
      <c r="F631" s="92" t="s">
        <v>47</v>
      </c>
      <c r="G631" s="93">
        <v>10000.0</v>
      </c>
      <c r="H631" s="94">
        <v>0.0</v>
      </c>
      <c r="I631" s="95">
        <f t="shared" si="3"/>
        <v>10000</v>
      </c>
      <c r="J631" s="93">
        <v>10000.0</v>
      </c>
      <c r="K631" s="96">
        <f t="shared" si="4"/>
        <v>0</v>
      </c>
      <c r="L631" s="97"/>
      <c r="M631" s="98"/>
    </row>
    <row r="632" ht="22.5" customHeight="1">
      <c r="A632" s="101">
        <v>1010578.0</v>
      </c>
      <c r="B632" s="89">
        <v>45776.0</v>
      </c>
      <c r="C632" s="90" t="s">
        <v>44</v>
      </c>
      <c r="D632" s="91" t="s">
        <v>45</v>
      </c>
      <c r="E632" s="91" t="s">
        <v>292</v>
      </c>
      <c r="F632" s="92" t="s">
        <v>47</v>
      </c>
      <c r="G632" s="93">
        <v>125000.0</v>
      </c>
      <c r="H632" s="94">
        <v>0.0</v>
      </c>
      <c r="I632" s="95">
        <f t="shared" si="3"/>
        <v>125000</v>
      </c>
      <c r="J632" s="93">
        <v>125000.0</v>
      </c>
      <c r="K632" s="96">
        <f t="shared" si="4"/>
        <v>0</v>
      </c>
      <c r="L632" s="97"/>
      <c r="M632" s="98"/>
    </row>
    <row r="633" ht="22.5" customHeight="1">
      <c r="A633" s="88" t="s">
        <v>654</v>
      </c>
      <c r="B633" s="89">
        <v>45777.0</v>
      </c>
      <c r="C633" s="90" t="s">
        <v>44</v>
      </c>
      <c r="D633" s="91" t="s">
        <v>45</v>
      </c>
      <c r="E633" s="92" t="s">
        <v>49</v>
      </c>
      <c r="F633" s="92" t="s">
        <v>47</v>
      </c>
      <c r="G633" s="93">
        <v>40000.0</v>
      </c>
      <c r="H633" s="94">
        <v>0.0</v>
      </c>
      <c r="I633" s="95">
        <f t="shared" si="3"/>
        <v>40000</v>
      </c>
      <c r="J633" s="93">
        <v>40000.0</v>
      </c>
      <c r="K633" s="96">
        <f t="shared" si="4"/>
        <v>0</v>
      </c>
      <c r="L633" s="97"/>
      <c r="M633" s="98"/>
    </row>
    <row r="634" ht="22.5" customHeight="1">
      <c r="A634" s="88" t="s">
        <v>655</v>
      </c>
      <c r="B634" s="89">
        <v>45777.0</v>
      </c>
      <c r="C634" s="90" t="s">
        <v>44</v>
      </c>
      <c r="D634" s="91" t="s">
        <v>45</v>
      </c>
      <c r="E634" s="92" t="s">
        <v>656</v>
      </c>
      <c r="F634" s="92" t="s">
        <v>47</v>
      </c>
      <c r="G634" s="93">
        <v>170000.0</v>
      </c>
      <c r="H634" s="94">
        <v>0.0</v>
      </c>
      <c r="I634" s="95">
        <f t="shared" si="3"/>
        <v>170000</v>
      </c>
      <c r="J634" s="93">
        <v>170000.0</v>
      </c>
      <c r="K634" s="96">
        <f t="shared" si="4"/>
        <v>0</v>
      </c>
      <c r="L634" s="97"/>
      <c r="M634" s="98"/>
    </row>
    <row r="635" ht="22.5" customHeight="1">
      <c r="A635" s="101">
        <v>533.0</v>
      </c>
      <c r="B635" s="89">
        <v>45777.0</v>
      </c>
      <c r="C635" s="90" t="s">
        <v>44</v>
      </c>
      <c r="D635" s="91" t="s">
        <v>45</v>
      </c>
      <c r="E635" s="91" t="s">
        <v>657</v>
      </c>
      <c r="F635" s="92" t="s">
        <v>47</v>
      </c>
      <c r="G635" s="93">
        <v>500000.0</v>
      </c>
      <c r="H635" s="94">
        <v>0.0</v>
      </c>
      <c r="I635" s="95">
        <f t="shared" si="3"/>
        <v>500000</v>
      </c>
      <c r="J635" s="93">
        <v>500000.0</v>
      </c>
      <c r="K635" s="96">
        <f t="shared" si="4"/>
        <v>0</v>
      </c>
      <c r="L635" s="97"/>
      <c r="M635" s="98"/>
    </row>
    <row r="636" ht="22.5" customHeight="1">
      <c r="A636" s="101">
        <v>790.0</v>
      </c>
      <c r="B636" s="89">
        <v>45777.0</v>
      </c>
      <c r="C636" s="90" t="s">
        <v>44</v>
      </c>
      <c r="D636" s="91" t="s">
        <v>45</v>
      </c>
      <c r="E636" s="91" t="s">
        <v>629</v>
      </c>
      <c r="F636" s="92" t="s">
        <v>47</v>
      </c>
      <c r="G636" s="93">
        <v>70000.0</v>
      </c>
      <c r="H636" s="94">
        <v>0.0</v>
      </c>
      <c r="I636" s="95">
        <f t="shared" si="3"/>
        <v>70000</v>
      </c>
      <c r="J636" s="93">
        <v>70000.0</v>
      </c>
      <c r="K636" s="96">
        <f t="shared" si="4"/>
        <v>0</v>
      </c>
      <c r="L636" s="97"/>
      <c r="M636" s="98"/>
    </row>
    <row r="637" ht="22.5" customHeight="1">
      <c r="A637" s="101">
        <v>534.0</v>
      </c>
      <c r="B637" s="89">
        <v>45777.0</v>
      </c>
      <c r="C637" s="90" t="s">
        <v>44</v>
      </c>
      <c r="D637" s="91" t="s">
        <v>432</v>
      </c>
      <c r="E637" s="91" t="s">
        <v>658</v>
      </c>
      <c r="F637" s="92" t="s">
        <v>47</v>
      </c>
      <c r="G637" s="93">
        <v>50000.0</v>
      </c>
      <c r="H637" s="94">
        <v>0.0</v>
      </c>
      <c r="I637" s="95">
        <f t="shared" si="3"/>
        <v>50000</v>
      </c>
      <c r="J637" s="93">
        <v>50000.0</v>
      </c>
      <c r="K637" s="96">
        <f t="shared" si="4"/>
        <v>0</v>
      </c>
      <c r="L637" s="97"/>
      <c r="M637" s="98"/>
    </row>
    <row r="638" ht="22.5" customHeight="1">
      <c r="A638" s="101">
        <v>794.0</v>
      </c>
      <c r="B638" s="89">
        <v>45777.0</v>
      </c>
      <c r="C638" s="90" t="s">
        <v>44</v>
      </c>
      <c r="D638" s="91" t="s">
        <v>57</v>
      </c>
      <c r="E638" s="91" t="s">
        <v>659</v>
      </c>
      <c r="F638" s="92" t="s">
        <v>47</v>
      </c>
      <c r="G638" s="93">
        <v>60000.0</v>
      </c>
      <c r="H638" s="94">
        <v>0.0</v>
      </c>
      <c r="I638" s="95">
        <f t="shared" si="3"/>
        <v>60000</v>
      </c>
      <c r="J638" s="93">
        <v>60000.0</v>
      </c>
      <c r="K638" s="96">
        <f t="shared" si="4"/>
        <v>0</v>
      </c>
      <c r="L638" s="97"/>
      <c r="M638" s="98"/>
    </row>
    <row r="639" ht="22.5" customHeight="1">
      <c r="A639" s="101">
        <v>796.0</v>
      </c>
      <c r="B639" s="89">
        <v>45777.0</v>
      </c>
      <c r="C639" s="90" t="s">
        <v>44</v>
      </c>
      <c r="D639" s="91" t="s">
        <v>45</v>
      </c>
      <c r="E639" s="91" t="s">
        <v>660</v>
      </c>
      <c r="F639" s="92" t="s">
        <v>47</v>
      </c>
      <c r="G639" s="93">
        <v>265000.0</v>
      </c>
      <c r="H639" s="94">
        <v>0.0</v>
      </c>
      <c r="I639" s="95">
        <f t="shared" si="3"/>
        <v>265000</v>
      </c>
      <c r="J639" s="93">
        <v>265000.0</v>
      </c>
      <c r="K639" s="96">
        <f t="shared" si="4"/>
        <v>0</v>
      </c>
      <c r="L639" s="97"/>
      <c r="M639" s="98"/>
    </row>
    <row r="640" ht="22.5" customHeight="1">
      <c r="A640" s="101">
        <v>1010669.0</v>
      </c>
      <c r="B640" s="89">
        <v>45777.0</v>
      </c>
      <c r="C640" s="90" t="s">
        <v>44</v>
      </c>
      <c r="D640" s="91" t="s">
        <v>45</v>
      </c>
      <c r="E640" s="91" t="s">
        <v>92</v>
      </c>
      <c r="F640" s="92" t="s">
        <v>47</v>
      </c>
      <c r="G640" s="93">
        <v>100000.0</v>
      </c>
      <c r="H640" s="94">
        <v>0.0</v>
      </c>
      <c r="I640" s="95">
        <f t="shared" si="3"/>
        <v>100000</v>
      </c>
      <c r="J640" s="93">
        <v>100000.0</v>
      </c>
      <c r="K640" s="96">
        <f t="shared" si="4"/>
        <v>0</v>
      </c>
      <c r="L640" s="97"/>
      <c r="M640" s="98"/>
    </row>
    <row r="641" ht="22.5" customHeight="1">
      <c r="A641" s="101">
        <v>1010667.0</v>
      </c>
      <c r="B641" s="89">
        <v>45777.0</v>
      </c>
      <c r="C641" s="90" t="s">
        <v>44</v>
      </c>
      <c r="D641" s="91" t="s">
        <v>45</v>
      </c>
      <c r="E641" s="91" t="s">
        <v>69</v>
      </c>
      <c r="F641" s="92" t="s">
        <v>47</v>
      </c>
      <c r="G641" s="93">
        <v>30000.0</v>
      </c>
      <c r="H641" s="94">
        <v>0.0</v>
      </c>
      <c r="I641" s="95">
        <f t="shared" si="3"/>
        <v>30000</v>
      </c>
      <c r="J641" s="93">
        <v>30000.0</v>
      </c>
      <c r="K641" s="96">
        <f t="shared" si="4"/>
        <v>0</v>
      </c>
      <c r="L641" s="97"/>
      <c r="M641" s="98"/>
    </row>
    <row r="642" ht="22.5" customHeight="1">
      <c r="A642" s="101">
        <v>798.0</v>
      </c>
      <c r="B642" s="89">
        <v>45778.0</v>
      </c>
      <c r="C642" s="90" t="s">
        <v>44</v>
      </c>
      <c r="D642" s="91" t="s">
        <v>57</v>
      </c>
      <c r="E642" s="91" t="s">
        <v>661</v>
      </c>
      <c r="F642" s="92" t="s">
        <v>47</v>
      </c>
      <c r="G642" s="93">
        <v>50000.0</v>
      </c>
      <c r="H642" s="94">
        <v>0.0</v>
      </c>
      <c r="I642" s="95">
        <f t="shared" si="3"/>
        <v>50000</v>
      </c>
      <c r="J642" s="93">
        <v>50000.0</v>
      </c>
      <c r="K642" s="96">
        <f t="shared" si="4"/>
        <v>0</v>
      </c>
      <c r="L642" s="97"/>
      <c r="M642" s="98"/>
    </row>
    <row r="643" ht="22.5" customHeight="1">
      <c r="A643" s="101">
        <v>797.0</v>
      </c>
      <c r="B643" s="89">
        <v>45778.0</v>
      </c>
      <c r="C643" s="90" t="s">
        <v>44</v>
      </c>
      <c r="D643" s="91" t="s">
        <v>45</v>
      </c>
      <c r="E643" s="91" t="s">
        <v>662</v>
      </c>
      <c r="F643" s="92" t="s">
        <v>47</v>
      </c>
      <c r="G643" s="93">
        <v>120000.0</v>
      </c>
      <c r="H643" s="94">
        <v>0.0</v>
      </c>
      <c r="I643" s="95">
        <f t="shared" si="3"/>
        <v>120000</v>
      </c>
      <c r="J643" s="93">
        <v>120000.0</v>
      </c>
      <c r="K643" s="96">
        <f t="shared" si="4"/>
        <v>0</v>
      </c>
      <c r="L643" s="97"/>
      <c r="M643" s="98"/>
    </row>
    <row r="644" ht="22.5" customHeight="1">
      <c r="A644" s="101">
        <v>799.0</v>
      </c>
      <c r="B644" s="89">
        <v>45778.0</v>
      </c>
      <c r="C644" s="90" t="s">
        <v>44</v>
      </c>
      <c r="D644" s="91" t="s">
        <v>160</v>
      </c>
      <c r="E644" s="91" t="s">
        <v>387</v>
      </c>
      <c r="F644" s="92" t="s">
        <v>47</v>
      </c>
      <c r="G644" s="93">
        <v>15000.0</v>
      </c>
      <c r="H644" s="94">
        <v>0.0</v>
      </c>
      <c r="I644" s="95">
        <f t="shared" si="3"/>
        <v>15000</v>
      </c>
      <c r="J644" s="93">
        <v>15000.0</v>
      </c>
      <c r="K644" s="96">
        <f t="shared" si="4"/>
        <v>0</v>
      </c>
      <c r="L644" s="97"/>
      <c r="M644" s="98"/>
    </row>
    <row r="645" ht="22.5" customHeight="1">
      <c r="A645" s="88" t="s">
        <v>663</v>
      </c>
      <c r="B645" s="89">
        <v>45778.0</v>
      </c>
      <c r="C645" s="90" t="s">
        <v>44</v>
      </c>
      <c r="D645" s="91" t="s">
        <v>45</v>
      </c>
      <c r="E645" s="92" t="s">
        <v>387</v>
      </c>
      <c r="F645" s="92" t="s">
        <v>47</v>
      </c>
      <c r="G645" s="93">
        <v>5000.0</v>
      </c>
      <c r="H645" s="94">
        <v>0.0</v>
      </c>
      <c r="I645" s="95">
        <f t="shared" si="3"/>
        <v>5000</v>
      </c>
      <c r="J645" s="93">
        <v>5000.0</v>
      </c>
      <c r="K645" s="96">
        <f t="shared" si="4"/>
        <v>0</v>
      </c>
      <c r="L645" s="97"/>
      <c r="M645" s="98"/>
    </row>
    <row r="646" ht="22.5" customHeight="1">
      <c r="A646" s="101">
        <v>536.0</v>
      </c>
      <c r="B646" s="89">
        <v>45780.0</v>
      </c>
      <c r="C646" s="90" t="s">
        <v>44</v>
      </c>
      <c r="D646" s="91" t="s">
        <v>432</v>
      </c>
      <c r="E646" s="91" t="s">
        <v>664</v>
      </c>
      <c r="F646" s="92" t="s">
        <v>47</v>
      </c>
      <c r="G646" s="93">
        <v>150000.0</v>
      </c>
      <c r="H646" s="94">
        <v>0.0</v>
      </c>
      <c r="I646" s="95">
        <f t="shared" si="3"/>
        <v>150000</v>
      </c>
      <c r="J646" s="93">
        <v>150000.0</v>
      </c>
      <c r="K646" s="96">
        <f t="shared" si="4"/>
        <v>0</v>
      </c>
      <c r="L646" s="97"/>
      <c r="M646" s="98"/>
    </row>
    <row r="647" ht="22.5" customHeight="1">
      <c r="A647" s="101">
        <v>535.0</v>
      </c>
      <c r="B647" s="89">
        <v>45780.0</v>
      </c>
      <c r="C647" s="90" t="s">
        <v>44</v>
      </c>
      <c r="D647" s="91" t="s">
        <v>57</v>
      </c>
      <c r="E647" s="91" t="s">
        <v>665</v>
      </c>
      <c r="F647" s="92" t="s">
        <v>47</v>
      </c>
      <c r="G647" s="93">
        <v>25000.0</v>
      </c>
      <c r="H647" s="94">
        <v>0.0</v>
      </c>
      <c r="I647" s="95">
        <f t="shared" si="3"/>
        <v>25000</v>
      </c>
      <c r="J647" s="93">
        <v>25000.0</v>
      </c>
      <c r="K647" s="96">
        <f t="shared" si="4"/>
        <v>0</v>
      </c>
      <c r="L647" s="97"/>
      <c r="M647" s="98"/>
    </row>
    <row r="648" ht="22.5" customHeight="1">
      <c r="A648" s="101">
        <v>800.0</v>
      </c>
      <c r="B648" s="89">
        <v>45780.0</v>
      </c>
      <c r="C648" s="90" t="s">
        <v>44</v>
      </c>
      <c r="D648" s="91" t="s">
        <v>57</v>
      </c>
      <c r="E648" s="91" t="s">
        <v>666</v>
      </c>
      <c r="F648" s="92" t="s">
        <v>47</v>
      </c>
      <c r="G648" s="93">
        <v>60000.0</v>
      </c>
      <c r="H648" s="94">
        <v>0.0</v>
      </c>
      <c r="I648" s="95">
        <f t="shared" si="3"/>
        <v>60000</v>
      </c>
      <c r="J648" s="93">
        <v>60000.0</v>
      </c>
      <c r="K648" s="96">
        <f t="shared" si="4"/>
        <v>0</v>
      </c>
      <c r="L648" s="97"/>
      <c r="M648" s="98"/>
    </row>
    <row r="649" ht="22.5" customHeight="1">
      <c r="A649" s="101">
        <v>537.0</v>
      </c>
      <c r="B649" s="89">
        <v>45780.0</v>
      </c>
      <c r="C649" s="90" t="s">
        <v>44</v>
      </c>
      <c r="D649" s="91" t="s">
        <v>224</v>
      </c>
      <c r="E649" s="91" t="s">
        <v>667</v>
      </c>
      <c r="F649" s="92" t="s">
        <v>47</v>
      </c>
      <c r="G649" s="93">
        <v>1000000.0</v>
      </c>
      <c r="H649" s="94">
        <v>0.0</v>
      </c>
      <c r="I649" s="95">
        <f t="shared" si="3"/>
        <v>1000000</v>
      </c>
      <c r="J649" s="93">
        <v>1000000.0</v>
      </c>
      <c r="K649" s="96">
        <f t="shared" si="4"/>
        <v>0</v>
      </c>
      <c r="L649" s="97"/>
      <c r="M649" s="98"/>
    </row>
    <row r="650" ht="22.5" customHeight="1">
      <c r="A650" s="101">
        <v>544.0</v>
      </c>
      <c r="B650" s="89">
        <v>45781.0</v>
      </c>
      <c r="C650" s="90" t="s">
        <v>44</v>
      </c>
      <c r="D650" s="91" t="s">
        <v>45</v>
      </c>
      <c r="E650" s="91" t="s">
        <v>588</v>
      </c>
      <c r="F650" s="92" t="s">
        <v>47</v>
      </c>
      <c r="G650" s="93">
        <v>50000.0</v>
      </c>
      <c r="H650" s="94">
        <v>0.0</v>
      </c>
      <c r="I650" s="95">
        <f t="shared" si="3"/>
        <v>50000</v>
      </c>
      <c r="J650" s="93">
        <v>50000.0</v>
      </c>
      <c r="K650" s="96">
        <f t="shared" si="4"/>
        <v>0</v>
      </c>
      <c r="L650" s="97"/>
      <c r="M650" s="98"/>
    </row>
    <row r="651" ht="22.5" customHeight="1">
      <c r="A651" s="101">
        <v>543.0</v>
      </c>
      <c r="B651" s="89">
        <v>45781.0</v>
      </c>
      <c r="C651" s="90" t="s">
        <v>44</v>
      </c>
      <c r="D651" s="91" t="s">
        <v>160</v>
      </c>
      <c r="E651" s="91" t="s">
        <v>668</v>
      </c>
      <c r="F651" s="92" t="s">
        <v>47</v>
      </c>
      <c r="G651" s="93">
        <v>8000.0</v>
      </c>
      <c r="H651" s="94">
        <v>0.0</v>
      </c>
      <c r="I651" s="95">
        <f t="shared" si="3"/>
        <v>8000</v>
      </c>
      <c r="J651" s="93">
        <v>8000.0</v>
      </c>
      <c r="K651" s="96">
        <f t="shared" si="4"/>
        <v>0</v>
      </c>
      <c r="L651" s="97"/>
      <c r="M651" s="98"/>
    </row>
    <row r="652" ht="22.5" customHeight="1">
      <c r="A652" s="101">
        <v>539.0</v>
      </c>
      <c r="B652" s="89">
        <v>45781.0</v>
      </c>
      <c r="C652" s="90" t="s">
        <v>44</v>
      </c>
      <c r="D652" s="91" t="s">
        <v>57</v>
      </c>
      <c r="E652" s="91" t="s">
        <v>669</v>
      </c>
      <c r="F652" s="92" t="s">
        <v>47</v>
      </c>
      <c r="G652" s="93">
        <v>500000.0</v>
      </c>
      <c r="H652" s="94">
        <v>0.0</v>
      </c>
      <c r="I652" s="95">
        <f t="shared" si="3"/>
        <v>500000</v>
      </c>
      <c r="J652" s="93">
        <v>500000.0</v>
      </c>
      <c r="K652" s="96">
        <f t="shared" si="4"/>
        <v>0</v>
      </c>
      <c r="L652" s="97"/>
      <c r="M652" s="98"/>
    </row>
    <row r="653" ht="22.5" customHeight="1">
      <c r="A653" s="101">
        <v>549.0</v>
      </c>
      <c r="B653" s="89">
        <v>45782.0</v>
      </c>
      <c r="C653" s="103" t="s">
        <v>83</v>
      </c>
      <c r="D653" s="91" t="s">
        <v>224</v>
      </c>
      <c r="E653" s="91" t="s">
        <v>670</v>
      </c>
      <c r="F653" s="92" t="s">
        <v>47</v>
      </c>
      <c r="G653" s="93">
        <v>500000.0</v>
      </c>
      <c r="H653" s="94">
        <v>0.0</v>
      </c>
      <c r="I653" s="95">
        <f t="shared" si="3"/>
        <v>500000</v>
      </c>
      <c r="J653" s="93">
        <v>0.0</v>
      </c>
      <c r="K653" s="104">
        <f t="shared" si="4"/>
        <v>500000</v>
      </c>
      <c r="L653" s="97"/>
      <c r="M653" s="98"/>
    </row>
    <row r="654" ht="22.5" customHeight="1">
      <c r="A654" s="101">
        <v>856.0</v>
      </c>
      <c r="B654" s="89">
        <v>45782.0</v>
      </c>
      <c r="C654" s="90" t="s">
        <v>44</v>
      </c>
      <c r="D654" s="91" t="s">
        <v>432</v>
      </c>
      <c r="E654" s="91" t="s">
        <v>671</v>
      </c>
      <c r="F654" s="92" t="s">
        <v>47</v>
      </c>
      <c r="G654" s="93">
        <v>122000.0</v>
      </c>
      <c r="H654" s="94">
        <v>0.0</v>
      </c>
      <c r="I654" s="95">
        <f t="shared" si="3"/>
        <v>122000</v>
      </c>
      <c r="J654" s="93">
        <v>122000.0</v>
      </c>
      <c r="K654" s="96">
        <f t="shared" si="4"/>
        <v>0</v>
      </c>
      <c r="L654" s="97"/>
      <c r="M654" s="98"/>
    </row>
    <row r="655" ht="22.5" customHeight="1">
      <c r="A655" s="101">
        <v>545.0</v>
      </c>
      <c r="B655" s="89">
        <v>45782.0</v>
      </c>
      <c r="C655" s="90" t="s">
        <v>44</v>
      </c>
      <c r="D655" s="91" t="s">
        <v>160</v>
      </c>
      <c r="E655" s="91" t="s">
        <v>232</v>
      </c>
      <c r="F655" s="92" t="s">
        <v>47</v>
      </c>
      <c r="G655" s="93">
        <v>8000.0</v>
      </c>
      <c r="H655" s="94">
        <v>0.0</v>
      </c>
      <c r="I655" s="95">
        <f t="shared" si="3"/>
        <v>8000</v>
      </c>
      <c r="J655" s="93">
        <v>8000.0</v>
      </c>
      <c r="K655" s="96">
        <f t="shared" si="4"/>
        <v>0</v>
      </c>
      <c r="L655" s="97"/>
      <c r="M655" s="98"/>
    </row>
    <row r="656" ht="22.5" customHeight="1">
      <c r="A656" s="101">
        <v>547.0</v>
      </c>
      <c r="B656" s="89">
        <v>45782.0</v>
      </c>
      <c r="C656" s="90" t="s">
        <v>44</v>
      </c>
      <c r="D656" s="91" t="s">
        <v>57</v>
      </c>
      <c r="E656" s="91" t="s">
        <v>672</v>
      </c>
      <c r="F656" s="92" t="s">
        <v>47</v>
      </c>
      <c r="G656" s="93">
        <v>14000.0</v>
      </c>
      <c r="H656" s="94">
        <v>0.0</v>
      </c>
      <c r="I656" s="95">
        <f t="shared" si="3"/>
        <v>14000</v>
      </c>
      <c r="J656" s="93">
        <v>14000.0</v>
      </c>
      <c r="K656" s="96">
        <f t="shared" si="4"/>
        <v>0</v>
      </c>
      <c r="L656" s="97"/>
      <c r="M656" s="98"/>
    </row>
    <row r="657" ht="22.5" customHeight="1">
      <c r="A657" s="101">
        <v>548.0</v>
      </c>
      <c r="B657" s="89">
        <v>45782.0</v>
      </c>
      <c r="C657" s="90" t="s">
        <v>44</v>
      </c>
      <c r="D657" s="91" t="s">
        <v>224</v>
      </c>
      <c r="E657" s="91" t="s">
        <v>673</v>
      </c>
      <c r="F657" s="92" t="s">
        <v>47</v>
      </c>
      <c r="G657" s="93">
        <v>3000000.0</v>
      </c>
      <c r="H657" s="94">
        <v>0.0</v>
      </c>
      <c r="I657" s="95">
        <f t="shared" si="3"/>
        <v>3000000</v>
      </c>
      <c r="J657" s="93">
        <v>3000000.0</v>
      </c>
      <c r="K657" s="96">
        <f t="shared" si="4"/>
        <v>0</v>
      </c>
      <c r="L657" s="97"/>
      <c r="M657" s="98"/>
    </row>
    <row r="658" ht="22.5" customHeight="1">
      <c r="A658" s="101">
        <v>550.0</v>
      </c>
      <c r="B658" s="89">
        <v>45782.0</v>
      </c>
      <c r="C658" s="90" t="s">
        <v>44</v>
      </c>
      <c r="D658" s="91" t="s">
        <v>432</v>
      </c>
      <c r="E658" s="91" t="s">
        <v>674</v>
      </c>
      <c r="F658" s="92" t="s">
        <v>47</v>
      </c>
      <c r="G658" s="93">
        <v>700000.0</v>
      </c>
      <c r="H658" s="94">
        <v>0.0</v>
      </c>
      <c r="I658" s="95">
        <f t="shared" si="3"/>
        <v>700000</v>
      </c>
      <c r="J658" s="93">
        <v>700000.0</v>
      </c>
      <c r="K658" s="96">
        <f t="shared" si="4"/>
        <v>0</v>
      </c>
      <c r="L658" s="97"/>
      <c r="M658" s="98"/>
    </row>
    <row r="659" ht="22.5" customHeight="1">
      <c r="A659" s="88" t="s">
        <v>675</v>
      </c>
      <c r="B659" s="89">
        <v>45783.0</v>
      </c>
      <c r="C659" s="90" t="s">
        <v>44</v>
      </c>
      <c r="D659" s="91" t="s">
        <v>432</v>
      </c>
      <c r="E659" s="91" t="s">
        <v>676</v>
      </c>
      <c r="F659" s="92" t="s">
        <v>47</v>
      </c>
      <c r="G659" s="93">
        <v>10000.0</v>
      </c>
      <c r="H659" s="94">
        <v>0.0</v>
      </c>
      <c r="I659" s="95">
        <f t="shared" si="3"/>
        <v>10000</v>
      </c>
      <c r="J659" s="93">
        <v>10000.0</v>
      </c>
      <c r="K659" s="96">
        <f t="shared" si="4"/>
        <v>0</v>
      </c>
      <c r="L659" s="97"/>
      <c r="M659" s="98"/>
    </row>
    <row r="660" ht="22.5" customHeight="1">
      <c r="A660" s="88" t="s">
        <v>677</v>
      </c>
      <c r="B660" s="89">
        <v>45784.0</v>
      </c>
      <c r="C660" s="90" t="s">
        <v>44</v>
      </c>
      <c r="D660" s="91" t="s">
        <v>45</v>
      </c>
      <c r="E660" s="91" t="s">
        <v>304</v>
      </c>
      <c r="F660" s="92" t="s">
        <v>47</v>
      </c>
      <c r="G660" s="93">
        <v>140000.0</v>
      </c>
      <c r="H660" s="94">
        <v>0.0</v>
      </c>
      <c r="I660" s="95">
        <f t="shared" si="3"/>
        <v>140000</v>
      </c>
      <c r="J660" s="93">
        <v>140000.0</v>
      </c>
      <c r="K660" s="96">
        <f t="shared" si="4"/>
        <v>0</v>
      </c>
      <c r="L660" s="97"/>
      <c r="M660" s="98"/>
    </row>
    <row r="661" ht="22.5" customHeight="1">
      <c r="A661" s="88" t="s">
        <v>678</v>
      </c>
      <c r="B661" s="89">
        <v>45784.0</v>
      </c>
      <c r="C661" s="90" t="s">
        <v>44</v>
      </c>
      <c r="D661" s="91" t="s">
        <v>57</v>
      </c>
      <c r="E661" s="91" t="s">
        <v>679</v>
      </c>
      <c r="F661" s="92" t="s">
        <v>47</v>
      </c>
      <c r="G661" s="93">
        <v>150000.0</v>
      </c>
      <c r="H661" s="94">
        <v>0.0</v>
      </c>
      <c r="I661" s="95">
        <f t="shared" si="3"/>
        <v>150000</v>
      </c>
      <c r="J661" s="93">
        <v>150000.0</v>
      </c>
      <c r="K661" s="96">
        <f t="shared" si="4"/>
        <v>0</v>
      </c>
      <c r="L661" s="97"/>
      <c r="M661" s="98"/>
    </row>
    <row r="662" ht="22.5" customHeight="1">
      <c r="A662" s="88" t="s">
        <v>680</v>
      </c>
      <c r="B662" s="89">
        <v>45784.0</v>
      </c>
      <c r="C662" s="90" t="s">
        <v>44</v>
      </c>
      <c r="D662" s="91" t="s">
        <v>57</v>
      </c>
      <c r="E662" s="91" t="s">
        <v>681</v>
      </c>
      <c r="F662" s="92" t="s">
        <v>47</v>
      </c>
      <c r="G662" s="93">
        <v>1740000.0</v>
      </c>
      <c r="H662" s="94">
        <v>0.0</v>
      </c>
      <c r="I662" s="95">
        <f t="shared" si="3"/>
        <v>1740000</v>
      </c>
      <c r="J662" s="93">
        <v>1740000.0</v>
      </c>
      <c r="K662" s="96">
        <f t="shared" si="4"/>
        <v>0</v>
      </c>
      <c r="L662" s="97"/>
      <c r="M662" s="98"/>
    </row>
    <row r="663" ht="22.5" customHeight="1">
      <c r="A663" s="88" t="s">
        <v>682</v>
      </c>
      <c r="B663" s="89">
        <v>45785.0</v>
      </c>
      <c r="C663" s="103" t="s">
        <v>83</v>
      </c>
      <c r="D663" s="91" t="s">
        <v>45</v>
      </c>
      <c r="E663" s="91" t="s">
        <v>128</v>
      </c>
      <c r="F663" s="92" t="s">
        <v>47</v>
      </c>
      <c r="G663" s="93">
        <v>5000.0</v>
      </c>
      <c r="H663" s="94">
        <v>0.0</v>
      </c>
      <c r="I663" s="95">
        <f t="shared" si="3"/>
        <v>5000</v>
      </c>
      <c r="J663" s="93">
        <v>0.0</v>
      </c>
      <c r="K663" s="104">
        <f t="shared" si="4"/>
        <v>5000</v>
      </c>
      <c r="L663" s="97"/>
      <c r="M663" s="98"/>
    </row>
    <row r="664" ht="22.5" customHeight="1">
      <c r="A664" s="88" t="s">
        <v>683</v>
      </c>
      <c r="B664" s="89">
        <v>45785.0</v>
      </c>
      <c r="C664" s="90" t="s">
        <v>44</v>
      </c>
      <c r="D664" s="91" t="s">
        <v>432</v>
      </c>
      <c r="E664" s="91" t="s">
        <v>684</v>
      </c>
      <c r="F664" s="92" t="s">
        <v>47</v>
      </c>
      <c r="G664" s="93">
        <v>300000.0</v>
      </c>
      <c r="H664" s="94">
        <v>0.0</v>
      </c>
      <c r="I664" s="95">
        <f t="shared" si="3"/>
        <v>300000</v>
      </c>
      <c r="J664" s="93">
        <v>300000.0</v>
      </c>
      <c r="K664" s="96">
        <f t="shared" si="4"/>
        <v>0</v>
      </c>
      <c r="L664" s="97"/>
      <c r="M664" s="98"/>
    </row>
    <row r="665" ht="22.5" customHeight="1">
      <c r="A665" s="101">
        <v>866.0</v>
      </c>
      <c r="B665" s="89">
        <v>45787.0</v>
      </c>
      <c r="C665" s="90" t="s">
        <v>44</v>
      </c>
      <c r="D665" s="91" t="s">
        <v>57</v>
      </c>
      <c r="E665" s="91" t="s">
        <v>685</v>
      </c>
      <c r="F665" s="92" t="s">
        <v>47</v>
      </c>
      <c r="G665" s="93">
        <v>35000.0</v>
      </c>
      <c r="H665" s="94">
        <v>0.0</v>
      </c>
      <c r="I665" s="95">
        <f t="shared" si="3"/>
        <v>35000</v>
      </c>
      <c r="J665" s="93">
        <v>35000.0</v>
      </c>
      <c r="K665" s="96">
        <f t="shared" si="4"/>
        <v>0</v>
      </c>
      <c r="L665" s="97"/>
      <c r="M665" s="98"/>
    </row>
    <row r="666" ht="22.5" customHeight="1">
      <c r="A666" s="101">
        <v>870.0</v>
      </c>
      <c r="B666" s="89">
        <v>45788.0</v>
      </c>
      <c r="C666" s="90" t="s">
        <v>44</v>
      </c>
      <c r="D666" s="91" t="s">
        <v>45</v>
      </c>
      <c r="E666" s="91" t="s">
        <v>588</v>
      </c>
      <c r="F666" s="92" t="s">
        <v>47</v>
      </c>
      <c r="G666" s="93">
        <v>400000.0</v>
      </c>
      <c r="H666" s="94">
        <v>0.0</v>
      </c>
      <c r="I666" s="95">
        <f t="shared" si="3"/>
        <v>400000</v>
      </c>
      <c r="J666" s="93">
        <v>400000.0</v>
      </c>
      <c r="K666" s="96">
        <f t="shared" si="4"/>
        <v>0</v>
      </c>
      <c r="L666" s="97"/>
      <c r="M666" s="98"/>
    </row>
    <row r="667" ht="22.5" customHeight="1">
      <c r="A667" s="101">
        <v>871.0</v>
      </c>
      <c r="B667" s="89">
        <v>45788.0</v>
      </c>
      <c r="C667" s="90" t="s">
        <v>44</v>
      </c>
      <c r="D667" s="91" t="s">
        <v>432</v>
      </c>
      <c r="E667" s="91" t="s">
        <v>686</v>
      </c>
      <c r="F667" s="92" t="s">
        <v>47</v>
      </c>
      <c r="G667" s="93">
        <v>120000.0</v>
      </c>
      <c r="H667" s="94">
        <v>0.0</v>
      </c>
      <c r="I667" s="95">
        <f t="shared" si="3"/>
        <v>120000</v>
      </c>
      <c r="J667" s="93">
        <v>120000.0</v>
      </c>
      <c r="K667" s="96">
        <f t="shared" si="4"/>
        <v>0</v>
      </c>
      <c r="L667" s="97"/>
      <c r="M667" s="98"/>
    </row>
    <row r="668" ht="22.5" customHeight="1">
      <c r="A668" s="101">
        <v>1010673.0</v>
      </c>
      <c r="B668" s="89">
        <v>45788.0</v>
      </c>
      <c r="C668" s="90" t="s">
        <v>44</v>
      </c>
      <c r="D668" s="91" t="s">
        <v>45</v>
      </c>
      <c r="E668" s="91" t="s">
        <v>69</v>
      </c>
      <c r="F668" s="92" t="s">
        <v>47</v>
      </c>
      <c r="G668" s="93">
        <v>30000.0</v>
      </c>
      <c r="H668" s="94">
        <v>0.0</v>
      </c>
      <c r="I668" s="95">
        <f t="shared" si="3"/>
        <v>30000</v>
      </c>
      <c r="J668" s="93">
        <v>30000.0</v>
      </c>
      <c r="K668" s="96">
        <f t="shared" si="4"/>
        <v>0</v>
      </c>
      <c r="L668" s="97"/>
      <c r="M668" s="98"/>
    </row>
    <row r="669" ht="22.5" customHeight="1">
      <c r="A669" s="101">
        <v>1010674.0</v>
      </c>
      <c r="B669" s="89">
        <v>45788.0</v>
      </c>
      <c r="C669" s="90" t="s">
        <v>44</v>
      </c>
      <c r="D669" s="91" t="s">
        <v>45</v>
      </c>
      <c r="E669" s="91" t="s">
        <v>687</v>
      </c>
      <c r="F669" s="92" t="s">
        <v>47</v>
      </c>
      <c r="G669" s="93">
        <v>85000.0</v>
      </c>
      <c r="H669" s="94">
        <v>0.0</v>
      </c>
      <c r="I669" s="95">
        <f t="shared" si="3"/>
        <v>85000</v>
      </c>
      <c r="J669" s="93">
        <v>85000.0</v>
      </c>
      <c r="K669" s="96">
        <f t="shared" si="4"/>
        <v>0</v>
      </c>
      <c r="L669" s="97"/>
      <c r="M669" s="98"/>
    </row>
    <row r="670" ht="22.5" customHeight="1">
      <c r="A670" s="101">
        <v>1010674.0</v>
      </c>
      <c r="B670" s="89">
        <v>45788.0</v>
      </c>
      <c r="C670" s="90" t="s">
        <v>44</v>
      </c>
      <c r="D670" s="91" t="s">
        <v>45</v>
      </c>
      <c r="E670" s="91" t="s">
        <v>688</v>
      </c>
      <c r="F670" s="92" t="s">
        <v>47</v>
      </c>
      <c r="G670" s="93">
        <v>65000.0</v>
      </c>
      <c r="H670" s="94">
        <v>0.0</v>
      </c>
      <c r="I670" s="95">
        <f t="shared" si="3"/>
        <v>65000</v>
      </c>
      <c r="J670" s="93">
        <v>65000.0</v>
      </c>
      <c r="K670" s="96">
        <f t="shared" si="4"/>
        <v>0</v>
      </c>
      <c r="L670" s="97"/>
      <c r="M670" s="98"/>
    </row>
    <row r="671" ht="22.5" customHeight="1">
      <c r="A671" s="101">
        <v>867.0</v>
      </c>
      <c r="B671" s="89">
        <v>45788.0</v>
      </c>
      <c r="C671" s="90" t="s">
        <v>44</v>
      </c>
      <c r="D671" s="91" t="s">
        <v>45</v>
      </c>
      <c r="E671" s="91" t="s">
        <v>92</v>
      </c>
      <c r="F671" s="92" t="s">
        <v>47</v>
      </c>
      <c r="G671" s="93">
        <v>150000.0</v>
      </c>
      <c r="H671" s="94">
        <v>0.0</v>
      </c>
      <c r="I671" s="95">
        <f t="shared" si="3"/>
        <v>150000</v>
      </c>
      <c r="J671" s="93">
        <v>150000.0</v>
      </c>
      <c r="K671" s="96">
        <f t="shared" si="4"/>
        <v>0</v>
      </c>
      <c r="L671" s="97"/>
      <c r="M671" s="98"/>
    </row>
    <row r="672" ht="22.5" customHeight="1">
      <c r="A672" s="101">
        <v>1010675.0</v>
      </c>
      <c r="B672" s="89">
        <v>45789.0</v>
      </c>
      <c r="C672" s="90" t="s">
        <v>44</v>
      </c>
      <c r="D672" s="91" t="s">
        <v>45</v>
      </c>
      <c r="E672" s="91" t="s">
        <v>292</v>
      </c>
      <c r="F672" s="92" t="s">
        <v>47</v>
      </c>
      <c r="G672" s="93">
        <v>100000.0</v>
      </c>
      <c r="H672" s="94">
        <v>0.0</v>
      </c>
      <c r="I672" s="95">
        <f t="shared" si="3"/>
        <v>100000</v>
      </c>
      <c r="J672" s="93">
        <v>100000.0</v>
      </c>
      <c r="K672" s="96">
        <f t="shared" si="4"/>
        <v>0</v>
      </c>
      <c r="L672" s="97"/>
      <c r="M672" s="98"/>
    </row>
    <row r="673" ht="22.5" customHeight="1">
      <c r="A673" s="88" t="s">
        <v>689</v>
      </c>
      <c r="B673" s="89">
        <v>45789.0</v>
      </c>
      <c r="C673" s="90" t="s">
        <v>44</v>
      </c>
      <c r="D673" s="91" t="s">
        <v>45</v>
      </c>
      <c r="E673" s="92" t="s">
        <v>67</v>
      </c>
      <c r="F673" s="92" t="s">
        <v>47</v>
      </c>
      <c r="G673" s="93">
        <v>500000.0</v>
      </c>
      <c r="H673" s="94">
        <v>0.0</v>
      </c>
      <c r="I673" s="95">
        <f t="shared" si="3"/>
        <v>500000</v>
      </c>
      <c r="J673" s="93">
        <v>500000.0</v>
      </c>
      <c r="K673" s="96">
        <f t="shared" si="4"/>
        <v>0</v>
      </c>
      <c r="L673" s="97"/>
      <c r="M673" s="98"/>
    </row>
    <row r="674" ht="22.5" customHeight="1">
      <c r="A674" s="101">
        <v>1010698.0</v>
      </c>
      <c r="B674" s="89">
        <v>45790.0</v>
      </c>
      <c r="C674" s="90" t="s">
        <v>44</v>
      </c>
      <c r="D674" s="91" t="s">
        <v>45</v>
      </c>
      <c r="E674" s="91" t="s">
        <v>431</v>
      </c>
      <c r="F674" s="92" t="s">
        <v>47</v>
      </c>
      <c r="G674" s="93">
        <v>60000.0</v>
      </c>
      <c r="H674" s="94">
        <v>0.0</v>
      </c>
      <c r="I674" s="95">
        <f t="shared" si="3"/>
        <v>60000</v>
      </c>
      <c r="J674" s="93">
        <v>60000.0</v>
      </c>
      <c r="K674" s="96">
        <f t="shared" si="4"/>
        <v>0</v>
      </c>
      <c r="L674" s="97"/>
      <c r="M674" s="98"/>
    </row>
    <row r="675" ht="22.5" customHeight="1">
      <c r="A675" s="88" t="s">
        <v>690</v>
      </c>
      <c r="B675" s="89">
        <v>45790.0</v>
      </c>
      <c r="C675" s="90" t="s">
        <v>44</v>
      </c>
      <c r="D675" s="91" t="s">
        <v>45</v>
      </c>
      <c r="E675" s="92" t="s">
        <v>691</v>
      </c>
      <c r="F675" s="92" t="s">
        <v>47</v>
      </c>
      <c r="G675" s="93">
        <v>100000.0</v>
      </c>
      <c r="H675" s="94">
        <v>0.0</v>
      </c>
      <c r="I675" s="95">
        <f t="shared" si="3"/>
        <v>100000</v>
      </c>
      <c r="J675" s="93">
        <v>100000.0</v>
      </c>
      <c r="K675" s="96">
        <f t="shared" si="4"/>
        <v>0</v>
      </c>
      <c r="L675" s="97"/>
      <c r="M675" s="98"/>
    </row>
    <row r="676" ht="22.5" customHeight="1">
      <c r="A676" s="101">
        <v>904.0</v>
      </c>
      <c r="B676" s="89">
        <v>45791.0</v>
      </c>
      <c r="C676" s="90" t="s">
        <v>44</v>
      </c>
      <c r="D676" s="91" t="s">
        <v>45</v>
      </c>
      <c r="E676" s="91" t="s">
        <v>49</v>
      </c>
      <c r="F676" s="92" t="s">
        <v>47</v>
      </c>
      <c r="G676" s="93">
        <v>35000.0</v>
      </c>
      <c r="H676" s="94">
        <v>0.0</v>
      </c>
      <c r="I676" s="95">
        <f t="shared" si="3"/>
        <v>35000</v>
      </c>
      <c r="J676" s="93">
        <v>35000.0</v>
      </c>
      <c r="K676" s="96">
        <f t="shared" si="4"/>
        <v>0</v>
      </c>
      <c r="L676" s="97"/>
      <c r="M676" s="98"/>
    </row>
    <row r="677" ht="22.5" customHeight="1">
      <c r="A677" s="101">
        <v>904.0</v>
      </c>
      <c r="B677" s="89">
        <v>45791.0</v>
      </c>
      <c r="C677" s="90" t="s">
        <v>44</v>
      </c>
      <c r="D677" s="91" t="s">
        <v>45</v>
      </c>
      <c r="E677" s="91" t="s">
        <v>69</v>
      </c>
      <c r="F677" s="92" t="s">
        <v>47</v>
      </c>
      <c r="G677" s="93">
        <v>30000.0</v>
      </c>
      <c r="H677" s="94">
        <v>0.0</v>
      </c>
      <c r="I677" s="95">
        <f t="shared" si="3"/>
        <v>30000</v>
      </c>
      <c r="J677" s="93">
        <v>30000.0</v>
      </c>
      <c r="K677" s="96">
        <f t="shared" si="4"/>
        <v>0</v>
      </c>
      <c r="L677" s="97"/>
      <c r="M677" s="98"/>
    </row>
    <row r="678" ht="22.5" customHeight="1">
      <c r="A678" s="101">
        <v>904.0</v>
      </c>
      <c r="B678" s="89">
        <v>45791.0</v>
      </c>
      <c r="C678" s="90" t="s">
        <v>44</v>
      </c>
      <c r="D678" s="91" t="s">
        <v>45</v>
      </c>
      <c r="E678" s="91" t="s">
        <v>343</v>
      </c>
      <c r="F678" s="92" t="s">
        <v>47</v>
      </c>
      <c r="G678" s="93">
        <v>10000.0</v>
      </c>
      <c r="H678" s="94">
        <v>0.0</v>
      </c>
      <c r="I678" s="95">
        <f t="shared" si="3"/>
        <v>10000</v>
      </c>
      <c r="J678" s="93">
        <v>10000.0</v>
      </c>
      <c r="K678" s="96">
        <f t="shared" si="4"/>
        <v>0</v>
      </c>
      <c r="L678" s="97"/>
      <c r="M678" s="98"/>
    </row>
    <row r="679" ht="22.5" customHeight="1">
      <c r="A679" s="88" t="s">
        <v>692</v>
      </c>
      <c r="B679" s="89">
        <v>45791.0</v>
      </c>
      <c r="C679" s="90" t="s">
        <v>44</v>
      </c>
      <c r="D679" s="91" t="s">
        <v>57</v>
      </c>
      <c r="E679" s="91" t="s">
        <v>693</v>
      </c>
      <c r="F679" s="92" t="s">
        <v>47</v>
      </c>
      <c r="G679" s="93">
        <v>15000.0</v>
      </c>
      <c r="H679" s="94">
        <v>0.0</v>
      </c>
      <c r="I679" s="95">
        <f t="shared" si="3"/>
        <v>15000</v>
      </c>
      <c r="J679" s="93">
        <v>15000.0</v>
      </c>
      <c r="K679" s="96">
        <f t="shared" si="4"/>
        <v>0</v>
      </c>
      <c r="L679" s="97"/>
      <c r="M679" s="98"/>
    </row>
    <row r="680" ht="22.5" customHeight="1">
      <c r="A680" s="88" t="s">
        <v>694</v>
      </c>
      <c r="B680" s="89">
        <v>45792.0</v>
      </c>
      <c r="C680" s="90" t="s">
        <v>44</v>
      </c>
      <c r="D680" s="91" t="s">
        <v>45</v>
      </c>
      <c r="E680" s="91" t="s">
        <v>387</v>
      </c>
      <c r="F680" s="92" t="s">
        <v>47</v>
      </c>
      <c r="G680" s="93">
        <v>7000.0</v>
      </c>
      <c r="H680" s="94">
        <v>0.0</v>
      </c>
      <c r="I680" s="95">
        <f t="shared" si="3"/>
        <v>7000</v>
      </c>
      <c r="J680" s="93">
        <v>7000.0</v>
      </c>
      <c r="K680" s="96">
        <f t="shared" si="4"/>
        <v>0</v>
      </c>
      <c r="L680" s="97"/>
      <c r="M680" s="98"/>
    </row>
    <row r="681" ht="22.5" customHeight="1">
      <c r="A681" s="101">
        <v>906.0</v>
      </c>
      <c r="B681" s="89">
        <v>45792.0</v>
      </c>
      <c r="C681" s="90" t="s">
        <v>44</v>
      </c>
      <c r="D681" s="91" t="s">
        <v>45</v>
      </c>
      <c r="E681" s="91" t="s">
        <v>695</v>
      </c>
      <c r="F681" s="92" t="s">
        <v>47</v>
      </c>
      <c r="G681" s="93">
        <v>45000.0</v>
      </c>
      <c r="H681" s="94">
        <v>0.0</v>
      </c>
      <c r="I681" s="95">
        <f t="shared" si="3"/>
        <v>45000</v>
      </c>
      <c r="J681" s="93">
        <v>45000.0</v>
      </c>
      <c r="K681" s="96">
        <f t="shared" si="4"/>
        <v>0</v>
      </c>
      <c r="L681" s="97"/>
      <c r="M681" s="98"/>
    </row>
    <row r="682" ht="22.5" customHeight="1">
      <c r="A682" s="101">
        <v>907.0</v>
      </c>
      <c r="B682" s="89">
        <v>45792.0</v>
      </c>
      <c r="C682" s="90" t="s">
        <v>44</v>
      </c>
      <c r="D682" s="91" t="s">
        <v>45</v>
      </c>
      <c r="E682" s="91" t="s">
        <v>431</v>
      </c>
      <c r="F682" s="92" t="s">
        <v>47</v>
      </c>
      <c r="G682" s="93">
        <v>69000.0</v>
      </c>
      <c r="H682" s="94">
        <v>0.0</v>
      </c>
      <c r="I682" s="95">
        <f t="shared" si="3"/>
        <v>69000</v>
      </c>
      <c r="J682" s="93">
        <v>69000.0</v>
      </c>
      <c r="K682" s="96">
        <f t="shared" si="4"/>
        <v>0</v>
      </c>
      <c r="L682" s="97"/>
      <c r="M682" s="98"/>
    </row>
    <row r="683" ht="22.5" customHeight="1">
      <c r="A683" s="101">
        <v>908.0</v>
      </c>
      <c r="B683" s="89">
        <v>45792.0</v>
      </c>
      <c r="C683" s="90" t="s">
        <v>44</v>
      </c>
      <c r="D683" s="91" t="s">
        <v>45</v>
      </c>
      <c r="E683" s="91" t="s">
        <v>431</v>
      </c>
      <c r="F683" s="92" t="s">
        <v>47</v>
      </c>
      <c r="G683" s="93">
        <v>69000.0</v>
      </c>
      <c r="H683" s="94">
        <v>0.0</v>
      </c>
      <c r="I683" s="95">
        <f t="shared" si="3"/>
        <v>69000</v>
      </c>
      <c r="J683" s="93">
        <v>69000.0</v>
      </c>
      <c r="K683" s="96">
        <f t="shared" si="4"/>
        <v>0</v>
      </c>
      <c r="L683" s="97"/>
      <c r="M683" s="98"/>
    </row>
    <row r="684" ht="22.5" customHeight="1">
      <c r="A684" s="101">
        <v>1010677.0</v>
      </c>
      <c r="B684" s="89">
        <v>45792.0</v>
      </c>
      <c r="C684" s="90" t="s">
        <v>44</v>
      </c>
      <c r="D684" s="91" t="s">
        <v>45</v>
      </c>
      <c r="E684" s="91" t="s">
        <v>431</v>
      </c>
      <c r="F684" s="92" t="s">
        <v>47</v>
      </c>
      <c r="G684" s="93">
        <v>69000.0</v>
      </c>
      <c r="H684" s="94">
        <v>0.0</v>
      </c>
      <c r="I684" s="95">
        <f t="shared" si="3"/>
        <v>69000</v>
      </c>
      <c r="J684" s="93">
        <v>69000.0</v>
      </c>
      <c r="K684" s="96">
        <f t="shared" si="4"/>
        <v>0</v>
      </c>
      <c r="L684" s="97"/>
      <c r="M684" s="98"/>
    </row>
    <row r="685" ht="22.5" customHeight="1">
      <c r="A685" s="101">
        <v>1010678.0</v>
      </c>
      <c r="B685" s="89">
        <v>45792.0</v>
      </c>
      <c r="C685" s="90" t="s">
        <v>44</v>
      </c>
      <c r="D685" s="91" t="s">
        <v>45</v>
      </c>
      <c r="E685" s="91" t="s">
        <v>656</v>
      </c>
      <c r="F685" s="92" t="s">
        <v>47</v>
      </c>
      <c r="G685" s="93">
        <v>69000.0</v>
      </c>
      <c r="H685" s="94">
        <v>0.0</v>
      </c>
      <c r="I685" s="95">
        <f t="shared" si="3"/>
        <v>69000</v>
      </c>
      <c r="J685" s="93">
        <v>69000.0</v>
      </c>
      <c r="K685" s="96">
        <f t="shared" si="4"/>
        <v>0</v>
      </c>
      <c r="L685" s="97"/>
      <c r="M685" s="98"/>
    </row>
    <row r="686" ht="22.5" customHeight="1">
      <c r="A686" s="101">
        <v>1010682.0</v>
      </c>
      <c r="B686" s="89">
        <v>45792.0</v>
      </c>
      <c r="C686" s="90" t="s">
        <v>44</v>
      </c>
      <c r="D686" s="91" t="s">
        <v>45</v>
      </c>
      <c r="E686" s="91" t="s">
        <v>656</v>
      </c>
      <c r="F686" s="92" t="s">
        <v>47</v>
      </c>
      <c r="G686" s="93">
        <v>69000.0</v>
      </c>
      <c r="H686" s="94">
        <v>0.0</v>
      </c>
      <c r="I686" s="95">
        <f t="shared" si="3"/>
        <v>69000</v>
      </c>
      <c r="J686" s="93">
        <v>69000.0</v>
      </c>
      <c r="K686" s="96">
        <f t="shared" si="4"/>
        <v>0</v>
      </c>
      <c r="L686" s="97"/>
      <c r="M686" s="98"/>
    </row>
    <row r="687" ht="22.5" customHeight="1">
      <c r="A687" s="101">
        <v>1010683.0</v>
      </c>
      <c r="B687" s="89">
        <v>45792.0</v>
      </c>
      <c r="C687" s="90" t="s">
        <v>44</v>
      </c>
      <c r="D687" s="91" t="s">
        <v>45</v>
      </c>
      <c r="E687" s="91" t="s">
        <v>656</v>
      </c>
      <c r="F687" s="92" t="s">
        <v>47</v>
      </c>
      <c r="G687" s="93">
        <v>69000.0</v>
      </c>
      <c r="H687" s="94">
        <v>0.0</v>
      </c>
      <c r="I687" s="95">
        <f t="shared" si="3"/>
        <v>69000</v>
      </c>
      <c r="J687" s="93">
        <v>69000.0</v>
      </c>
      <c r="K687" s="96">
        <f t="shared" si="4"/>
        <v>0</v>
      </c>
      <c r="L687" s="97"/>
      <c r="M687" s="98"/>
    </row>
    <row r="688" ht="22.5" customHeight="1">
      <c r="A688" s="101">
        <v>909.0</v>
      </c>
      <c r="B688" s="89">
        <v>45794.0</v>
      </c>
      <c r="C688" s="90" t="s">
        <v>44</v>
      </c>
      <c r="D688" s="91" t="s">
        <v>57</v>
      </c>
      <c r="E688" s="91" t="s">
        <v>696</v>
      </c>
      <c r="F688" s="92" t="s">
        <v>47</v>
      </c>
      <c r="G688" s="93">
        <v>45000.0</v>
      </c>
      <c r="H688" s="94">
        <v>0.0</v>
      </c>
      <c r="I688" s="95">
        <f t="shared" si="3"/>
        <v>45000</v>
      </c>
      <c r="J688" s="93">
        <v>45000.0</v>
      </c>
      <c r="K688" s="96">
        <f t="shared" si="4"/>
        <v>0</v>
      </c>
      <c r="L688" s="97"/>
      <c r="M688" s="98"/>
    </row>
    <row r="689" ht="22.5" customHeight="1">
      <c r="A689" s="101">
        <v>910.0</v>
      </c>
      <c r="B689" s="89">
        <v>45794.0</v>
      </c>
      <c r="C689" s="90" t="s">
        <v>44</v>
      </c>
      <c r="D689" s="91" t="s">
        <v>45</v>
      </c>
      <c r="E689" s="91" t="s">
        <v>697</v>
      </c>
      <c r="F689" s="92" t="s">
        <v>47</v>
      </c>
      <c r="G689" s="93">
        <v>30000.0</v>
      </c>
      <c r="H689" s="94">
        <v>0.0</v>
      </c>
      <c r="I689" s="95">
        <f t="shared" si="3"/>
        <v>30000</v>
      </c>
      <c r="J689" s="93">
        <v>30000.0</v>
      </c>
      <c r="K689" s="96">
        <f t="shared" si="4"/>
        <v>0</v>
      </c>
      <c r="L689" s="97"/>
      <c r="M689" s="98"/>
    </row>
    <row r="690" ht="22.5" customHeight="1">
      <c r="A690" s="88" t="s">
        <v>698</v>
      </c>
      <c r="B690" s="89">
        <v>45795.0</v>
      </c>
      <c r="C690" s="90" t="s">
        <v>44</v>
      </c>
      <c r="D690" s="91" t="s">
        <v>57</v>
      </c>
      <c r="E690" s="91" t="s">
        <v>92</v>
      </c>
      <c r="F690" s="92" t="s">
        <v>47</v>
      </c>
      <c r="G690" s="93">
        <v>15000.0</v>
      </c>
      <c r="H690" s="94">
        <v>0.0</v>
      </c>
      <c r="I690" s="95">
        <f t="shared" si="3"/>
        <v>15000</v>
      </c>
      <c r="J690" s="93">
        <v>15000.0</v>
      </c>
      <c r="K690" s="96">
        <f t="shared" si="4"/>
        <v>0</v>
      </c>
      <c r="L690" s="97"/>
      <c r="M690" s="98"/>
    </row>
    <row r="691" ht="22.5" customHeight="1">
      <c r="A691" s="101">
        <v>913.0</v>
      </c>
      <c r="B691" s="89">
        <v>45795.0</v>
      </c>
      <c r="C691" s="90" t="s">
        <v>44</v>
      </c>
      <c r="D691" s="91" t="s">
        <v>45</v>
      </c>
      <c r="E691" s="91" t="s">
        <v>431</v>
      </c>
      <c r="F691" s="92" t="s">
        <v>47</v>
      </c>
      <c r="G691" s="93">
        <v>69000.0</v>
      </c>
      <c r="H691" s="94">
        <v>0.0</v>
      </c>
      <c r="I691" s="95">
        <f t="shared" si="3"/>
        <v>69000</v>
      </c>
      <c r="J691" s="93">
        <v>69000.0</v>
      </c>
      <c r="K691" s="96">
        <f t="shared" si="4"/>
        <v>0</v>
      </c>
      <c r="L691" s="97"/>
      <c r="M691" s="98"/>
    </row>
    <row r="692" ht="22.5" customHeight="1">
      <c r="A692" s="101">
        <v>915.0</v>
      </c>
      <c r="B692" s="89">
        <v>45795.0</v>
      </c>
      <c r="C692" s="90" t="s">
        <v>44</v>
      </c>
      <c r="D692" s="91" t="s">
        <v>45</v>
      </c>
      <c r="E692" s="91" t="s">
        <v>431</v>
      </c>
      <c r="F692" s="92" t="s">
        <v>47</v>
      </c>
      <c r="G692" s="93">
        <v>69000.0</v>
      </c>
      <c r="H692" s="94">
        <v>0.0</v>
      </c>
      <c r="I692" s="95">
        <f t="shared" si="3"/>
        <v>69000</v>
      </c>
      <c r="J692" s="93">
        <v>69000.0</v>
      </c>
      <c r="K692" s="96">
        <f t="shared" si="4"/>
        <v>0</v>
      </c>
      <c r="L692" s="97"/>
      <c r="M692" s="98"/>
    </row>
    <row r="693" ht="22.5" customHeight="1">
      <c r="A693" s="101">
        <v>1010686.0</v>
      </c>
      <c r="B693" s="89">
        <v>45796.0</v>
      </c>
      <c r="C693" s="90" t="s">
        <v>44</v>
      </c>
      <c r="D693" s="91" t="s">
        <v>45</v>
      </c>
      <c r="E693" s="91" t="s">
        <v>431</v>
      </c>
      <c r="F693" s="92" t="s">
        <v>47</v>
      </c>
      <c r="G693" s="93">
        <v>69000.0</v>
      </c>
      <c r="H693" s="94">
        <v>0.0</v>
      </c>
      <c r="I693" s="95">
        <f t="shared" si="3"/>
        <v>69000</v>
      </c>
      <c r="J693" s="93">
        <v>69000.0</v>
      </c>
      <c r="K693" s="96">
        <f t="shared" si="4"/>
        <v>0</v>
      </c>
      <c r="L693" s="97"/>
      <c r="M693" s="98"/>
    </row>
    <row r="694" ht="22.5" customHeight="1">
      <c r="A694" s="101">
        <v>1010690.0</v>
      </c>
      <c r="B694" s="89">
        <v>45796.0</v>
      </c>
      <c r="C694" s="90" t="s">
        <v>44</v>
      </c>
      <c r="D694" s="91" t="s">
        <v>45</v>
      </c>
      <c r="E694" s="91" t="s">
        <v>431</v>
      </c>
      <c r="F694" s="92" t="s">
        <v>47</v>
      </c>
      <c r="G694" s="93">
        <v>69000.0</v>
      </c>
      <c r="H694" s="94">
        <v>0.0</v>
      </c>
      <c r="I694" s="95">
        <f t="shared" si="3"/>
        <v>69000</v>
      </c>
      <c r="J694" s="93">
        <v>69000.0</v>
      </c>
      <c r="K694" s="96">
        <f t="shared" si="4"/>
        <v>0</v>
      </c>
      <c r="L694" s="97"/>
      <c r="M694" s="98"/>
    </row>
    <row r="695" ht="22.5" customHeight="1">
      <c r="A695" s="101">
        <v>925104.0</v>
      </c>
      <c r="B695" s="89">
        <v>45796.0</v>
      </c>
      <c r="C695" s="90" t="s">
        <v>44</v>
      </c>
      <c r="D695" s="91" t="s">
        <v>45</v>
      </c>
      <c r="E695" s="91" t="s">
        <v>69</v>
      </c>
      <c r="F695" s="92" t="s">
        <v>47</v>
      </c>
      <c r="G695" s="93">
        <v>30000.0</v>
      </c>
      <c r="H695" s="94">
        <v>0.0</v>
      </c>
      <c r="I695" s="95">
        <f t="shared" si="3"/>
        <v>30000</v>
      </c>
      <c r="J695" s="93">
        <v>30000.0</v>
      </c>
      <c r="K695" s="96">
        <f t="shared" si="4"/>
        <v>0</v>
      </c>
      <c r="L695" s="97"/>
      <c r="M695" s="98"/>
    </row>
    <row r="696" ht="22.5" customHeight="1">
      <c r="A696" s="101">
        <v>925103.0</v>
      </c>
      <c r="B696" s="89">
        <v>45796.0</v>
      </c>
      <c r="C696" s="90" t="s">
        <v>44</v>
      </c>
      <c r="D696" s="91" t="s">
        <v>45</v>
      </c>
      <c r="E696" s="91" t="s">
        <v>431</v>
      </c>
      <c r="F696" s="92" t="s">
        <v>47</v>
      </c>
      <c r="G696" s="93">
        <v>69000.0</v>
      </c>
      <c r="H696" s="94">
        <v>0.0</v>
      </c>
      <c r="I696" s="95">
        <f t="shared" si="3"/>
        <v>69000</v>
      </c>
      <c r="J696" s="93">
        <v>69000.0</v>
      </c>
      <c r="K696" s="96">
        <f t="shared" si="4"/>
        <v>0</v>
      </c>
      <c r="L696" s="97"/>
      <c r="M696" s="98"/>
    </row>
    <row r="697" ht="22.5" customHeight="1">
      <c r="A697" s="101">
        <v>925102.0</v>
      </c>
      <c r="B697" s="89">
        <v>45796.0</v>
      </c>
      <c r="C697" s="90" t="s">
        <v>44</v>
      </c>
      <c r="D697" s="91" t="s">
        <v>45</v>
      </c>
      <c r="E697" s="91" t="s">
        <v>431</v>
      </c>
      <c r="F697" s="92" t="s">
        <v>47</v>
      </c>
      <c r="G697" s="93">
        <v>69000.0</v>
      </c>
      <c r="H697" s="94">
        <v>0.0</v>
      </c>
      <c r="I697" s="95">
        <f t="shared" si="3"/>
        <v>69000</v>
      </c>
      <c r="J697" s="93">
        <v>69000.0</v>
      </c>
      <c r="K697" s="96">
        <f t="shared" si="4"/>
        <v>0</v>
      </c>
      <c r="L697" s="97"/>
      <c r="M697" s="98"/>
    </row>
    <row r="698" ht="22.5" customHeight="1">
      <c r="A698" s="101">
        <v>925101.0</v>
      </c>
      <c r="B698" s="89">
        <v>45796.0</v>
      </c>
      <c r="C698" s="90" t="s">
        <v>44</v>
      </c>
      <c r="D698" s="91" t="s">
        <v>45</v>
      </c>
      <c r="E698" s="91" t="s">
        <v>431</v>
      </c>
      <c r="F698" s="92" t="s">
        <v>47</v>
      </c>
      <c r="G698" s="93">
        <v>69000.0</v>
      </c>
      <c r="H698" s="94">
        <v>0.0</v>
      </c>
      <c r="I698" s="95">
        <f t="shared" si="3"/>
        <v>69000</v>
      </c>
      <c r="J698" s="93">
        <v>69000.0</v>
      </c>
      <c r="K698" s="96">
        <f t="shared" si="4"/>
        <v>0</v>
      </c>
      <c r="L698" s="97"/>
      <c r="M698" s="98"/>
    </row>
    <row r="699" ht="22.5" customHeight="1">
      <c r="A699" s="101">
        <v>1010698.0</v>
      </c>
      <c r="B699" s="89">
        <v>45796.0</v>
      </c>
      <c r="C699" s="90" t="s">
        <v>44</v>
      </c>
      <c r="D699" s="91" t="s">
        <v>45</v>
      </c>
      <c r="E699" s="91" t="s">
        <v>431</v>
      </c>
      <c r="F699" s="92" t="s">
        <v>47</v>
      </c>
      <c r="G699" s="93">
        <v>60000.0</v>
      </c>
      <c r="H699" s="94">
        <v>0.0</v>
      </c>
      <c r="I699" s="95">
        <f t="shared" si="3"/>
        <v>60000</v>
      </c>
      <c r="J699" s="93">
        <v>60000.0</v>
      </c>
      <c r="K699" s="96">
        <f t="shared" si="4"/>
        <v>0</v>
      </c>
      <c r="L699" s="97"/>
      <c r="M699" s="98"/>
    </row>
    <row r="700" ht="22.5" customHeight="1">
      <c r="A700" s="101">
        <v>256.0</v>
      </c>
      <c r="B700" s="89">
        <v>45797.0</v>
      </c>
      <c r="C700" s="90" t="s">
        <v>44</v>
      </c>
      <c r="D700" s="91" t="s">
        <v>57</v>
      </c>
      <c r="E700" s="91" t="s">
        <v>699</v>
      </c>
      <c r="F700" s="92" t="s">
        <v>47</v>
      </c>
      <c r="G700" s="93">
        <v>1.0815E7</v>
      </c>
      <c r="H700" s="94">
        <v>0.0</v>
      </c>
      <c r="I700" s="95">
        <f t="shared" si="3"/>
        <v>10815000</v>
      </c>
      <c r="J700" s="93">
        <v>1.0815E7</v>
      </c>
      <c r="K700" s="96">
        <f t="shared" si="4"/>
        <v>0</v>
      </c>
      <c r="L700" s="97"/>
      <c r="M700" s="98"/>
    </row>
    <row r="701" ht="22.5" customHeight="1">
      <c r="A701" s="88" t="s">
        <v>700</v>
      </c>
      <c r="B701" s="89">
        <v>45797.0</v>
      </c>
      <c r="C701" s="90" t="s">
        <v>44</v>
      </c>
      <c r="D701" s="91" t="s">
        <v>45</v>
      </c>
      <c r="E701" s="91" t="s">
        <v>701</v>
      </c>
      <c r="F701" s="92" t="s">
        <v>47</v>
      </c>
      <c r="G701" s="93">
        <v>575000.0</v>
      </c>
      <c r="H701" s="94">
        <v>0.0</v>
      </c>
      <c r="I701" s="95">
        <f t="shared" si="3"/>
        <v>575000</v>
      </c>
      <c r="J701" s="93">
        <v>575000.0</v>
      </c>
      <c r="K701" s="96">
        <f t="shared" si="4"/>
        <v>0</v>
      </c>
      <c r="L701" s="97"/>
      <c r="M701" s="98"/>
    </row>
    <row r="702" ht="22.5" customHeight="1">
      <c r="A702" s="101">
        <v>1010689.0</v>
      </c>
      <c r="B702" s="89">
        <v>45797.0</v>
      </c>
      <c r="C702" s="90" t="s">
        <v>44</v>
      </c>
      <c r="D702" s="91" t="s">
        <v>45</v>
      </c>
      <c r="E702" s="91" t="s">
        <v>431</v>
      </c>
      <c r="F702" s="92" t="s">
        <v>47</v>
      </c>
      <c r="G702" s="93">
        <v>69000.0</v>
      </c>
      <c r="H702" s="94">
        <v>0.0</v>
      </c>
      <c r="I702" s="95">
        <f t="shared" si="3"/>
        <v>69000</v>
      </c>
      <c r="J702" s="93">
        <v>69000.0</v>
      </c>
      <c r="K702" s="96">
        <f t="shared" si="4"/>
        <v>0</v>
      </c>
      <c r="L702" s="97"/>
      <c r="M702" s="98"/>
    </row>
    <row r="703" ht="22.5" customHeight="1">
      <c r="A703" s="88" t="s">
        <v>702</v>
      </c>
      <c r="B703" s="89">
        <v>45797.0</v>
      </c>
      <c r="C703" s="90" t="s">
        <v>44</v>
      </c>
      <c r="D703" s="91" t="s">
        <v>45</v>
      </c>
      <c r="E703" s="91" t="s">
        <v>703</v>
      </c>
      <c r="F703" s="92" t="s">
        <v>47</v>
      </c>
      <c r="G703" s="93">
        <v>45000.0</v>
      </c>
      <c r="H703" s="94">
        <v>0.0</v>
      </c>
      <c r="I703" s="95">
        <f t="shared" si="3"/>
        <v>45000</v>
      </c>
      <c r="J703" s="93">
        <v>45000.0</v>
      </c>
      <c r="K703" s="96">
        <f t="shared" si="4"/>
        <v>0</v>
      </c>
      <c r="L703" s="97"/>
      <c r="M703" s="98"/>
    </row>
    <row r="704" ht="22.5" customHeight="1">
      <c r="A704" s="101">
        <v>930.0</v>
      </c>
      <c r="B704" s="89">
        <v>45798.0</v>
      </c>
      <c r="C704" s="90" t="s">
        <v>44</v>
      </c>
      <c r="D704" s="91" t="s">
        <v>704</v>
      </c>
      <c r="E704" s="91" t="s">
        <v>705</v>
      </c>
      <c r="F704" s="92" t="s">
        <v>47</v>
      </c>
      <c r="G704" s="93">
        <v>1000000.0</v>
      </c>
      <c r="H704" s="94">
        <v>0.0</v>
      </c>
      <c r="I704" s="95">
        <f t="shared" si="3"/>
        <v>1000000</v>
      </c>
      <c r="J704" s="93">
        <v>1000000.0</v>
      </c>
      <c r="K704" s="96">
        <f t="shared" si="4"/>
        <v>0</v>
      </c>
      <c r="L704" s="97"/>
      <c r="M704" s="98"/>
    </row>
    <row r="705" ht="22.5" customHeight="1">
      <c r="A705" s="101">
        <v>921.0</v>
      </c>
      <c r="B705" s="89">
        <v>45798.0</v>
      </c>
      <c r="C705" s="90" t="s">
        <v>44</v>
      </c>
      <c r="D705" s="91" t="s">
        <v>45</v>
      </c>
      <c r="E705" s="91" t="s">
        <v>706</v>
      </c>
      <c r="F705" s="92" t="s">
        <v>47</v>
      </c>
      <c r="G705" s="93">
        <v>135000.0</v>
      </c>
      <c r="H705" s="94">
        <v>0.0</v>
      </c>
      <c r="I705" s="95">
        <f t="shared" si="3"/>
        <v>135000</v>
      </c>
      <c r="J705" s="93">
        <v>135000.0</v>
      </c>
      <c r="K705" s="96">
        <f t="shared" si="4"/>
        <v>0</v>
      </c>
      <c r="L705" s="97"/>
      <c r="M705" s="98"/>
    </row>
    <row r="706" ht="22.5" customHeight="1">
      <c r="A706" s="101">
        <v>1010695.0</v>
      </c>
      <c r="B706" s="89">
        <v>45798.0</v>
      </c>
      <c r="C706" s="90" t="s">
        <v>44</v>
      </c>
      <c r="D706" s="91" t="s">
        <v>45</v>
      </c>
      <c r="E706" s="91" t="s">
        <v>431</v>
      </c>
      <c r="F706" s="92" t="s">
        <v>47</v>
      </c>
      <c r="G706" s="93">
        <v>70000.0</v>
      </c>
      <c r="H706" s="94">
        <v>0.0</v>
      </c>
      <c r="I706" s="95">
        <f t="shared" si="3"/>
        <v>70000</v>
      </c>
      <c r="J706" s="93">
        <v>70000.0</v>
      </c>
      <c r="K706" s="96">
        <f t="shared" si="4"/>
        <v>0</v>
      </c>
      <c r="L706" s="97"/>
      <c r="M706" s="98"/>
    </row>
    <row r="707" ht="22.5" customHeight="1">
      <c r="A707" s="101">
        <v>1010692.0</v>
      </c>
      <c r="B707" s="89">
        <v>45799.0</v>
      </c>
      <c r="C707" s="90" t="s">
        <v>44</v>
      </c>
      <c r="D707" s="91" t="s">
        <v>45</v>
      </c>
      <c r="E707" s="91" t="s">
        <v>707</v>
      </c>
      <c r="F707" s="92" t="s">
        <v>47</v>
      </c>
      <c r="G707" s="93">
        <v>20000.0</v>
      </c>
      <c r="H707" s="94">
        <v>0.0</v>
      </c>
      <c r="I707" s="95">
        <f t="shared" si="3"/>
        <v>20000</v>
      </c>
      <c r="J707" s="93">
        <v>20000.0</v>
      </c>
      <c r="K707" s="96">
        <f t="shared" si="4"/>
        <v>0</v>
      </c>
      <c r="L707" s="97"/>
      <c r="M707" s="98"/>
    </row>
    <row r="708" ht="22.5" customHeight="1">
      <c r="A708" s="101">
        <v>931.0</v>
      </c>
      <c r="B708" s="89">
        <v>45799.0</v>
      </c>
      <c r="C708" s="90" t="s">
        <v>44</v>
      </c>
      <c r="D708" s="91" t="s">
        <v>45</v>
      </c>
      <c r="E708" s="91" t="s">
        <v>431</v>
      </c>
      <c r="F708" s="92" t="s">
        <v>47</v>
      </c>
      <c r="G708" s="93">
        <v>69000.0</v>
      </c>
      <c r="H708" s="94">
        <v>0.0</v>
      </c>
      <c r="I708" s="95">
        <f t="shared" si="3"/>
        <v>69000</v>
      </c>
      <c r="J708" s="93">
        <v>69000.0</v>
      </c>
      <c r="K708" s="96">
        <f t="shared" si="4"/>
        <v>0</v>
      </c>
      <c r="L708" s="97"/>
      <c r="M708" s="98"/>
    </row>
    <row r="709" ht="22.5" customHeight="1">
      <c r="A709" s="88" t="s">
        <v>708</v>
      </c>
      <c r="B709" s="89">
        <v>45799.0</v>
      </c>
      <c r="C709" s="90" t="s">
        <v>44</v>
      </c>
      <c r="D709" s="91" t="s">
        <v>45</v>
      </c>
      <c r="E709" s="91" t="s">
        <v>46</v>
      </c>
      <c r="F709" s="92" t="s">
        <v>47</v>
      </c>
      <c r="G709" s="93">
        <v>40000.0</v>
      </c>
      <c r="H709" s="94">
        <v>0.0</v>
      </c>
      <c r="I709" s="95">
        <f t="shared" si="3"/>
        <v>40000</v>
      </c>
      <c r="J709" s="93">
        <v>40000.0</v>
      </c>
      <c r="K709" s="96">
        <f t="shared" si="4"/>
        <v>0</v>
      </c>
      <c r="L709" s="97"/>
      <c r="M709" s="98"/>
    </row>
    <row r="710" ht="22.5" customHeight="1">
      <c r="A710" s="101">
        <v>934.0</v>
      </c>
      <c r="B710" s="89">
        <v>45799.0</v>
      </c>
      <c r="C710" s="90" t="s">
        <v>44</v>
      </c>
      <c r="D710" s="91" t="s">
        <v>45</v>
      </c>
      <c r="E710" s="91" t="s">
        <v>387</v>
      </c>
      <c r="F710" s="92" t="s">
        <v>47</v>
      </c>
      <c r="G710" s="93">
        <v>8000.0</v>
      </c>
      <c r="H710" s="94">
        <v>0.0</v>
      </c>
      <c r="I710" s="95">
        <f t="shared" si="3"/>
        <v>8000</v>
      </c>
      <c r="J710" s="93">
        <v>8000.0</v>
      </c>
      <c r="K710" s="96">
        <f t="shared" si="4"/>
        <v>0</v>
      </c>
      <c r="L710" s="97"/>
      <c r="M710" s="98"/>
    </row>
    <row r="711" ht="22.5" customHeight="1">
      <c r="A711" s="101">
        <v>925117.0</v>
      </c>
      <c r="B711" s="89">
        <v>45799.0</v>
      </c>
      <c r="C711" s="90" t="s">
        <v>44</v>
      </c>
      <c r="D711" s="91" t="s">
        <v>45</v>
      </c>
      <c r="E711" s="91" t="s">
        <v>431</v>
      </c>
      <c r="F711" s="92" t="s">
        <v>47</v>
      </c>
      <c r="G711" s="93">
        <v>69000.0</v>
      </c>
      <c r="H711" s="94">
        <v>0.0</v>
      </c>
      <c r="I711" s="95">
        <f t="shared" si="3"/>
        <v>69000</v>
      </c>
      <c r="J711" s="93">
        <v>69000.0</v>
      </c>
      <c r="K711" s="96">
        <f t="shared" si="4"/>
        <v>0</v>
      </c>
      <c r="L711" s="97"/>
      <c r="M711" s="98"/>
    </row>
    <row r="712" ht="22.5" customHeight="1">
      <c r="A712" s="101">
        <v>925107.0</v>
      </c>
      <c r="B712" s="89">
        <v>45799.0</v>
      </c>
      <c r="C712" s="90" t="s">
        <v>44</v>
      </c>
      <c r="D712" s="91" t="s">
        <v>45</v>
      </c>
      <c r="E712" s="91" t="s">
        <v>431</v>
      </c>
      <c r="F712" s="92" t="s">
        <v>47</v>
      </c>
      <c r="G712" s="93">
        <v>69000.0</v>
      </c>
      <c r="H712" s="94">
        <v>0.0</v>
      </c>
      <c r="I712" s="95">
        <f t="shared" si="3"/>
        <v>69000</v>
      </c>
      <c r="J712" s="93">
        <v>69000.0</v>
      </c>
      <c r="K712" s="96">
        <f t="shared" si="4"/>
        <v>0</v>
      </c>
      <c r="L712" s="97"/>
      <c r="M712" s="98"/>
    </row>
    <row r="713" ht="22.5" customHeight="1">
      <c r="A713" s="101">
        <v>925105.0</v>
      </c>
      <c r="B713" s="89">
        <v>45799.0</v>
      </c>
      <c r="C713" s="90" t="s">
        <v>44</v>
      </c>
      <c r="D713" s="91" t="s">
        <v>45</v>
      </c>
      <c r="E713" s="91" t="s">
        <v>431</v>
      </c>
      <c r="F713" s="92" t="s">
        <v>47</v>
      </c>
      <c r="G713" s="93">
        <v>69000.0</v>
      </c>
      <c r="H713" s="94">
        <v>0.0</v>
      </c>
      <c r="I713" s="95">
        <f t="shared" si="3"/>
        <v>69000</v>
      </c>
      <c r="J713" s="93">
        <v>69000.0</v>
      </c>
      <c r="K713" s="96">
        <f t="shared" si="4"/>
        <v>0</v>
      </c>
      <c r="L713" s="97"/>
      <c r="M713" s="98"/>
    </row>
    <row r="714" ht="22.5" customHeight="1">
      <c r="A714" s="101">
        <v>925115.0</v>
      </c>
      <c r="B714" s="89">
        <v>45799.0</v>
      </c>
      <c r="C714" s="90" t="s">
        <v>44</v>
      </c>
      <c r="D714" s="91" t="s">
        <v>45</v>
      </c>
      <c r="E714" s="91" t="s">
        <v>431</v>
      </c>
      <c r="F714" s="92" t="s">
        <v>47</v>
      </c>
      <c r="G714" s="93">
        <v>69000.0</v>
      </c>
      <c r="H714" s="94">
        <v>0.0</v>
      </c>
      <c r="I714" s="95">
        <f t="shared" si="3"/>
        <v>69000</v>
      </c>
      <c r="J714" s="93">
        <v>69000.0</v>
      </c>
      <c r="K714" s="96">
        <f t="shared" si="4"/>
        <v>0</v>
      </c>
      <c r="L714" s="97"/>
      <c r="M714" s="98"/>
    </row>
    <row r="715" ht="22.5" customHeight="1">
      <c r="A715" s="101">
        <v>925110.0</v>
      </c>
      <c r="B715" s="89">
        <v>45799.0</v>
      </c>
      <c r="C715" s="90" t="s">
        <v>44</v>
      </c>
      <c r="D715" s="91" t="s">
        <v>45</v>
      </c>
      <c r="E715" s="91" t="s">
        <v>431</v>
      </c>
      <c r="F715" s="92" t="s">
        <v>47</v>
      </c>
      <c r="G715" s="93">
        <v>69000.0</v>
      </c>
      <c r="H715" s="94">
        <v>0.0</v>
      </c>
      <c r="I715" s="95">
        <f t="shared" si="3"/>
        <v>69000</v>
      </c>
      <c r="J715" s="93">
        <v>69000.0</v>
      </c>
      <c r="K715" s="96">
        <f t="shared" si="4"/>
        <v>0</v>
      </c>
      <c r="L715" s="97"/>
      <c r="M715" s="98"/>
    </row>
    <row r="716" ht="22.5" customHeight="1">
      <c r="A716" s="101">
        <v>925111.0</v>
      </c>
      <c r="B716" s="89">
        <v>45799.0</v>
      </c>
      <c r="C716" s="90" t="s">
        <v>44</v>
      </c>
      <c r="D716" s="91" t="s">
        <v>45</v>
      </c>
      <c r="E716" s="91" t="s">
        <v>431</v>
      </c>
      <c r="F716" s="92" t="s">
        <v>47</v>
      </c>
      <c r="G716" s="93">
        <v>69000.0</v>
      </c>
      <c r="H716" s="94">
        <v>0.0</v>
      </c>
      <c r="I716" s="95">
        <f t="shared" si="3"/>
        <v>69000</v>
      </c>
      <c r="J716" s="93">
        <v>69000.0</v>
      </c>
      <c r="K716" s="96">
        <f t="shared" si="4"/>
        <v>0</v>
      </c>
      <c r="L716" s="97"/>
      <c r="M716" s="98"/>
    </row>
    <row r="717" ht="22.5" customHeight="1">
      <c r="A717" s="101">
        <v>925112.0</v>
      </c>
      <c r="B717" s="89">
        <v>45799.0</v>
      </c>
      <c r="C717" s="90" t="s">
        <v>44</v>
      </c>
      <c r="D717" s="91" t="s">
        <v>45</v>
      </c>
      <c r="E717" s="91" t="s">
        <v>431</v>
      </c>
      <c r="F717" s="92" t="s">
        <v>47</v>
      </c>
      <c r="G717" s="93">
        <v>69000.0</v>
      </c>
      <c r="H717" s="94">
        <v>0.0</v>
      </c>
      <c r="I717" s="95">
        <f t="shared" si="3"/>
        <v>69000</v>
      </c>
      <c r="J717" s="93">
        <v>69000.0</v>
      </c>
      <c r="K717" s="96">
        <f t="shared" si="4"/>
        <v>0</v>
      </c>
      <c r="L717" s="97"/>
      <c r="M717" s="98"/>
    </row>
    <row r="718" ht="22.5" customHeight="1">
      <c r="A718" s="101">
        <v>925113.0</v>
      </c>
      <c r="B718" s="89">
        <v>45799.0</v>
      </c>
      <c r="C718" s="90" t="s">
        <v>44</v>
      </c>
      <c r="D718" s="91" t="s">
        <v>45</v>
      </c>
      <c r="E718" s="91" t="s">
        <v>431</v>
      </c>
      <c r="F718" s="92" t="s">
        <v>47</v>
      </c>
      <c r="G718" s="93">
        <v>69000.0</v>
      </c>
      <c r="H718" s="94">
        <v>0.0</v>
      </c>
      <c r="I718" s="95">
        <f t="shared" si="3"/>
        <v>69000</v>
      </c>
      <c r="J718" s="93">
        <v>69000.0</v>
      </c>
      <c r="K718" s="96">
        <f t="shared" si="4"/>
        <v>0</v>
      </c>
      <c r="L718" s="97"/>
      <c r="M718" s="98"/>
    </row>
    <row r="719" ht="22.5" customHeight="1">
      <c r="A719" s="101">
        <v>925116.0</v>
      </c>
      <c r="B719" s="89">
        <v>45799.0</v>
      </c>
      <c r="C719" s="90" t="s">
        <v>44</v>
      </c>
      <c r="D719" s="91" t="s">
        <v>45</v>
      </c>
      <c r="E719" s="91" t="s">
        <v>431</v>
      </c>
      <c r="F719" s="92" t="s">
        <v>47</v>
      </c>
      <c r="G719" s="93">
        <v>69000.0</v>
      </c>
      <c r="H719" s="94">
        <v>0.0</v>
      </c>
      <c r="I719" s="95">
        <f t="shared" si="3"/>
        <v>69000</v>
      </c>
      <c r="J719" s="93">
        <v>69000.0</v>
      </c>
      <c r="K719" s="96">
        <f t="shared" si="4"/>
        <v>0</v>
      </c>
      <c r="L719" s="97"/>
      <c r="M719" s="98"/>
    </row>
    <row r="720" ht="22.5" customHeight="1">
      <c r="A720" s="101">
        <v>925123.0</v>
      </c>
      <c r="B720" s="89">
        <v>45799.0</v>
      </c>
      <c r="C720" s="90" t="s">
        <v>44</v>
      </c>
      <c r="D720" s="91" t="s">
        <v>45</v>
      </c>
      <c r="E720" s="91" t="s">
        <v>706</v>
      </c>
      <c r="F720" s="92" t="s">
        <v>47</v>
      </c>
      <c r="G720" s="93">
        <v>111000.0</v>
      </c>
      <c r="H720" s="94">
        <v>0.0</v>
      </c>
      <c r="I720" s="95">
        <f t="shared" si="3"/>
        <v>111000</v>
      </c>
      <c r="J720" s="93">
        <v>111000.0</v>
      </c>
      <c r="K720" s="96">
        <f t="shared" si="4"/>
        <v>0</v>
      </c>
      <c r="L720" s="97"/>
      <c r="M720" s="98"/>
    </row>
    <row r="721" ht="22.5" customHeight="1">
      <c r="A721" s="101">
        <v>925122.0</v>
      </c>
      <c r="B721" s="89">
        <v>45799.0</v>
      </c>
      <c r="C721" s="90" t="s">
        <v>44</v>
      </c>
      <c r="D721" s="91" t="s">
        <v>45</v>
      </c>
      <c r="E721" s="91" t="s">
        <v>431</v>
      </c>
      <c r="F721" s="92" t="s">
        <v>47</v>
      </c>
      <c r="G721" s="93">
        <v>69000.0</v>
      </c>
      <c r="H721" s="94">
        <v>0.0</v>
      </c>
      <c r="I721" s="95">
        <f t="shared" si="3"/>
        <v>69000</v>
      </c>
      <c r="J721" s="93">
        <v>69000.0</v>
      </c>
      <c r="K721" s="96">
        <f t="shared" si="4"/>
        <v>0</v>
      </c>
      <c r="L721" s="97"/>
      <c r="M721" s="98"/>
    </row>
    <row r="722" ht="22.5" customHeight="1">
      <c r="A722" s="101">
        <v>925121.0</v>
      </c>
      <c r="B722" s="89">
        <v>45799.0</v>
      </c>
      <c r="C722" s="90" t="s">
        <v>44</v>
      </c>
      <c r="D722" s="91" t="s">
        <v>45</v>
      </c>
      <c r="E722" s="91" t="s">
        <v>431</v>
      </c>
      <c r="F722" s="92" t="s">
        <v>47</v>
      </c>
      <c r="G722" s="93">
        <v>69000.0</v>
      </c>
      <c r="H722" s="94">
        <v>0.0</v>
      </c>
      <c r="I722" s="95">
        <f t="shared" si="3"/>
        <v>69000</v>
      </c>
      <c r="J722" s="93">
        <v>69000.0</v>
      </c>
      <c r="K722" s="96">
        <f t="shared" si="4"/>
        <v>0</v>
      </c>
      <c r="L722" s="97"/>
      <c r="M722" s="98"/>
    </row>
    <row r="723" ht="22.5" customHeight="1">
      <c r="A723" s="101">
        <v>925120.0</v>
      </c>
      <c r="B723" s="89">
        <v>45799.0</v>
      </c>
      <c r="C723" s="90" t="s">
        <v>44</v>
      </c>
      <c r="D723" s="91" t="s">
        <v>45</v>
      </c>
      <c r="E723" s="91" t="s">
        <v>431</v>
      </c>
      <c r="F723" s="92" t="s">
        <v>47</v>
      </c>
      <c r="G723" s="93">
        <v>69000.0</v>
      </c>
      <c r="H723" s="94">
        <v>0.0</v>
      </c>
      <c r="I723" s="95">
        <f t="shared" si="3"/>
        <v>69000</v>
      </c>
      <c r="J723" s="93">
        <v>69000.0</v>
      </c>
      <c r="K723" s="96">
        <f t="shared" si="4"/>
        <v>0</v>
      </c>
      <c r="L723" s="97"/>
      <c r="M723" s="98"/>
    </row>
    <row r="724" ht="22.5" customHeight="1">
      <c r="A724" s="101">
        <v>925119.0</v>
      </c>
      <c r="B724" s="89">
        <v>45799.0</v>
      </c>
      <c r="C724" s="90" t="s">
        <v>44</v>
      </c>
      <c r="D724" s="91" t="s">
        <v>45</v>
      </c>
      <c r="E724" s="91" t="s">
        <v>431</v>
      </c>
      <c r="F724" s="92" t="s">
        <v>47</v>
      </c>
      <c r="G724" s="93">
        <v>69000.0</v>
      </c>
      <c r="H724" s="94">
        <v>0.0</v>
      </c>
      <c r="I724" s="95">
        <f t="shared" si="3"/>
        <v>69000</v>
      </c>
      <c r="J724" s="93">
        <v>69000.0</v>
      </c>
      <c r="K724" s="96">
        <f t="shared" si="4"/>
        <v>0</v>
      </c>
      <c r="L724" s="97"/>
      <c r="M724" s="98"/>
    </row>
    <row r="725" ht="22.5" customHeight="1">
      <c r="A725" s="101">
        <v>925118.0</v>
      </c>
      <c r="B725" s="89">
        <v>45799.0</v>
      </c>
      <c r="C725" s="90" t="s">
        <v>44</v>
      </c>
      <c r="D725" s="91" t="s">
        <v>45</v>
      </c>
      <c r="E725" s="91" t="s">
        <v>431</v>
      </c>
      <c r="F725" s="92" t="s">
        <v>47</v>
      </c>
      <c r="G725" s="93">
        <v>69000.0</v>
      </c>
      <c r="H725" s="94">
        <v>0.0</v>
      </c>
      <c r="I725" s="95">
        <f t="shared" si="3"/>
        <v>69000</v>
      </c>
      <c r="J725" s="93">
        <v>69000.0</v>
      </c>
      <c r="K725" s="96">
        <f t="shared" si="4"/>
        <v>0</v>
      </c>
      <c r="L725" s="97"/>
      <c r="M725" s="98"/>
    </row>
    <row r="726" ht="22.5" customHeight="1">
      <c r="A726" s="101">
        <v>1010693.0</v>
      </c>
      <c r="B726" s="89">
        <v>45799.0</v>
      </c>
      <c r="C726" s="90" t="s">
        <v>44</v>
      </c>
      <c r="D726" s="91" t="s">
        <v>45</v>
      </c>
      <c r="E726" s="91" t="s">
        <v>46</v>
      </c>
      <c r="F726" s="92" t="s">
        <v>47</v>
      </c>
      <c r="G726" s="93">
        <v>45000.0</v>
      </c>
      <c r="H726" s="94">
        <v>0.0</v>
      </c>
      <c r="I726" s="95">
        <f t="shared" si="3"/>
        <v>45000</v>
      </c>
      <c r="J726" s="93">
        <v>45000.0</v>
      </c>
      <c r="K726" s="96">
        <f t="shared" si="4"/>
        <v>0</v>
      </c>
      <c r="L726" s="97"/>
      <c r="M726" s="98"/>
    </row>
    <row r="727" ht="22.5" customHeight="1">
      <c r="A727" s="101">
        <v>1010693.0</v>
      </c>
      <c r="B727" s="89">
        <v>45799.0</v>
      </c>
      <c r="C727" s="90" t="s">
        <v>44</v>
      </c>
      <c r="D727" s="91" t="s">
        <v>45</v>
      </c>
      <c r="E727" s="91" t="s">
        <v>46</v>
      </c>
      <c r="F727" s="92" t="s">
        <v>47</v>
      </c>
      <c r="G727" s="93">
        <v>100000.0</v>
      </c>
      <c r="H727" s="94">
        <v>0.0</v>
      </c>
      <c r="I727" s="95">
        <f t="shared" si="3"/>
        <v>100000</v>
      </c>
      <c r="J727" s="93">
        <v>100000.0</v>
      </c>
      <c r="K727" s="96">
        <f t="shared" si="4"/>
        <v>0</v>
      </c>
      <c r="L727" s="97"/>
      <c r="M727" s="98"/>
    </row>
    <row r="728" ht="22.5" customHeight="1">
      <c r="A728" s="101">
        <v>1010696.0</v>
      </c>
      <c r="B728" s="89">
        <v>45799.0</v>
      </c>
      <c r="C728" s="90" t="s">
        <v>44</v>
      </c>
      <c r="D728" s="91" t="s">
        <v>45</v>
      </c>
      <c r="E728" s="91" t="s">
        <v>709</v>
      </c>
      <c r="F728" s="92" t="s">
        <v>47</v>
      </c>
      <c r="G728" s="93">
        <v>155000.0</v>
      </c>
      <c r="H728" s="94">
        <v>0.0</v>
      </c>
      <c r="I728" s="95">
        <f t="shared" si="3"/>
        <v>155000</v>
      </c>
      <c r="J728" s="93">
        <v>155000.0</v>
      </c>
      <c r="K728" s="96">
        <f t="shared" si="4"/>
        <v>0</v>
      </c>
      <c r="L728" s="97"/>
      <c r="M728" s="98"/>
    </row>
    <row r="729" ht="22.5" customHeight="1">
      <c r="A729" s="101">
        <v>925109.0</v>
      </c>
      <c r="B729" s="89">
        <v>45799.0</v>
      </c>
      <c r="C729" s="90" t="s">
        <v>44</v>
      </c>
      <c r="D729" s="91" t="s">
        <v>45</v>
      </c>
      <c r="E729" s="91" t="s">
        <v>431</v>
      </c>
      <c r="F729" s="92" t="s">
        <v>47</v>
      </c>
      <c r="G729" s="93">
        <v>69000.0</v>
      </c>
      <c r="H729" s="94">
        <v>0.0</v>
      </c>
      <c r="I729" s="95">
        <f t="shared" si="3"/>
        <v>69000</v>
      </c>
      <c r="J729" s="93">
        <v>69000.0</v>
      </c>
      <c r="K729" s="96">
        <f t="shared" si="4"/>
        <v>0</v>
      </c>
      <c r="L729" s="97"/>
      <c r="M729" s="98"/>
    </row>
    <row r="730" ht="22.5" customHeight="1">
      <c r="A730" s="88" t="s">
        <v>710</v>
      </c>
      <c r="B730" s="89">
        <v>45799.0</v>
      </c>
      <c r="C730" s="90" t="s">
        <v>44</v>
      </c>
      <c r="D730" s="91" t="s">
        <v>45</v>
      </c>
      <c r="E730" s="91" t="s">
        <v>182</v>
      </c>
      <c r="F730" s="92" t="s">
        <v>47</v>
      </c>
      <c r="G730" s="93">
        <v>40000.0</v>
      </c>
      <c r="H730" s="94">
        <v>0.0</v>
      </c>
      <c r="I730" s="95">
        <f t="shared" si="3"/>
        <v>40000</v>
      </c>
      <c r="J730" s="93">
        <v>40000.0</v>
      </c>
      <c r="K730" s="96">
        <f t="shared" si="4"/>
        <v>0</v>
      </c>
      <c r="L730" s="97"/>
      <c r="M730" s="98"/>
    </row>
    <row r="731" ht="22.5" customHeight="1">
      <c r="A731" s="101">
        <v>935.0</v>
      </c>
      <c r="B731" s="89">
        <v>45800.0</v>
      </c>
      <c r="C731" s="90" t="s">
        <v>44</v>
      </c>
      <c r="D731" s="91" t="s">
        <v>20</v>
      </c>
      <c r="E731" s="91" t="s">
        <v>711</v>
      </c>
      <c r="F731" s="92" t="s">
        <v>47</v>
      </c>
      <c r="G731" s="93">
        <v>130000.0</v>
      </c>
      <c r="H731" s="94">
        <v>0.0</v>
      </c>
      <c r="I731" s="95">
        <f t="shared" si="3"/>
        <v>130000</v>
      </c>
      <c r="J731" s="93">
        <v>130000.0</v>
      </c>
      <c r="K731" s="96">
        <f t="shared" si="4"/>
        <v>0</v>
      </c>
      <c r="L731" s="97"/>
      <c r="M731" s="98"/>
    </row>
    <row r="732" ht="22.5" customHeight="1">
      <c r="A732" s="101">
        <v>1010699.0</v>
      </c>
      <c r="B732" s="89">
        <v>45800.0</v>
      </c>
      <c r="C732" s="90" t="s">
        <v>44</v>
      </c>
      <c r="D732" s="91" t="s">
        <v>45</v>
      </c>
      <c r="E732" s="91" t="s">
        <v>92</v>
      </c>
      <c r="F732" s="92" t="s">
        <v>47</v>
      </c>
      <c r="G732" s="93">
        <v>150000.0</v>
      </c>
      <c r="H732" s="94">
        <v>0.0</v>
      </c>
      <c r="I732" s="95">
        <f t="shared" si="3"/>
        <v>150000</v>
      </c>
      <c r="J732" s="93">
        <v>150000.0</v>
      </c>
      <c r="K732" s="96">
        <f t="shared" si="4"/>
        <v>0</v>
      </c>
      <c r="L732" s="97"/>
      <c r="M732" s="98"/>
    </row>
    <row r="733" ht="22.5" customHeight="1">
      <c r="A733" s="101">
        <v>937.0</v>
      </c>
      <c r="B733" s="89">
        <v>45801.0</v>
      </c>
      <c r="C733" s="90" t="s">
        <v>44</v>
      </c>
      <c r="D733" s="91" t="s">
        <v>45</v>
      </c>
      <c r="E733" s="91" t="s">
        <v>334</v>
      </c>
      <c r="F733" s="92" t="s">
        <v>47</v>
      </c>
      <c r="G733" s="93">
        <v>1000000.0</v>
      </c>
      <c r="H733" s="94">
        <v>0.0</v>
      </c>
      <c r="I733" s="95">
        <f t="shared" si="3"/>
        <v>1000000</v>
      </c>
      <c r="J733" s="93">
        <v>1000000.0</v>
      </c>
      <c r="K733" s="96">
        <f t="shared" si="4"/>
        <v>0</v>
      </c>
      <c r="L733" s="97"/>
      <c r="M733" s="98"/>
    </row>
    <row r="734" ht="22.5" customHeight="1">
      <c r="A734" s="88" t="s">
        <v>712</v>
      </c>
      <c r="B734" s="89">
        <v>45802.0</v>
      </c>
      <c r="C734" s="90" t="s">
        <v>44</v>
      </c>
      <c r="D734" s="91" t="s">
        <v>432</v>
      </c>
      <c r="E734" s="91" t="s">
        <v>713</v>
      </c>
      <c r="F734" s="92" t="s">
        <v>47</v>
      </c>
      <c r="G734" s="93">
        <v>20000.0</v>
      </c>
      <c r="H734" s="94">
        <v>0.0</v>
      </c>
      <c r="I734" s="95">
        <f t="shared" si="3"/>
        <v>20000</v>
      </c>
      <c r="J734" s="93">
        <v>20000.0</v>
      </c>
      <c r="K734" s="96">
        <f t="shared" si="4"/>
        <v>0</v>
      </c>
      <c r="L734" s="97"/>
      <c r="M734" s="98"/>
    </row>
    <row r="735" ht="22.5" customHeight="1">
      <c r="A735" s="88" t="s">
        <v>714</v>
      </c>
      <c r="B735" s="89">
        <v>45802.0</v>
      </c>
      <c r="C735" s="90" t="s">
        <v>44</v>
      </c>
      <c r="D735" s="91" t="s">
        <v>57</v>
      </c>
      <c r="E735" s="91" t="s">
        <v>387</v>
      </c>
      <c r="F735" s="92" t="s">
        <v>47</v>
      </c>
      <c r="G735" s="93">
        <v>15000.0</v>
      </c>
      <c r="H735" s="94">
        <v>0.0</v>
      </c>
      <c r="I735" s="95">
        <f t="shared" si="3"/>
        <v>15000</v>
      </c>
      <c r="J735" s="93">
        <v>15000.0</v>
      </c>
      <c r="K735" s="96">
        <f t="shared" si="4"/>
        <v>0</v>
      </c>
      <c r="L735" s="97"/>
      <c r="M735" s="98"/>
    </row>
    <row r="736" ht="22.5" customHeight="1">
      <c r="A736" s="101">
        <v>938.0</v>
      </c>
      <c r="B736" s="89">
        <v>45803.0</v>
      </c>
      <c r="C736" s="90" t="s">
        <v>44</v>
      </c>
      <c r="D736" s="91" t="s">
        <v>57</v>
      </c>
      <c r="E736" s="91" t="s">
        <v>167</v>
      </c>
      <c r="F736" s="92" t="s">
        <v>47</v>
      </c>
      <c r="G736" s="93">
        <v>200000.0</v>
      </c>
      <c r="H736" s="94">
        <v>0.0</v>
      </c>
      <c r="I736" s="95">
        <f t="shared" si="3"/>
        <v>200000</v>
      </c>
      <c r="J736" s="93">
        <v>200000.0</v>
      </c>
      <c r="K736" s="96">
        <f t="shared" si="4"/>
        <v>0</v>
      </c>
      <c r="L736" s="97"/>
      <c r="M736" s="98"/>
    </row>
    <row r="737" ht="22.5" customHeight="1">
      <c r="A737" s="101">
        <v>1010697.0</v>
      </c>
      <c r="B737" s="89">
        <v>45803.0</v>
      </c>
      <c r="C737" s="90" t="s">
        <v>44</v>
      </c>
      <c r="D737" s="91" t="s">
        <v>45</v>
      </c>
      <c r="E737" s="91" t="s">
        <v>128</v>
      </c>
      <c r="F737" s="92" t="s">
        <v>47</v>
      </c>
      <c r="G737" s="93">
        <v>30000.0</v>
      </c>
      <c r="H737" s="94">
        <v>0.0</v>
      </c>
      <c r="I737" s="95">
        <f t="shared" si="3"/>
        <v>30000</v>
      </c>
      <c r="J737" s="93">
        <v>30000.0</v>
      </c>
      <c r="K737" s="96">
        <f t="shared" si="4"/>
        <v>0</v>
      </c>
      <c r="L737" s="97"/>
      <c r="M737" s="98"/>
    </row>
    <row r="738" ht="22.5" customHeight="1">
      <c r="A738" s="101">
        <v>939.0</v>
      </c>
      <c r="B738" s="89">
        <v>45803.0</v>
      </c>
      <c r="C738" s="90" t="s">
        <v>44</v>
      </c>
      <c r="D738" s="91" t="s">
        <v>432</v>
      </c>
      <c r="E738" s="91" t="s">
        <v>711</v>
      </c>
      <c r="F738" s="92" t="s">
        <v>47</v>
      </c>
      <c r="G738" s="93">
        <v>44000.0</v>
      </c>
      <c r="H738" s="94">
        <v>0.0</v>
      </c>
      <c r="I738" s="95">
        <f t="shared" si="3"/>
        <v>44000</v>
      </c>
      <c r="J738" s="93">
        <v>44000.0</v>
      </c>
      <c r="K738" s="96">
        <f t="shared" si="4"/>
        <v>0</v>
      </c>
      <c r="L738" s="97"/>
      <c r="M738" s="98"/>
    </row>
    <row r="739" ht="22.5" customHeight="1">
      <c r="A739" s="101">
        <v>962846.0</v>
      </c>
      <c r="B739" s="89">
        <v>45803.0</v>
      </c>
      <c r="C739" s="90" t="s">
        <v>44</v>
      </c>
      <c r="D739" s="91" t="s">
        <v>45</v>
      </c>
      <c r="E739" s="91" t="s">
        <v>67</v>
      </c>
      <c r="F739" s="92" t="s">
        <v>47</v>
      </c>
      <c r="G739" s="93">
        <v>100000.0</v>
      </c>
      <c r="H739" s="94">
        <v>0.0</v>
      </c>
      <c r="I739" s="95">
        <f t="shared" si="3"/>
        <v>100000</v>
      </c>
      <c r="J739" s="93">
        <v>100000.0</v>
      </c>
      <c r="K739" s="96">
        <f t="shared" si="4"/>
        <v>0</v>
      </c>
      <c r="L739" s="97"/>
      <c r="M739" s="98"/>
    </row>
    <row r="740" ht="22.5" customHeight="1">
      <c r="A740" s="101">
        <v>962846.0</v>
      </c>
      <c r="B740" s="89">
        <v>45803.0</v>
      </c>
      <c r="C740" s="90" t="s">
        <v>44</v>
      </c>
      <c r="D740" s="91" t="s">
        <v>45</v>
      </c>
      <c r="E740" s="91" t="s">
        <v>46</v>
      </c>
      <c r="F740" s="92" t="s">
        <v>47</v>
      </c>
      <c r="G740" s="93">
        <v>45000.0</v>
      </c>
      <c r="H740" s="94">
        <v>0.0</v>
      </c>
      <c r="I740" s="95">
        <f t="shared" si="3"/>
        <v>45000</v>
      </c>
      <c r="J740" s="93">
        <v>45000.0</v>
      </c>
      <c r="K740" s="96">
        <f t="shared" si="4"/>
        <v>0</v>
      </c>
      <c r="L740" s="97"/>
      <c r="M740" s="98"/>
    </row>
    <row r="741" ht="22.5" customHeight="1">
      <c r="A741" s="101">
        <v>962846.0</v>
      </c>
      <c r="B741" s="89">
        <v>45803.0</v>
      </c>
      <c r="C741" s="90" t="s">
        <v>44</v>
      </c>
      <c r="D741" s="91" t="s">
        <v>45</v>
      </c>
      <c r="E741" s="91" t="s">
        <v>518</v>
      </c>
      <c r="F741" s="92" t="s">
        <v>47</v>
      </c>
      <c r="G741" s="93">
        <v>50000.0</v>
      </c>
      <c r="H741" s="94">
        <v>0.0</v>
      </c>
      <c r="I741" s="95">
        <f t="shared" si="3"/>
        <v>50000</v>
      </c>
      <c r="J741" s="93">
        <v>50000.0</v>
      </c>
      <c r="K741" s="96">
        <f t="shared" si="4"/>
        <v>0</v>
      </c>
      <c r="L741" s="97"/>
      <c r="M741" s="98"/>
    </row>
    <row r="742" ht="22.5" customHeight="1">
      <c r="A742" s="88" t="s">
        <v>715</v>
      </c>
      <c r="B742" s="89">
        <v>45804.0</v>
      </c>
      <c r="C742" s="90" t="s">
        <v>44</v>
      </c>
      <c r="D742" s="91" t="s">
        <v>432</v>
      </c>
      <c r="E742" s="91" t="s">
        <v>716</v>
      </c>
      <c r="F742" s="92" t="s">
        <v>47</v>
      </c>
      <c r="G742" s="93">
        <v>23000.0</v>
      </c>
      <c r="H742" s="94">
        <v>0.0</v>
      </c>
      <c r="I742" s="95">
        <f t="shared" si="3"/>
        <v>23000</v>
      </c>
      <c r="J742" s="93">
        <v>23000.0</v>
      </c>
      <c r="K742" s="96">
        <f t="shared" si="4"/>
        <v>0</v>
      </c>
      <c r="L742" s="97"/>
      <c r="M742" s="98"/>
    </row>
    <row r="743" ht="22.5" customHeight="1">
      <c r="A743" s="88" t="s">
        <v>717</v>
      </c>
      <c r="B743" s="89">
        <v>45804.0</v>
      </c>
      <c r="C743" s="90" t="s">
        <v>44</v>
      </c>
      <c r="D743" s="91" t="s">
        <v>45</v>
      </c>
      <c r="E743" s="91" t="s">
        <v>518</v>
      </c>
      <c r="F743" s="92" t="s">
        <v>47</v>
      </c>
      <c r="G743" s="93">
        <v>60000.0</v>
      </c>
      <c r="H743" s="94">
        <v>0.0</v>
      </c>
      <c r="I743" s="95">
        <f t="shared" si="3"/>
        <v>60000</v>
      </c>
      <c r="J743" s="93">
        <v>60000.0</v>
      </c>
      <c r="K743" s="96">
        <f t="shared" si="4"/>
        <v>0</v>
      </c>
      <c r="L743" s="97"/>
      <c r="M743" s="98"/>
    </row>
    <row r="744" ht="22.5" customHeight="1">
      <c r="A744" s="101">
        <v>942.0</v>
      </c>
      <c r="B744" s="89">
        <v>45805.0</v>
      </c>
      <c r="C744" s="90" t="s">
        <v>44</v>
      </c>
      <c r="D744" s="91" t="s">
        <v>45</v>
      </c>
      <c r="E744" s="91" t="s">
        <v>718</v>
      </c>
      <c r="F744" s="92" t="s">
        <v>47</v>
      </c>
      <c r="G744" s="93">
        <v>75000.0</v>
      </c>
      <c r="H744" s="94">
        <v>0.0</v>
      </c>
      <c r="I744" s="95">
        <f t="shared" si="3"/>
        <v>75000</v>
      </c>
      <c r="J744" s="93">
        <v>75000.0</v>
      </c>
      <c r="K744" s="96">
        <f t="shared" si="4"/>
        <v>0</v>
      </c>
      <c r="L744" s="97"/>
      <c r="M744" s="98"/>
    </row>
    <row r="745" ht="22.5" customHeight="1">
      <c r="A745" s="88" t="s">
        <v>719</v>
      </c>
      <c r="B745" s="89">
        <v>45805.0</v>
      </c>
      <c r="C745" s="90" t="s">
        <v>44</v>
      </c>
      <c r="D745" s="91" t="s">
        <v>45</v>
      </c>
      <c r="E745" s="91" t="s">
        <v>720</v>
      </c>
      <c r="F745" s="92" t="s">
        <v>47</v>
      </c>
      <c r="G745" s="93">
        <v>895000.0</v>
      </c>
      <c r="H745" s="94">
        <v>0.0</v>
      </c>
      <c r="I745" s="95">
        <f t="shared" si="3"/>
        <v>895000</v>
      </c>
      <c r="J745" s="93">
        <v>895000.0</v>
      </c>
      <c r="K745" s="96">
        <f t="shared" si="4"/>
        <v>0</v>
      </c>
      <c r="L745" s="97"/>
      <c r="M745" s="98"/>
    </row>
    <row r="746" ht="22.5" customHeight="1">
      <c r="A746" s="101">
        <v>949.0</v>
      </c>
      <c r="B746" s="89">
        <v>45805.0</v>
      </c>
      <c r="C746" s="90" t="s">
        <v>44</v>
      </c>
      <c r="D746" s="91" t="s">
        <v>45</v>
      </c>
      <c r="E746" s="91" t="s">
        <v>128</v>
      </c>
      <c r="F746" s="92" t="s">
        <v>47</v>
      </c>
      <c r="G746" s="93">
        <v>50000.0</v>
      </c>
      <c r="H746" s="94">
        <v>0.0</v>
      </c>
      <c r="I746" s="95">
        <f t="shared" si="3"/>
        <v>50000</v>
      </c>
      <c r="J746" s="93">
        <v>50000.0</v>
      </c>
      <c r="K746" s="96">
        <f t="shared" si="4"/>
        <v>0</v>
      </c>
      <c r="L746" s="97"/>
      <c r="M746" s="98"/>
    </row>
    <row r="747" ht="22.5" customHeight="1">
      <c r="A747" s="88" t="s">
        <v>721</v>
      </c>
      <c r="B747" s="89">
        <v>45805.0</v>
      </c>
      <c r="C747" s="90" t="s">
        <v>44</v>
      </c>
      <c r="D747" s="91" t="s">
        <v>45</v>
      </c>
      <c r="E747" s="91" t="s">
        <v>618</v>
      </c>
      <c r="F747" s="92" t="s">
        <v>47</v>
      </c>
      <c r="G747" s="93">
        <v>800000.0</v>
      </c>
      <c r="H747" s="94">
        <v>0.0</v>
      </c>
      <c r="I747" s="95">
        <f t="shared" si="3"/>
        <v>800000</v>
      </c>
      <c r="J747" s="93">
        <v>800000.0</v>
      </c>
      <c r="K747" s="96">
        <f t="shared" si="4"/>
        <v>0</v>
      </c>
      <c r="L747" s="97"/>
      <c r="M747" s="98"/>
    </row>
    <row r="748" ht="22.5" customHeight="1">
      <c r="A748" s="101">
        <v>948.0</v>
      </c>
      <c r="B748" s="89">
        <v>45805.0</v>
      </c>
      <c r="C748" s="90" t="s">
        <v>44</v>
      </c>
      <c r="D748" s="91" t="s">
        <v>45</v>
      </c>
      <c r="E748" s="91" t="s">
        <v>128</v>
      </c>
      <c r="F748" s="92" t="s">
        <v>47</v>
      </c>
      <c r="G748" s="93">
        <v>30000.0</v>
      </c>
      <c r="H748" s="94">
        <v>0.0</v>
      </c>
      <c r="I748" s="95">
        <f t="shared" si="3"/>
        <v>30000</v>
      </c>
      <c r="J748" s="93">
        <v>30000.0</v>
      </c>
      <c r="K748" s="96">
        <f t="shared" si="4"/>
        <v>0</v>
      </c>
      <c r="L748" s="97"/>
      <c r="M748" s="98"/>
    </row>
    <row r="749" ht="22.5" customHeight="1">
      <c r="A749" s="101">
        <v>943.0</v>
      </c>
      <c r="B749" s="89">
        <v>45805.0</v>
      </c>
      <c r="C749" s="90" t="s">
        <v>44</v>
      </c>
      <c r="D749" s="91" t="s">
        <v>45</v>
      </c>
      <c r="E749" s="91" t="s">
        <v>387</v>
      </c>
      <c r="F749" s="92" t="s">
        <v>47</v>
      </c>
      <c r="G749" s="93">
        <v>15000.0</v>
      </c>
      <c r="H749" s="94">
        <v>0.0</v>
      </c>
      <c r="I749" s="95">
        <f t="shared" si="3"/>
        <v>15000</v>
      </c>
      <c r="J749" s="93">
        <v>15000.0</v>
      </c>
      <c r="K749" s="96">
        <f t="shared" si="4"/>
        <v>0</v>
      </c>
      <c r="L749" s="97"/>
      <c r="M749" s="98"/>
    </row>
    <row r="750" ht="22.5" customHeight="1">
      <c r="A750" s="88" t="s">
        <v>722</v>
      </c>
      <c r="B750" s="89">
        <v>45805.0</v>
      </c>
      <c r="C750" s="90" t="s">
        <v>44</v>
      </c>
      <c r="D750" s="91" t="s">
        <v>57</v>
      </c>
      <c r="E750" s="91" t="s">
        <v>723</v>
      </c>
      <c r="F750" s="92" t="s">
        <v>47</v>
      </c>
      <c r="G750" s="93">
        <v>70000.0</v>
      </c>
      <c r="H750" s="94">
        <v>0.0</v>
      </c>
      <c r="I750" s="95">
        <f t="shared" si="3"/>
        <v>70000</v>
      </c>
      <c r="J750" s="93">
        <v>70000.0</v>
      </c>
      <c r="K750" s="96">
        <f t="shared" si="4"/>
        <v>0</v>
      </c>
      <c r="L750" s="97"/>
      <c r="M750" s="98"/>
    </row>
    <row r="751" ht="22.5" customHeight="1">
      <c r="A751" s="88" t="s">
        <v>724</v>
      </c>
      <c r="B751" s="89">
        <v>45805.0</v>
      </c>
      <c r="C751" s="90" t="s">
        <v>44</v>
      </c>
      <c r="D751" s="91" t="s">
        <v>432</v>
      </c>
      <c r="E751" s="91" t="s">
        <v>716</v>
      </c>
      <c r="F751" s="92" t="s">
        <v>47</v>
      </c>
      <c r="G751" s="93">
        <v>15000.0</v>
      </c>
      <c r="H751" s="94">
        <v>0.0</v>
      </c>
      <c r="I751" s="95">
        <f t="shared" si="3"/>
        <v>15000</v>
      </c>
      <c r="J751" s="93">
        <v>15000.0</v>
      </c>
      <c r="K751" s="96">
        <f t="shared" si="4"/>
        <v>0</v>
      </c>
      <c r="L751" s="97"/>
      <c r="M751" s="98"/>
    </row>
    <row r="752" ht="22.5" customHeight="1">
      <c r="A752" s="101">
        <v>950.0</v>
      </c>
      <c r="B752" s="89">
        <v>45805.0</v>
      </c>
      <c r="C752" s="90" t="s">
        <v>44</v>
      </c>
      <c r="D752" s="91" t="s">
        <v>432</v>
      </c>
      <c r="E752" s="91" t="s">
        <v>725</v>
      </c>
      <c r="F752" s="92" t="s">
        <v>47</v>
      </c>
      <c r="G752" s="93">
        <v>60000.0</v>
      </c>
      <c r="H752" s="94">
        <v>0.0</v>
      </c>
      <c r="I752" s="95">
        <f t="shared" si="3"/>
        <v>60000</v>
      </c>
      <c r="J752" s="93">
        <v>60000.0</v>
      </c>
      <c r="K752" s="96">
        <f t="shared" si="4"/>
        <v>0</v>
      </c>
      <c r="L752" s="97"/>
      <c r="M752" s="98"/>
    </row>
    <row r="753" ht="22.5" customHeight="1">
      <c r="A753" s="88" t="s">
        <v>726</v>
      </c>
      <c r="B753" s="89">
        <v>45806.0</v>
      </c>
      <c r="C753" s="90" t="s">
        <v>44</v>
      </c>
      <c r="D753" s="91" t="s">
        <v>57</v>
      </c>
      <c r="E753" s="91" t="s">
        <v>625</v>
      </c>
      <c r="F753" s="92" t="s">
        <v>47</v>
      </c>
      <c r="G753" s="93">
        <v>10000.0</v>
      </c>
      <c r="H753" s="94">
        <v>0.0</v>
      </c>
      <c r="I753" s="95">
        <f t="shared" si="3"/>
        <v>10000</v>
      </c>
      <c r="J753" s="93">
        <v>10000.0</v>
      </c>
      <c r="K753" s="96">
        <f t="shared" si="4"/>
        <v>0</v>
      </c>
      <c r="L753" s="97"/>
      <c r="M753" s="98"/>
    </row>
    <row r="754" ht="22.5" customHeight="1">
      <c r="A754" s="88" t="s">
        <v>727</v>
      </c>
      <c r="B754" s="89">
        <v>45807.0</v>
      </c>
      <c r="C754" s="90" t="s">
        <v>44</v>
      </c>
      <c r="D754" s="91" t="s">
        <v>432</v>
      </c>
      <c r="E754" s="91" t="s">
        <v>728</v>
      </c>
      <c r="F754" s="92" t="s">
        <v>47</v>
      </c>
      <c r="G754" s="93">
        <v>1000000.0</v>
      </c>
      <c r="H754" s="94">
        <v>0.0</v>
      </c>
      <c r="I754" s="95">
        <f t="shared" si="3"/>
        <v>1000000</v>
      </c>
      <c r="J754" s="93">
        <v>1000000.0</v>
      </c>
      <c r="K754" s="96">
        <f t="shared" si="4"/>
        <v>0</v>
      </c>
      <c r="L754" s="97"/>
      <c r="M754" s="98"/>
    </row>
    <row r="755" ht="22.5" customHeight="1">
      <c r="A755" s="88" t="s">
        <v>729</v>
      </c>
      <c r="B755" s="89">
        <v>45808.0</v>
      </c>
      <c r="C755" s="103" t="s">
        <v>83</v>
      </c>
      <c r="D755" s="91" t="s">
        <v>45</v>
      </c>
      <c r="E755" s="92" t="s">
        <v>92</v>
      </c>
      <c r="F755" s="92" t="s">
        <v>47</v>
      </c>
      <c r="G755" s="93">
        <v>50000.0</v>
      </c>
      <c r="H755" s="94">
        <v>0.0</v>
      </c>
      <c r="I755" s="95">
        <f t="shared" si="3"/>
        <v>50000</v>
      </c>
      <c r="J755" s="93">
        <v>0.0</v>
      </c>
      <c r="K755" s="104">
        <f t="shared" si="4"/>
        <v>50000</v>
      </c>
      <c r="L755" s="97"/>
      <c r="M755" s="98"/>
    </row>
    <row r="756" ht="22.5" customHeight="1">
      <c r="A756" s="101">
        <v>974.0</v>
      </c>
      <c r="B756" s="89">
        <v>45808.0</v>
      </c>
      <c r="C756" s="90" t="s">
        <v>44</v>
      </c>
      <c r="D756" s="91" t="s">
        <v>57</v>
      </c>
      <c r="E756" s="92" t="s">
        <v>730</v>
      </c>
      <c r="F756" s="92" t="s">
        <v>47</v>
      </c>
      <c r="G756" s="93">
        <v>1000000.0</v>
      </c>
      <c r="H756" s="94">
        <v>0.0</v>
      </c>
      <c r="I756" s="95">
        <f t="shared" si="3"/>
        <v>1000000</v>
      </c>
      <c r="J756" s="93">
        <v>1000000.0</v>
      </c>
      <c r="K756" s="96">
        <f t="shared" si="4"/>
        <v>0</v>
      </c>
      <c r="L756" s="97"/>
      <c r="M756" s="98"/>
    </row>
    <row r="757" ht="22.5" customHeight="1">
      <c r="A757" s="88" t="s">
        <v>731</v>
      </c>
      <c r="B757" s="89">
        <v>45809.0</v>
      </c>
      <c r="C757" s="90" t="s">
        <v>44</v>
      </c>
      <c r="D757" s="91" t="s">
        <v>45</v>
      </c>
      <c r="E757" s="91" t="s">
        <v>431</v>
      </c>
      <c r="F757" s="92" t="s">
        <v>47</v>
      </c>
      <c r="G757" s="93">
        <v>70000.0</v>
      </c>
      <c r="H757" s="94">
        <v>0.0</v>
      </c>
      <c r="I757" s="95">
        <f t="shared" si="3"/>
        <v>70000</v>
      </c>
      <c r="J757" s="93">
        <v>70000.0</v>
      </c>
      <c r="K757" s="96">
        <f t="shared" si="4"/>
        <v>0</v>
      </c>
      <c r="L757" s="97"/>
      <c r="M757" s="98"/>
    </row>
    <row r="758" ht="22.5" customHeight="1">
      <c r="A758" s="88" t="s">
        <v>732</v>
      </c>
      <c r="B758" s="89">
        <v>45809.0</v>
      </c>
      <c r="C758" s="90" t="s">
        <v>44</v>
      </c>
      <c r="D758" s="91" t="s">
        <v>45</v>
      </c>
      <c r="E758" s="91" t="s">
        <v>431</v>
      </c>
      <c r="F758" s="92" t="s">
        <v>47</v>
      </c>
      <c r="G758" s="93">
        <v>70000.0</v>
      </c>
      <c r="H758" s="94">
        <v>0.0</v>
      </c>
      <c r="I758" s="95">
        <f t="shared" si="3"/>
        <v>70000</v>
      </c>
      <c r="J758" s="93">
        <v>70000.0</v>
      </c>
      <c r="K758" s="96">
        <f t="shared" si="4"/>
        <v>0</v>
      </c>
      <c r="L758" s="97"/>
      <c r="M758" s="98"/>
    </row>
    <row r="759" ht="22.5" customHeight="1">
      <c r="A759" s="88" t="s">
        <v>733</v>
      </c>
      <c r="B759" s="89">
        <v>45809.0</v>
      </c>
      <c r="C759" s="90" t="s">
        <v>44</v>
      </c>
      <c r="D759" s="91" t="s">
        <v>45</v>
      </c>
      <c r="E759" s="92" t="s">
        <v>734</v>
      </c>
      <c r="F759" s="92" t="s">
        <v>47</v>
      </c>
      <c r="G759" s="93">
        <v>285000.0</v>
      </c>
      <c r="H759" s="94">
        <v>0.0</v>
      </c>
      <c r="I759" s="95">
        <f t="shared" si="3"/>
        <v>285000</v>
      </c>
      <c r="J759" s="93">
        <v>285000.0</v>
      </c>
      <c r="K759" s="96">
        <f t="shared" si="4"/>
        <v>0</v>
      </c>
      <c r="L759" s="97"/>
      <c r="M759" s="98"/>
    </row>
    <row r="760" ht="22.5" customHeight="1">
      <c r="A760" s="88" t="s">
        <v>735</v>
      </c>
      <c r="B760" s="89">
        <v>45809.0</v>
      </c>
      <c r="C760" s="90" t="s">
        <v>44</v>
      </c>
      <c r="D760" s="91" t="s">
        <v>45</v>
      </c>
      <c r="E760" s="92" t="s">
        <v>387</v>
      </c>
      <c r="F760" s="92" t="s">
        <v>47</v>
      </c>
      <c r="G760" s="93">
        <v>15000.0</v>
      </c>
      <c r="H760" s="94">
        <v>0.0</v>
      </c>
      <c r="I760" s="95">
        <f t="shared" si="3"/>
        <v>15000</v>
      </c>
      <c r="J760" s="93">
        <v>15000.0</v>
      </c>
      <c r="K760" s="96">
        <f t="shared" si="4"/>
        <v>0</v>
      </c>
      <c r="L760" s="97"/>
      <c r="M760" s="98"/>
    </row>
    <row r="761" ht="22.5" customHeight="1">
      <c r="A761" s="88" t="s">
        <v>736</v>
      </c>
      <c r="B761" s="89">
        <v>45809.0</v>
      </c>
      <c r="C761" s="90" t="s">
        <v>44</v>
      </c>
      <c r="D761" s="91" t="s">
        <v>432</v>
      </c>
      <c r="E761" s="91" t="s">
        <v>737</v>
      </c>
      <c r="F761" s="92" t="s">
        <v>47</v>
      </c>
      <c r="G761" s="93">
        <v>55000.0</v>
      </c>
      <c r="H761" s="94">
        <v>0.0</v>
      </c>
      <c r="I761" s="95">
        <f t="shared" si="3"/>
        <v>55000</v>
      </c>
      <c r="J761" s="93">
        <v>55000.0</v>
      </c>
      <c r="K761" s="96">
        <f t="shared" si="4"/>
        <v>0</v>
      </c>
      <c r="L761" s="97"/>
      <c r="M761" s="98"/>
    </row>
    <row r="762" ht="22.5" customHeight="1">
      <c r="A762" s="88" t="s">
        <v>738</v>
      </c>
      <c r="B762" s="89">
        <v>45809.0</v>
      </c>
      <c r="C762" s="90" t="s">
        <v>44</v>
      </c>
      <c r="D762" s="91" t="s">
        <v>45</v>
      </c>
      <c r="E762" s="91" t="s">
        <v>739</v>
      </c>
      <c r="F762" s="92" t="s">
        <v>47</v>
      </c>
      <c r="G762" s="93">
        <v>75000.0</v>
      </c>
      <c r="H762" s="94">
        <v>0.0</v>
      </c>
      <c r="I762" s="95">
        <f t="shared" si="3"/>
        <v>75000</v>
      </c>
      <c r="J762" s="93">
        <v>75000.0</v>
      </c>
      <c r="K762" s="96">
        <f t="shared" si="4"/>
        <v>0</v>
      </c>
      <c r="L762" s="97"/>
      <c r="M762" s="98"/>
    </row>
    <row r="763" ht="22.5" customHeight="1">
      <c r="A763" s="101">
        <v>956.0</v>
      </c>
      <c r="B763" s="89">
        <v>45809.0</v>
      </c>
      <c r="C763" s="90" t="s">
        <v>44</v>
      </c>
      <c r="D763" s="91" t="s">
        <v>224</v>
      </c>
      <c r="E763" s="91" t="s">
        <v>740</v>
      </c>
      <c r="F763" s="92" t="s">
        <v>47</v>
      </c>
      <c r="G763" s="93">
        <v>1520000.0</v>
      </c>
      <c r="H763" s="94">
        <v>0.0</v>
      </c>
      <c r="I763" s="95">
        <f t="shared" si="3"/>
        <v>1520000</v>
      </c>
      <c r="J763" s="93">
        <v>1520000.0</v>
      </c>
      <c r="K763" s="96">
        <f t="shared" si="4"/>
        <v>0</v>
      </c>
      <c r="L763" s="97"/>
      <c r="M763" s="98"/>
    </row>
    <row r="764" ht="22.5" customHeight="1">
      <c r="A764" s="101">
        <v>997454.0</v>
      </c>
      <c r="B764" s="89">
        <v>45809.0</v>
      </c>
      <c r="C764" s="90" t="s">
        <v>44</v>
      </c>
      <c r="D764" s="91" t="s">
        <v>45</v>
      </c>
      <c r="E764" s="92" t="s">
        <v>69</v>
      </c>
      <c r="F764" s="92" t="s">
        <v>47</v>
      </c>
      <c r="G764" s="93">
        <v>30000.0</v>
      </c>
      <c r="H764" s="94">
        <v>0.0</v>
      </c>
      <c r="I764" s="95">
        <f t="shared" si="3"/>
        <v>30000</v>
      </c>
      <c r="J764" s="93">
        <v>30000.0</v>
      </c>
      <c r="K764" s="96">
        <f t="shared" si="4"/>
        <v>0</v>
      </c>
      <c r="L764" s="97"/>
      <c r="M764" s="98"/>
    </row>
    <row r="765" ht="22.5" customHeight="1">
      <c r="A765" s="88" t="s">
        <v>741</v>
      </c>
      <c r="B765" s="89">
        <v>45809.0</v>
      </c>
      <c r="C765" s="90" t="s">
        <v>44</v>
      </c>
      <c r="D765" s="91" t="s">
        <v>57</v>
      </c>
      <c r="E765" s="92" t="s">
        <v>742</v>
      </c>
      <c r="F765" s="92" t="s">
        <v>47</v>
      </c>
      <c r="G765" s="93">
        <v>8300000.0</v>
      </c>
      <c r="H765" s="94">
        <v>0.0</v>
      </c>
      <c r="I765" s="95">
        <f t="shared" si="3"/>
        <v>8300000</v>
      </c>
      <c r="J765" s="93">
        <v>8300000.0</v>
      </c>
      <c r="K765" s="96">
        <f t="shared" si="4"/>
        <v>0</v>
      </c>
      <c r="L765" s="97"/>
      <c r="M765" s="98"/>
    </row>
    <row r="766" ht="22.5" customHeight="1">
      <c r="A766" s="88" t="s">
        <v>743</v>
      </c>
      <c r="B766" s="89">
        <v>45809.0</v>
      </c>
      <c r="C766" s="90" t="s">
        <v>44</v>
      </c>
      <c r="D766" s="91" t="s">
        <v>57</v>
      </c>
      <c r="E766" s="92" t="s">
        <v>79</v>
      </c>
      <c r="F766" s="92" t="s">
        <v>47</v>
      </c>
      <c r="G766" s="93">
        <v>90000.0</v>
      </c>
      <c r="H766" s="94">
        <v>0.0</v>
      </c>
      <c r="I766" s="95">
        <f t="shared" si="3"/>
        <v>90000</v>
      </c>
      <c r="J766" s="93">
        <v>90000.0</v>
      </c>
      <c r="K766" s="96">
        <f t="shared" si="4"/>
        <v>0</v>
      </c>
      <c r="L766" s="97"/>
      <c r="M766" s="98"/>
    </row>
    <row r="767" ht="22.5" customHeight="1">
      <c r="A767" s="88" t="s">
        <v>744</v>
      </c>
      <c r="B767" s="89">
        <v>45810.0</v>
      </c>
      <c r="C767" s="90" t="s">
        <v>44</v>
      </c>
      <c r="D767" s="91" t="s">
        <v>45</v>
      </c>
      <c r="E767" s="91" t="s">
        <v>745</v>
      </c>
      <c r="F767" s="92" t="s">
        <v>47</v>
      </c>
      <c r="G767" s="93">
        <v>5000.0</v>
      </c>
      <c r="H767" s="94">
        <v>0.0</v>
      </c>
      <c r="I767" s="95">
        <f t="shared" si="3"/>
        <v>5000</v>
      </c>
      <c r="J767" s="93">
        <v>5000.0</v>
      </c>
      <c r="K767" s="96">
        <f t="shared" si="4"/>
        <v>0</v>
      </c>
      <c r="L767" s="97"/>
      <c r="M767" s="98"/>
    </row>
    <row r="768" ht="22.5" customHeight="1">
      <c r="A768" s="88" t="s">
        <v>746</v>
      </c>
      <c r="B768" s="89">
        <v>45810.0</v>
      </c>
      <c r="C768" s="90" t="s">
        <v>44</v>
      </c>
      <c r="D768" s="91" t="s">
        <v>45</v>
      </c>
      <c r="E768" s="91" t="s">
        <v>387</v>
      </c>
      <c r="F768" s="92" t="s">
        <v>47</v>
      </c>
      <c r="G768" s="93">
        <v>15000.0</v>
      </c>
      <c r="H768" s="94">
        <v>0.0</v>
      </c>
      <c r="I768" s="95">
        <f t="shared" si="3"/>
        <v>15000</v>
      </c>
      <c r="J768" s="93">
        <v>15000.0</v>
      </c>
      <c r="K768" s="96">
        <f t="shared" si="4"/>
        <v>0</v>
      </c>
      <c r="L768" s="97"/>
      <c r="M768" s="98"/>
    </row>
    <row r="769" ht="22.5" customHeight="1">
      <c r="A769" s="101">
        <v>957.0</v>
      </c>
      <c r="B769" s="89">
        <v>45810.0</v>
      </c>
      <c r="C769" s="90" t="s">
        <v>44</v>
      </c>
      <c r="D769" s="91" t="s">
        <v>432</v>
      </c>
      <c r="E769" s="91" t="s">
        <v>747</v>
      </c>
      <c r="F769" s="92" t="s">
        <v>47</v>
      </c>
      <c r="G769" s="93">
        <v>60000.0</v>
      </c>
      <c r="H769" s="94">
        <v>0.0</v>
      </c>
      <c r="I769" s="95">
        <f t="shared" si="3"/>
        <v>60000</v>
      </c>
      <c r="J769" s="93">
        <v>60000.0</v>
      </c>
      <c r="K769" s="96">
        <f t="shared" si="4"/>
        <v>0</v>
      </c>
      <c r="L769" s="97"/>
      <c r="M769" s="98"/>
    </row>
    <row r="770" ht="22.5" customHeight="1">
      <c r="A770" s="88" t="s">
        <v>748</v>
      </c>
      <c r="B770" s="89">
        <v>45811.0</v>
      </c>
      <c r="C770" s="90" t="s">
        <v>44</v>
      </c>
      <c r="D770" s="91" t="s">
        <v>45</v>
      </c>
      <c r="E770" s="91" t="s">
        <v>431</v>
      </c>
      <c r="F770" s="92" t="s">
        <v>47</v>
      </c>
      <c r="G770" s="93">
        <v>75000.0</v>
      </c>
      <c r="H770" s="94">
        <v>0.0</v>
      </c>
      <c r="I770" s="95">
        <f t="shared" si="3"/>
        <v>75000</v>
      </c>
      <c r="J770" s="93">
        <v>75000.0</v>
      </c>
      <c r="K770" s="96">
        <f t="shared" si="4"/>
        <v>0</v>
      </c>
      <c r="L770" s="97"/>
      <c r="M770" s="98"/>
    </row>
    <row r="771" ht="22.5" customHeight="1">
      <c r="A771" s="88" t="s">
        <v>749</v>
      </c>
      <c r="B771" s="89">
        <v>45811.0</v>
      </c>
      <c r="C771" s="90" t="s">
        <v>44</v>
      </c>
      <c r="D771" s="91" t="s">
        <v>45</v>
      </c>
      <c r="E771" s="91" t="s">
        <v>431</v>
      </c>
      <c r="F771" s="92" t="s">
        <v>47</v>
      </c>
      <c r="G771" s="93">
        <v>75000.0</v>
      </c>
      <c r="H771" s="94">
        <v>0.0</v>
      </c>
      <c r="I771" s="95">
        <f t="shared" si="3"/>
        <v>75000</v>
      </c>
      <c r="J771" s="93">
        <v>75000.0</v>
      </c>
      <c r="K771" s="96">
        <f t="shared" si="4"/>
        <v>0</v>
      </c>
      <c r="L771" s="97"/>
      <c r="M771" s="98"/>
    </row>
    <row r="772" ht="22.5" customHeight="1">
      <c r="A772" s="88" t="s">
        <v>750</v>
      </c>
      <c r="B772" s="89">
        <v>45811.0</v>
      </c>
      <c r="C772" s="90" t="s">
        <v>44</v>
      </c>
      <c r="D772" s="91" t="s">
        <v>45</v>
      </c>
      <c r="E772" s="91" t="s">
        <v>431</v>
      </c>
      <c r="F772" s="92" t="s">
        <v>47</v>
      </c>
      <c r="G772" s="93">
        <v>50000.0</v>
      </c>
      <c r="H772" s="94">
        <v>0.0</v>
      </c>
      <c r="I772" s="95">
        <f t="shared" si="3"/>
        <v>50000</v>
      </c>
      <c r="J772" s="93">
        <v>50000.0</v>
      </c>
      <c r="K772" s="96">
        <f t="shared" si="4"/>
        <v>0</v>
      </c>
      <c r="L772" s="97"/>
      <c r="M772" s="98"/>
    </row>
    <row r="773" ht="22.5" customHeight="1">
      <c r="A773" s="101">
        <v>958.0</v>
      </c>
      <c r="B773" s="89">
        <v>45811.0</v>
      </c>
      <c r="C773" s="90" t="s">
        <v>44</v>
      </c>
      <c r="D773" s="91" t="s">
        <v>45</v>
      </c>
      <c r="E773" s="91" t="s">
        <v>46</v>
      </c>
      <c r="F773" s="92" t="s">
        <v>47</v>
      </c>
      <c r="G773" s="93">
        <v>40000.0</v>
      </c>
      <c r="H773" s="94">
        <v>0.0</v>
      </c>
      <c r="I773" s="95">
        <f t="shared" si="3"/>
        <v>40000</v>
      </c>
      <c r="J773" s="93">
        <v>40000.0</v>
      </c>
      <c r="K773" s="96">
        <f t="shared" si="4"/>
        <v>0</v>
      </c>
      <c r="L773" s="97"/>
      <c r="M773" s="98"/>
    </row>
    <row r="774" ht="22.5" customHeight="1">
      <c r="A774" s="88" t="s">
        <v>751</v>
      </c>
      <c r="B774" s="89">
        <v>45811.0</v>
      </c>
      <c r="C774" s="90" t="s">
        <v>44</v>
      </c>
      <c r="D774" s="91" t="s">
        <v>45</v>
      </c>
      <c r="E774" s="91" t="s">
        <v>518</v>
      </c>
      <c r="F774" s="92" t="s">
        <v>47</v>
      </c>
      <c r="G774" s="93">
        <v>70000.0</v>
      </c>
      <c r="H774" s="94">
        <v>0.0</v>
      </c>
      <c r="I774" s="95">
        <f t="shared" si="3"/>
        <v>70000</v>
      </c>
      <c r="J774" s="93">
        <v>70000.0</v>
      </c>
      <c r="K774" s="96">
        <f t="shared" si="4"/>
        <v>0</v>
      </c>
      <c r="L774" s="97"/>
      <c r="M774" s="98"/>
    </row>
    <row r="775" ht="22.5" customHeight="1">
      <c r="A775" s="101">
        <v>962.0</v>
      </c>
      <c r="B775" s="89">
        <v>45812.0</v>
      </c>
      <c r="C775" s="90" t="s">
        <v>44</v>
      </c>
      <c r="D775" s="91" t="s">
        <v>45</v>
      </c>
      <c r="E775" s="91" t="s">
        <v>752</v>
      </c>
      <c r="F775" s="92" t="s">
        <v>47</v>
      </c>
      <c r="G775" s="93">
        <v>40000.0</v>
      </c>
      <c r="H775" s="94">
        <v>0.0</v>
      </c>
      <c r="I775" s="95">
        <f t="shared" si="3"/>
        <v>40000</v>
      </c>
      <c r="J775" s="93">
        <v>40000.0</v>
      </c>
      <c r="K775" s="96">
        <f t="shared" si="4"/>
        <v>0</v>
      </c>
      <c r="L775" s="97"/>
      <c r="M775" s="98"/>
    </row>
    <row r="776" ht="22.5" customHeight="1">
      <c r="A776" s="101">
        <v>961.0</v>
      </c>
      <c r="B776" s="89">
        <v>45812.0</v>
      </c>
      <c r="C776" s="90" t="s">
        <v>44</v>
      </c>
      <c r="D776" s="91" t="s">
        <v>45</v>
      </c>
      <c r="E776" s="91" t="s">
        <v>518</v>
      </c>
      <c r="F776" s="92" t="s">
        <v>47</v>
      </c>
      <c r="G776" s="93">
        <v>60000.0</v>
      </c>
      <c r="H776" s="94">
        <v>0.0</v>
      </c>
      <c r="I776" s="95">
        <f t="shared" si="3"/>
        <v>60000</v>
      </c>
      <c r="J776" s="93">
        <v>60000.0</v>
      </c>
      <c r="K776" s="96">
        <f t="shared" si="4"/>
        <v>0</v>
      </c>
      <c r="L776" s="97"/>
      <c r="M776" s="98"/>
    </row>
    <row r="777" ht="22.5" customHeight="1">
      <c r="A777" s="101">
        <v>1010580.0</v>
      </c>
      <c r="B777" s="89">
        <v>45812.0</v>
      </c>
      <c r="C777" s="90" t="s">
        <v>44</v>
      </c>
      <c r="D777" s="91" t="s">
        <v>45</v>
      </c>
      <c r="E777" s="91" t="s">
        <v>431</v>
      </c>
      <c r="F777" s="92" t="s">
        <v>47</v>
      </c>
      <c r="G777" s="93">
        <v>75000.0</v>
      </c>
      <c r="H777" s="94">
        <v>0.0</v>
      </c>
      <c r="I777" s="95">
        <f t="shared" si="3"/>
        <v>75000</v>
      </c>
      <c r="J777" s="93">
        <v>75000.0</v>
      </c>
      <c r="K777" s="96">
        <f t="shared" si="4"/>
        <v>0</v>
      </c>
      <c r="L777" s="97"/>
      <c r="M777" s="98"/>
    </row>
    <row r="778" ht="22.5" customHeight="1">
      <c r="A778" s="101">
        <v>962850.0</v>
      </c>
      <c r="B778" s="89">
        <v>45812.0</v>
      </c>
      <c r="C778" s="90" t="s">
        <v>44</v>
      </c>
      <c r="D778" s="91" t="s">
        <v>45</v>
      </c>
      <c r="E778" s="91" t="s">
        <v>431</v>
      </c>
      <c r="F778" s="92" t="s">
        <v>47</v>
      </c>
      <c r="G778" s="93">
        <v>70000.0</v>
      </c>
      <c r="H778" s="94">
        <v>0.0</v>
      </c>
      <c r="I778" s="95">
        <f t="shared" si="3"/>
        <v>70000</v>
      </c>
      <c r="J778" s="93">
        <v>70000.0</v>
      </c>
      <c r="K778" s="96">
        <f t="shared" si="4"/>
        <v>0</v>
      </c>
      <c r="L778" s="97"/>
      <c r="M778" s="98"/>
    </row>
    <row r="779" ht="22.5" customHeight="1">
      <c r="A779" s="101">
        <v>1010579.0</v>
      </c>
      <c r="B779" s="89">
        <v>45812.0</v>
      </c>
      <c r="C779" s="90" t="s">
        <v>44</v>
      </c>
      <c r="D779" s="91" t="s">
        <v>45</v>
      </c>
      <c r="E779" s="91" t="s">
        <v>431</v>
      </c>
      <c r="F779" s="92" t="s">
        <v>47</v>
      </c>
      <c r="G779" s="93">
        <v>60000.0</v>
      </c>
      <c r="H779" s="94">
        <v>0.0</v>
      </c>
      <c r="I779" s="95">
        <f t="shared" si="3"/>
        <v>60000</v>
      </c>
      <c r="J779" s="93">
        <v>60000.0</v>
      </c>
      <c r="K779" s="96">
        <f t="shared" si="4"/>
        <v>0</v>
      </c>
      <c r="L779" s="97"/>
      <c r="M779" s="98"/>
    </row>
    <row r="780" ht="22.5" customHeight="1">
      <c r="A780" s="101">
        <v>1010581.0</v>
      </c>
      <c r="B780" s="89">
        <v>45812.0</v>
      </c>
      <c r="C780" s="90" t="s">
        <v>44</v>
      </c>
      <c r="D780" s="91" t="s">
        <v>45</v>
      </c>
      <c r="E780" s="91" t="s">
        <v>431</v>
      </c>
      <c r="F780" s="92" t="s">
        <v>47</v>
      </c>
      <c r="G780" s="93">
        <v>60000.0</v>
      </c>
      <c r="H780" s="94">
        <v>0.0</v>
      </c>
      <c r="I780" s="95">
        <f t="shared" si="3"/>
        <v>60000</v>
      </c>
      <c r="J780" s="93">
        <v>60000.0</v>
      </c>
      <c r="K780" s="96">
        <f t="shared" si="4"/>
        <v>0</v>
      </c>
      <c r="L780" s="97"/>
      <c r="M780" s="98"/>
    </row>
    <row r="781" ht="22.5" customHeight="1">
      <c r="A781" s="101">
        <v>1010584.0</v>
      </c>
      <c r="B781" s="89">
        <v>45812.0</v>
      </c>
      <c r="C781" s="90" t="s">
        <v>44</v>
      </c>
      <c r="D781" s="91" t="s">
        <v>45</v>
      </c>
      <c r="E781" s="91" t="s">
        <v>431</v>
      </c>
      <c r="F781" s="92" t="s">
        <v>47</v>
      </c>
      <c r="G781" s="93">
        <v>60000.0</v>
      </c>
      <c r="H781" s="94">
        <v>0.0</v>
      </c>
      <c r="I781" s="95">
        <f t="shared" si="3"/>
        <v>60000</v>
      </c>
      <c r="J781" s="93">
        <v>60000.0</v>
      </c>
      <c r="K781" s="96">
        <f t="shared" si="4"/>
        <v>0</v>
      </c>
      <c r="L781" s="97"/>
      <c r="M781" s="98"/>
    </row>
    <row r="782" ht="22.5" customHeight="1">
      <c r="A782" s="101">
        <v>1010587.0</v>
      </c>
      <c r="B782" s="89">
        <v>45812.0</v>
      </c>
      <c r="C782" s="90" t="s">
        <v>44</v>
      </c>
      <c r="D782" s="91" t="s">
        <v>45</v>
      </c>
      <c r="E782" s="91" t="s">
        <v>431</v>
      </c>
      <c r="F782" s="92" t="s">
        <v>47</v>
      </c>
      <c r="G782" s="93">
        <v>60000.0</v>
      </c>
      <c r="H782" s="94">
        <v>0.0</v>
      </c>
      <c r="I782" s="95">
        <f t="shared" si="3"/>
        <v>60000</v>
      </c>
      <c r="J782" s="93">
        <v>60000.0</v>
      </c>
      <c r="K782" s="96">
        <f t="shared" si="4"/>
        <v>0</v>
      </c>
      <c r="L782" s="97"/>
      <c r="M782" s="98"/>
    </row>
    <row r="783" ht="22.5" customHeight="1">
      <c r="A783" s="101">
        <v>1010582.0</v>
      </c>
      <c r="B783" s="89">
        <v>45812.0</v>
      </c>
      <c r="C783" s="90" t="s">
        <v>44</v>
      </c>
      <c r="D783" s="91" t="s">
        <v>45</v>
      </c>
      <c r="E783" s="91" t="s">
        <v>753</v>
      </c>
      <c r="F783" s="92" t="s">
        <v>47</v>
      </c>
      <c r="G783" s="93">
        <v>80000.0</v>
      </c>
      <c r="H783" s="94">
        <v>0.0</v>
      </c>
      <c r="I783" s="95">
        <f t="shared" si="3"/>
        <v>80000</v>
      </c>
      <c r="J783" s="93">
        <v>80000.0</v>
      </c>
      <c r="K783" s="96">
        <f t="shared" si="4"/>
        <v>0</v>
      </c>
      <c r="L783" s="97"/>
      <c r="M783" s="98"/>
    </row>
    <row r="784" ht="22.5" customHeight="1">
      <c r="A784" s="101">
        <v>1010582.0</v>
      </c>
      <c r="B784" s="89">
        <v>45812.0</v>
      </c>
      <c r="C784" s="90" t="s">
        <v>44</v>
      </c>
      <c r="D784" s="91" t="s">
        <v>45</v>
      </c>
      <c r="E784" s="91" t="s">
        <v>754</v>
      </c>
      <c r="F784" s="92" t="s">
        <v>47</v>
      </c>
      <c r="G784" s="93">
        <v>125000.0</v>
      </c>
      <c r="H784" s="94">
        <v>0.0</v>
      </c>
      <c r="I784" s="95">
        <f t="shared" si="3"/>
        <v>125000</v>
      </c>
      <c r="J784" s="93">
        <v>125000.0</v>
      </c>
      <c r="K784" s="96">
        <f t="shared" si="4"/>
        <v>0</v>
      </c>
      <c r="L784" s="97"/>
      <c r="M784" s="98"/>
    </row>
    <row r="785" ht="22.5" customHeight="1">
      <c r="A785" s="101">
        <v>1010582.0</v>
      </c>
      <c r="B785" s="89">
        <v>45812.0</v>
      </c>
      <c r="C785" s="90" t="s">
        <v>44</v>
      </c>
      <c r="D785" s="91" t="s">
        <v>45</v>
      </c>
      <c r="E785" s="91" t="s">
        <v>755</v>
      </c>
      <c r="F785" s="92" t="s">
        <v>47</v>
      </c>
      <c r="G785" s="93">
        <v>50000.0</v>
      </c>
      <c r="H785" s="94">
        <v>0.0</v>
      </c>
      <c r="I785" s="95">
        <f t="shared" si="3"/>
        <v>50000</v>
      </c>
      <c r="J785" s="93">
        <v>50000.0</v>
      </c>
      <c r="K785" s="96">
        <f t="shared" si="4"/>
        <v>0</v>
      </c>
      <c r="L785" s="97"/>
      <c r="M785" s="98"/>
    </row>
    <row r="786" ht="22.5" customHeight="1">
      <c r="A786" s="101">
        <v>1010583.0</v>
      </c>
      <c r="B786" s="89">
        <v>45812.0</v>
      </c>
      <c r="C786" s="90" t="s">
        <v>44</v>
      </c>
      <c r="D786" s="91" t="s">
        <v>45</v>
      </c>
      <c r="E786" s="91" t="s">
        <v>431</v>
      </c>
      <c r="F786" s="92" t="s">
        <v>47</v>
      </c>
      <c r="G786" s="93">
        <v>60000.0</v>
      </c>
      <c r="H786" s="94">
        <v>0.0</v>
      </c>
      <c r="I786" s="95">
        <f t="shared" si="3"/>
        <v>60000</v>
      </c>
      <c r="J786" s="93">
        <v>60000.0</v>
      </c>
      <c r="K786" s="96">
        <f t="shared" si="4"/>
        <v>0</v>
      </c>
      <c r="L786" s="97"/>
      <c r="M786" s="98"/>
    </row>
    <row r="787" ht="22.5" customHeight="1">
      <c r="A787" s="101">
        <v>1010585.0</v>
      </c>
      <c r="B787" s="89">
        <v>45812.0</v>
      </c>
      <c r="C787" s="90" t="s">
        <v>44</v>
      </c>
      <c r="D787" s="91" t="s">
        <v>45</v>
      </c>
      <c r="E787" s="91" t="s">
        <v>431</v>
      </c>
      <c r="F787" s="92" t="s">
        <v>47</v>
      </c>
      <c r="G787" s="93">
        <v>60000.0</v>
      </c>
      <c r="H787" s="94">
        <v>0.0</v>
      </c>
      <c r="I787" s="95">
        <f t="shared" si="3"/>
        <v>60000</v>
      </c>
      <c r="J787" s="93">
        <v>60000.0</v>
      </c>
      <c r="K787" s="96">
        <f t="shared" si="4"/>
        <v>0</v>
      </c>
      <c r="L787" s="97"/>
      <c r="M787" s="98"/>
    </row>
    <row r="788" ht="22.5" customHeight="1">
      <c r="A788" s="101">
        <v>1010586.0</v>
      </c>
      <c r="B788" s="89">
        <v>45812.0</v>
      </c>
      <c r="C788" s="90" t="s">
        <v>44</v>
      </c>
      <c r="D788" s="91" t="s">
        <v>45</v>
      </c>
      <c r="E788" s="91" t="s">
        <v>431</v>
      </c>
      <c r="F788" s="92" t="s">
        <v>47</v>
      </c>
      <c r="G788" s="93">
        <v>70000.0</v>
      </c>
      <c r="H788" s="94">
        <v>0.0</v>
      </c>
      <c r="I788" s="95">
        <f t="shared" si="3"/>
        <v>70000</v>
      </c>
      <c r="J788" s="93">
        <v>70000.0</v>
      </c>
      <c r="K788" s="96">
        <f t="shared" si="4"/>
        <v>0</v>
      </c>
      <c r="L788" s="97"/>
      <c r="M788" s="98"/>
    </row>
    <row r="789" ht="22.5" customHeight="1">
      <c r="A789" s="101">
        <v>1010588.0</v>
      </c>
      <c r="B789" s="89">
        <v>45812.0</v>
      </c>
      <c r="C789" s="90" t="s">
        <v>44</v>
      </c>
      <c r="D789" s="91" t="s">
        <v>45</v>
      </c>
      <c r="E789" s="91" t="s">
        <v>431</v>
      </c>
      <c r="F789" s="92" t="s">
        <v>47</v>
      </c>
      <c r="G789" s="93">
        <v>65000.0</v>
      </c>
      <c r="H789" s="94">
        <v>0.0</v>
      </c>
      <c r="I789" s="95">
        <f t="shared" si="3"/>
        <v>65000</v>
      </c>
      <c r="J789" s="93">
        <v>65000.0</v>
      </c>
      <c r="K789" s="96">
        <f t="shared" si="4"/>
        <v>0</v>
      </c>
      <c r="L789" s="97"/>
      <c r="M789" s="98"/>
    </row>
    <row r="790" ht="22.5" customHeight="1">
      <c r="A790" s="101">
        <v>1010589.0</v>
      </c>
      <c r="B790" s="89">
        <v>45812.0</v>
      </c>
      <c r="C790" s="90" t="s">
        <v>44</v>
      </c>
      <c r="D790" s="91" t="s">
        <v>45</v>
      </c>
      <c r="E790" s="91" t="s">
        <v>431</v>
      </c>
      <c r="F790" s="92" t="s">
        <v>47</v>
      </c>
      <c r="G790" s="93">
        <v>60000.0</v>
      </c>
      <c r="H790" s="94">
        <v>0.0</v>
      </c>
      <c r="I790" s="95">
        <f t="shared" si="3"/>
        <v>60000</v>
      </c>
      <c r="J790" s="93">
        <v>60000.0</v>
      </c>
      <c r="K790" s="96">
        <f t="shared" si="4"/>
        <v>0</v>
      </c>
      <c r="L790" s="97"/>
      <c r="M790" s="98"/>
    </row>
    <row r="791" ht="22.5" customHeight="1">
      <c r="A791" s="101">
        <v>962849.0</v>
      </c>
      <c r="B791" s="89">
        <v>45812.0</v>
      </c>
      <c r="C791" s="90" t="s">
        <v>44</v>
      </c>
      <c r="D791" s="91" t="s">
        <v>45</v>
      </c>
      <c r="E791" s="91" t="s">
        <v>431</v>
      </c>
      <c r="F791" s="92" t="s">
        <v>47</v>
      </c>
      <c r="G791" s="93">
        <v>85000.0</v>
      </c>
      <c r="H791" s="94">
        <v>0.0</v>
      </c>
      <c r="I791" s="95">
        <f t="shared" si="3"/>
        <v>85000</v>
      </c>
      <c r="J791" s="93">
        <v>85000.0</v>
      </c>
      <c r="K791" s="96">
        <f t="shared" si="4"/>
        <v>0</v>
      </c>
      <c r="L791" s="97"/>
      <c r="M791" s="98"/>
    </row>
    <row r="792" ht="22.5" customHeight="1">
      <c r="A792" s="88" t="s">
        <v>756</v>
      </c>
      <c r="B792" s="89">
        <v>45813.0</v>
      </c>
      <c r="C792" s="105" t="s">
        <v>96</v>
      </c>
      <c r="D792" s="91" t="s">
        <v>45</v>
      </c>
      <c r="E792" s="91" t="s">
        <v>757</v>
      </c>
      <c r="F792" s="92" t="s">
        <v>47</v>
      </c>
      <c r="G792" s="93">
        <v>140000.0</v>
      </c>
      <c r="H792" s="110">
        <v>0.0</v>
      </c>
      <c r="I792" s="95">
        <f t="shared" si="3"/>
        <v>140000</v>
      </c>
      <c r="J792" s="93">
        <v>100000.0</v>
      </c>
      <c r="K792" s="104">
        <f t="shared" si="4"/>
        <v>40000</v>
      </c>
      <c r="L792" s="97"/>
      <c r="M792" s="98"/>
    </row>
    <row r="793" ht="22.5" customHeight="1">
      <c r="A793" s="88" t="s">
        <v>758</v>
      </c>
      <c r="B793" s="89">
        <v>45813.0</v>
      </c>
      <c r="C793" s="90" t="s">
        <v>44</v>
      </c>
      <c r="D793" s="91" t="s">
        <v>45</v>
      </c>
      <c r="E793" s="91" t="s">
        <v>759</v>
      </c>
      <c r="F793" s="92" t="s">
        <v>47</v>
      </c>
      <c r="G793" s="93">
        <v>35000.0</v>
      </c>
      <c r="H793" s="94">
        <v>0.0</v>
      </c>
      <c r="I793" s="95">
        <f t="shared" si="3"/>
        <v>35000</v>
      </c>
      <c r="J793" s="93">
        <v>35000.0</v>
      </c>
      <c r="K793" s="96">
        <f t="shared" si="4"/>
        <v>0</v>
      </c>
      <c r="L793" s="97"/>
      <c r="M793" s="98"/>
    </row>
    <row r="794" ht="22.5" customHeight="1">
      <c r="A794" s="88" t="s">
        <v>760</v>
      </c>
      <c r="B794" s="89">
        <v>45813.0</v>
      </c>
      <c r="C794" s="90" t="s">
        <v>44</v>
      </c>
      <c r="D794" s="91" t="s">
        <v>45</v>
      </c>
      <c r="E794" s="111" t="s">
        <v>761</v>
      </c>
      <c r="F794" s="92" t="s">
        <v>47</v>
      </c>
      <c r="G794" s="93">
        <v>35000.0</v>
      </c>
      <c r="H794" s="94">
        <v>0.0</v>
      </c>
      <c r="I794" s="95">
        <f t="shared" si="3"/>
        <v>35000</v>
      </c>
      <c r="J794" s="93">
        <v>35000.0</v>
      </c>
      <c r="K794" s="96">
        <f t="shared" si="4"/>
        <v>0</v>
      </c>
      <c r="L794" s="97"/>
      <c r="M794" s="98"/>
    </row>
    <row r="795" ht="22.5" customHeight="1">
      <c r="A795" s="88" t="s">
        <v>762</v>
      </c>
      <c r="B795" s="89">
        <v>45813.0</v>
      </c>
      <c r="C795" s="90" t="s">
        <v>44</v>
      </c>
      <c r="D795" s="91" t="s">
        <v>45</v>
      </c>
      <c r="E795" s="91" t="s">
        <v>128</v>
      </c>
      <c r="F795" s="92" t="s">
        <v>47</v>
      </c>
      <c r="G795" s="93">
        <v>10000.0</v>
      </c>
      <c r="H795" s="94">
        <v>0.0</v>
      </c>
      <c r="I795" s="95">
        <f t="shared" si="3"/>
        <v>10000</v>
      </c>
      <c r="J795" s="93">
        <v>10000.0</v>
      </c>
      <c r="K795" s="96">
        <f t="shared" si="4"/>
        <v>0</v>
      </c>
      <c r="L795" s="97"/>
      <c r="M795" s="98"/>
    </row>
    <row r="796" ht="22.5" customHeight="1">
      <c r="A796" s="88" t="s">
        <v>763</v>
      </c>
      <c r="B796" s="89">
        <v>45813.0</v>
      </c>
      <c r="C796" s="90" t="s">
        <v>44</v>
      </c>
      <c r="D796" s="91" t="s">
        <v>45</v>
      </c>
      <c r="E796" s="91" t="s">
        <v>764</v>
      </c>
      <c r="F796" s="92" t="s">
        <v>47</v>
      </c>
      <c r="G796" s="93">
        <v>60000.0</v>
      </c>
      <c r="H796" s="94">
        <v>0.0</v>
      </c>
      <c r="I796" s="95">
        <f t="shared" si="3"/>
        <v>60000</v>
      </c>
      <c r="J796" s="93">
        <v>60000.0</v>
      </c>
      <c r="K796" s="96">
        <f t="shared" si="4"/>
        <v>0</v>
      </c>
      <c r="L796" s="97"/>
      <c r="M796" s="98"/>
    </row>
    <row r="797" ht="22.5" customHeight="1">
      <c r="A797" s="88" t="s">
        <v>765</v>
      </c>
      <c r="B797" s="89">
        <v>45813.0</v>
      </c>
      <c r="C797" s="90" t="s">
        <v>44</v>
      </c>
      <c r="D797" s="91" t="s">
        <v>45</v>
      </c>
      <c r="E797" s="91" t="s">
        <v>99</v>
      </c>
      <c r="F797" s="92" t="s">
        <v>47</v>
      </c>
      <c r="G797" s="93">
        <v>15000.0</v>
      </c>
      <c r="H797" s="94">
        <v>0.0</v>
      </c>
      <c r="I797" s="95">
        <f t="shared" si="3"/>
        <v>15000</v>
      </c>
      <c r="J797" s="93">
        <v>15000.0</v>
      </c>
      <c r="K797" s="96">
        <f t="shared" si="4"/>
        <v>0</v>
      </c>
      <c r="L797" s="97"/>
      <c r="M797" s="98"/>
    </row>
    <row r="798" ht="22.5" customHeight="1">
      <c r="A798" s="88" t="s">
        <v>766</v>
      </c>
      <c r="B798" s="89">
        <v>45813.0</v>
      </c>
      <c r="C798" s="90" t="s">
        <v>44</v>
      </c>
      <c r="D798" s="91" t="s">
        <v>45</v>
      </c>
      <c r="E798" s="91" t="s">
        <v>590</v>
      </c>
      <c r="F798" s="92" t="s">
        <v>47</v>
      </c>
      <c r="G798" s="93">
        <v>20000.0</v>
      </c>
      <c r="H798" s="94">
        <v>0.0</v>
      </c>
      <c r="I798" s="95">
        <f t="shared" si="3"/>
        <v>20000</v>
      </c>
      <c r="J798" s="93">
        <v>20000.0</v>
      </c>
      <c r="K798" s="96">
        <f t="shared" si="4"/>
        <v>0</v>
      </c>
      <c r="L798" s="97"/>
      <c r="M798" s="98"/>
    </row>
    <row r="799" ht="22.5" customHeight="1">
      <c r="A799" s="101">
        <v>964.0</v>
      </c>
      <c r="B799" s="89">
        <v>45813.0</v>
      </c>
      <c r="C799" s="90" t="s">
        <v>44</v>
      </c>
      <c r="D799" s="91" t="s">
        <v>45</v>
      </c>
      <c r="E799" s="91" t="s">
        <v>767</v>
      </c>
      <c r="F799" s="92" t="s">
        <v>47</v>
      </c>
      <c r="G799" s="93">
        <v>500000.0</v>
      </c>
      <c r="H799" s="94">
        <v>0.0</v>
      </c>
      <c r="I799" s="95">
        <f t="shared" si="3"/>
        <v>500000</v>
      </c>
      <c r="J799" s="93">
        <v>500000.0</v>
      </c>
      <c r="K799" s="96">
        <f t="shared" si="4"/>
        <v>0</v>
      </c>
      <c r="L799" s="97"/>
      <c r="M799" s="98"/>
    </row>
    <row r="800" ht="22.5" customHeight="1">
      <c r="A800" s="88" t="s">
        <v>768</v>
      </c>
      <c r="B800" s="89">
        <v>45815.0</v>
      </c>
      <c r="C800" s="90" t="s">
        <v>44</v>
      </c>
      <c r="D800" s="91" t="s">
        <v>57</v>
      </c>
      <c r="E800" s="92" t="s">
        <v>769</v>
      </c>
      <c r="F800" s="92" t="s">
        <v>47</v>
      </c>
      <c r="G800" s="93">
        <v>750000.0</v>
      </c>
      <c r="H800" s="94">
        <v>0.0</v>
      </c>
      <c r="I800" s="95">
        <f t="shared" si="3"/>
        <v>750000</v>
      </c>
      <c r="J800" s="93">
        <v>750000.0</v>
      </c>
      <c r="K800" s="96">
        <f t="shared" si="4"/>
        <v>0</v>
      </c>
      <c r="L800" s="97"/>
      <c r="M800" s="98"/>
    </row>
    <row r="801" ht="22.5" customHeight="1">
      <c r="A801" s="101">
        <v>929.0</v>
      </c>
      <c r="B801" s="89">
        <v>45817.0</v>
      </c>
      <c r="C801" s="90" t="s">
        <v>44</v>
      </c>
      <c r="D801" s="91" t="s">
        <v>224</v>
      </c>
      <c r="E801" s="91" t="s">
        <v>770</v>
      </c>
      <c r="F801" s="92" t="s">
        <v>47</v>
      </c>
      <c r="G801" s="93">
        <v>6190000.0</v>
      </c>
      <c r="H801" s="94">
        <v>0.0</v>
      </c>
      <c r="I801" s="95">
        <f t="shared" si="3"/>
        <v>6190000</v>
      </c>
      <c r="J801" s="93">
        <v>6190000.0</v>
      </c>
      <c r="K801" s="96">
        <f t="shared" si="4"/>
        <v>0</v>
      </c>
      <c r="L801" s="97"/>
      <c r="M801" s="98"/>
    </row>
    <row r="802">
      <c r="A802" s="101">
        <v>1014.0</v>
      </c>
      <c r="B802" s="89">
        <v>45817.0</v>
      </c>
      <c r="C802" s="90" t="s">
        <v>44</v>
      </c>
      <c r="D802" s="91" t="s">
        <v>432</v>
      </c>
      <c r="E802" s="92" t="s">
        <v>771</v>
      </c>
      <c r="F802" s="92" t="s">
        <v>47</v>
      </c>
      <c r="G802" s="93">
        <v>50000.0</v>
      </c>
      <c r="H802" s="94">
        <v>0.0</v>
      </c>
      <c r="I802" s="95">
        <f t="shared" si="3"/>
        <v>50000</v>
      </c>
      <c r="J802" s="93">
        <v>50000.0</v>
      </c>
      <c r="K802" s="96">
        <f t="shared" si="4"/>
        <v>0</v>
      </c>
      <c r="L802" s="97"/>
      <c r="M802" s="98"/>
    </row>
    <row r="803" ht="22.5" customHeight="1">
      <c r="A803" s="88" t="s">
        <v>772</v>
      </c>
      <c r="B803" s="89">
        <v>45817.0</v>
      </c>
      <c r="C803" s="103" t="s">
        <v>83</v>
      </c>
      <c r="D803" s="91" t="s">
        <v>45</v>
      </c>
      <c r="E803" s="92" t="s">
        <v>92</v>
      </c>
      <c r="F803" s="92" t="s">
        <v>47</v>
      </c>
      <c r="G803" s="93">
        <v>40000.0</v>
      </c>
      <c r="H803" s="94">
        <v>0.0</v>
      </c>
      <c r="I803" s="95">
        <f t="shared" si="3"/>
        <v>40000</v>
      </c>
      <c r="J803" s="93">
        <v>0.0</v>
      </c>
      <c r="K803" s="104">
        <f t="shared" si="4"/>
        <v>40000</v>
      </c>
      <c r="L803" s="97"/>
      <c r="M803" s="98"/>
    </row>
    <row r="804" ht="22.5" customHeight="1">
      <c r="A804" s="88" t="s">
        <v>773</v>
      </c>
      <c r="B804" s="89">
        <v>45817.0</v>
      </c>
      <c r="C804" s="90" t="s">
        <v>44</v>
      </c>
      <c r="D804" s="91" t="s">
        <v>45</v>
      </c>
      <c r="E804" s="92" t="s">
        <v>69</v>
      </c>
      <c r="F804" s="92" t="s">
        <v>47</v>
      </c>
      <c r="G804" s="93">
        <v>30000.0</v>
      </c>
      <c r="H804" s="94">
        <v>0.0</v>
      </c>
      <c r="I804" s="95">
        <f t="shared" si="3"/>
        <v>30000</v>
      </c>
      <c r="J804" s="93">
        <v>30000.0</v>
      </c>
      <c r="K804" s="96">
        <f t="shared" si="4"/>
        <v>0</v>
      </c>
      <c r="L804" s="97"/>
      <c r="M804" s="98"/>
    </row>
    <row r="805" ht="22.5" customHeight="1">
      <c r="A805" s="88" t="s">
        <v>774</v>
      </c>
      <c r="B805" s="89">
        <v>45817.0</v>
      </c>
      <c r="C805" s="90" t="s">
        <v>44</v>
      </c>
      <c r="D805" s="91" t="s">
        <v>45</v>
      </c>
      <c r="E805" s="92" t="s">
        <v>775</v>
      </c>
      <c r="F805" s="92" t="s">
        <v>47</v>
      </c>
      <c r="G805" s="93">
        <v>7500.0</v>
      </c>
      <c r="H805" s="94">
        <v>0.0</v>
      </c>
      <c r="I805" s="95">
        <f t="shared" si="3"/>
        <v>7500</v>
      </c>
      <c r="J805" s="93">
        <v>7500.0</v>
      </c>
      <c r="K805" s="96">
        <f t="shared" si="4"/>
        <v>0</v>
      </c>
      <c r="L805" s="97"/>
      <c r="M805" s="98"/>
    </row>
    <row r="806" ht="22.5" customHeight="1">
      <c r="A806" s="88" t="s">
        <v>776</v>
      </c>
      <c r="B806" s="89">
        <v>45817.0</v>
      </c>
      <c r="C806" s="90" t="s">
        <v>44</v>
      </c>
      <c r="D806" s="91" t="s">
        <v>45</v>
      </c>
      <c r="E806" s="92" t="s">
        <v>777</v>
      </c>
      <c r="F806" s="92" t="s">
        <v>47</v>
      </c>
      <c r="G806" s="93">
        <v>10000.0</v>
      </c>
      <c r="H806" s="94">
        <v>0.0</v>
      </c>
      <c r="I806" s="95">
        <f t="shared" si="3"/>
        <v>10000</v>
      </c>
      <c r="J806" s="93">
        <v>10000.0</v>
      </c>
      <c r="K806" s="96">
        <f t="shared" si="4"/>
        <v>0</v>
      </c>
      <c r="L806" s="97"/>
      <c r="M806" s="98"/>
    </row>
    <row r="807" ht="22.5" customHeight="1">
      <c r="A807" s="88" t="s">
        <v>778</v>
      </c>
      <c r="B807" s="89">
        <v>45817.0</v>
      </c>
      <c r="C807" s="90" t="s">
        <v>44</v>
      </c>
      <c r="D807" s="91" t="s">
        <v>45</v>
      </c>
      <c r="E807" s="92" t="s">
        <v>779</v>
      </c>
      <c r="F807" s="92" t="s">
        <v>47</v>
      </c>
      <c r="G807" s="93">
        <v>200000.0</v>
      </c>
      <c r="H807" s="94">
        <v>0.0</v>
      </c>
      <c r="I807" s="95">
        <f t="shared" si="3"/>
        <v>200000</v>
      </c>
      <c r="J807" s="93">
        <v>200000.0</v>
      </c>
      <c r="K807" s="96">
        <f t="shared" si="4"/>
        <v>0</v>
      </c>
      <c r="L807" s="97"/>
      <c r="M807" s="98"/>
    </row>
    <row r="808" ht="22.5" customHeight="1">
      <c r="A808" s="88" t="s">
        <v>780</v>
      </c>
      <c r="B808" s="89">
        <v>45817.0</v>
      </c>
      <c r="C808" s="90" t="s">
        <v>44</v>
      </c>
      <c r="D808" s="91" t="s">
        <v>57</v>
      </c>
      <c r="E808" s="92" t="s">
        <v>781</v>
      </c>
      <c r="F808" s="92" t="s">
        <v>47</v>
      </c>
      <c r="G808" s="93">
        <v>30000.0</v>
      </c>
      <c r="H808" s="94">
        <v>0.0</v>
      </c>
      <c r="I808" s="95">
        <f t="shared" si="3"/>
        <v>30000</v>
      </c>
      <c r="J808" s="93">
        <v>30000.0</v>
      </c>
      <c r="K808" s="96">
        <f t="shared" si="4"/>
        <v>0</v>
      </c>
      <c r="L808" s="97"/>
      <c r="M808" s="98"/>
    </row>
    <row r="809" ht="22.5" customHeight="1">
      <c r="A809" s="88" t="s">
        <v>782</v>
      </c>
      <c r="B809" s="89">
        <v>45818.0</v>
      </c>
      <c r="C809" s="90" t="s">
        <v>44</v>
      </c>
      <c r="D809" s="91" t="s">
        <v>45</v>
      </c>
      <c r="E809" s="92" t="s">
        <v>431</v>
      </c>
      <c r="F809" s="92" t="s">
        <v>47</v>
      </c>
      <c r="G809" s="93">
        <v>75000.0</v>
      </c>
      <c r="H809" s="94">
        <v>0.0</v>
      </c>
      <c r="I809" s="95">
        <f t="shared" si="3"/>
        <v>75000</v>
      </c>
      <c r="J809" s="93">
        <v>75000.0</v>
      </c>
      <c r="K809" s="96">
        <f t="shared" si="4"/>
        <v>0</v>
      </c>
      <c r="L809" s="97"/>
      <c r="M809" s="98"/>
    </row>
    <row r="810" ht="22.5" customHeight="1">
      <c r="A810" s="88" t="s">
        <v>783</v>
      </c>
      <c r="B810" s="89">
        <v>45818.0</v>
      </c>
      <c r="C810" s="90" t="s">
        <v>44</v>
      </c>
      <c r="D810" s="91" t="s">
        <v>45</v>
      </c>
      <c r="E810" s="92" t="s">
        <v>431</v>
      </c>
      <c r="F810" s="92" t="s">
        <v>47</v>
      </c>
      <c r="G810" s="93">
        <v>75000.0</v>
      </c>
      <c r="H810" s="94">
        <v>0.0</v>
      </c>
      <c r="I810" s="95">
        <f t="shared" si="3"/>
        <v>75000</v>
      </c>
      <c r="J810" s="93">
        <v>75000.0</v>
      </c>
      <c r="K810" s="96">
        <f t="shared" si="4"/>
        <v>0</v>
      </c>
      <c r="L810" s="97"/>
      <c r="M810" s="98"/>
    </row>
    <row r="811" ht="22.5" customHeight="1">
      <c r="A811" s="88" t="s">
        <v>784</v>
      </c>
      <c r="B811" s="89">
        <v>45818.0</v>
      </c>
      <c r="C811" s="90" t="s">
        <v>44</v>
      </c>
      <c r="D811" s="91" t="s">
        <v>432</v>
      </c>
      <c r="E811" s="92" t="s">
        <v>785</v>
      </c>
      <c r="F811" s="92" t="s">
        <v>47</v>
      </c>
      <c r="G811" s="93">
        <v>537000.0</v>
      </c>
      <c r="H811" s="94">
        <v>0.0</v>
      </c>
      <c r="I811" s="95">
        <f t="shared" si="3"/>
        <v>537000</v>
      </c>
      <c r="J811" s="93">
        <v>537000.0</v>
      </c>
      <c r="K811" s="96">
        <f t="shared" si="4"/>
        <v>0</v>
      </c>
      <c r="L811" s="97"/>
      <c r="M811" s="98"/>
    </row>
    <row r="812" ht="22.5" customHeight="1">
      <c r="A812" s="88" t="s">
        <v>786</v>
      </c>
      <c r="B812" s="89">
        <v>45818.0</v>
      </c>
      <c r="C812" s="90" t="s">
        <v>44</v>
      </c>
      <c r="D812" s="91" t="s">
        <v>45</v>
      </c>
      <c r="E812" s="92" t="s">
        <v>711</v>
      </c>
      <c r="F812" s="92" t="s">
        <v>47</v>
      </c>
      <c r="G812" s="93">
        <v>35000.0</v>
      </c>
      <c r="H812" s="94">
        <v>0.0</v>
      </c>
      <c r="I812" s="95">
        <f t="shared" si="3"/>
        <v>35000</v>
      </c>
      <c r="J812" s="93">
        <v>35000.0</v>
      </c>
      <c r="K812" s="96">
        <f t="shared" si="4"/>
        <v>0</v>
      </c>
      <c r="L812" s="97"/>
      <c r="M812" s="98"/>
    </row>
    <row r="813" ht="22.5" customHeight="1">
      <c r="A813" s="88" t="s">
        <v>787</v>
      </c>
      <c r="B813" s="89">
        <v>45818.0</v>
      </c>
      <c r="C813" s="90" t="s">
        <v>44</v>
      </c>
      <c r="D813" s="91" t="s">
        <v>45</v>
      </c>
      <c r="E813" s="92" t="s">
        <v>788</v>
      </c>
      <c r="F813" s="92" t="s">
        <v>47</v>
      </c>
      <c r="G813" s="93">
        <v>100000.0</v>
      </c>
      <c r="H813" s="94">
        <v>0.0</v>
      </c>
      <c r="I813" s="95">
        <f t="shared" si="3"/>
        <v>100000</v>
      </c>
      <c r="J813" s="93">
        <v>100000.0</v>
      </c>
      <c r="K813" s="96">
        <f t="shared" si="4"/>
        <v>0</v>
      </c>
      <c r="L813" s="97"/>
      <c r="M813" s="98"/>
    </row>
    <row r="814" ht="22.5" customHeight="1">
      <c r="A814" s="88" t="s">
        <v>789</v>
      </c>
      <c r="B814" s="89">
        <v>45819.0</v>
      </c>
      <c r="C814" s="90" t="s">
        <v>44</v>
      </c>
      <c r="D814" s="91" t="s">
        <v>45</v>
      </c>
      <c r="E814" s="92" t="s">
        <v>478</v>
      </c>
      <c r="F814" s="92" t="s">
        <v>47</v>
      </c>
      <c r="G814" s="93">
        <v>200000.0</v>
      </c>
      <c r="H814" s="94">
        <v>0.0</v>
      </c>
      <c r="I814" s="95">
        <f t="shared" si="3"/>
        <v>200000</v>
      </c>
      <c r="J814" s="93">
        <v>200000.0</v>
      </c>
      <c r="K814" s="96">
        <f t="shared" si="4"/>
        <v>0</v>
      </c>
      <c r="L814" s="97"/>
      <c r="M814" s="98"/>
    </row>
    <row r="815" ht="22.5" customHeight="1">
      <c r="A815" s="101">
        <v>978.0</v>
      </c>
      <c r="B815" s="89">
        <v>45820.0</v>
      </c>
      <c r="C815" s="90" t="s">
        <v>44</v>
      </c>
      <c r="D815" s="91" t="s">
        <v>45</v>
      </c>
      <c r="E815" s="92" t="s">
        <v>431</v>
      </c>
      <c r="F815" s="92" t="s">
        <v>47</v>
      </c>
      <c r="G815" s="93">
        <v>60000.0</v>
      </c>
      <c r="H815" s="94">
        <v>0.0</v>
      </c>
      <c r="I815" s="95">
        <f t="shared" si="3"/>
        <v>60000</v>
      </c>
      <c r="J815" s="93">
        <v>60000.0</v>
      </c>
      <c r="K815" s="96">
        <f t="shared" si="4"/>
        <v>0</v>
      </c>
      <c r="L815" s="97"/>
      <c r="M815" s="98"/>
    </row>
    <row r="816" ht="22.5" customHeight="1">
      <c r="A816" s="88" t="s">
        <v>790</v>
      </c>
      <c r="B816" s="89">
        <v>45820.0</v>
      </c>
      <c r="C816" s="90" t="s">
        <v>44</v>
      </c>
      <c r="D816" s="91" t="s">
        <v>45</v>
      </c>
      <c r="E816" s="92" t="s">
        <v>791</v>
      </c>
      <c r="F816" s="92" t="s">
        <v>47</v>
      </c>
      <c r="G816" s="93">
        <v>5000.0</v>
      </c>
      <c r="H816" s="94">
        <v>0.0</v>
      </c>
      <c r="I816" s="95">
        <f t="shared" si="3"/>
        <v>5000</v>
      </c>
      <c r="J816" s="93">
        <v>5000.0</v>
      </c>
      <c r="K816" s="96">
        <f t="shared" si="4"/>
        <v>0</v>
      </c>
      <c r="L816" s="97"/>
      <c r="M816" s="98"/>
    </row>
    <row r="817" ht="22.5" customHeight="1">
      <c r="A817" s="88" t="s">
        <v>792</v>
      </c>
      <c r="B817" s="89">
        <v>45820.0</v>
      </c>
      <c r="C817" s="90" t="s">
        <v>44</v>
      </c>
      <c r="D817" s="91" t="s">
        <v>45</v>
      </c>
      <c r="E817" s="92" t="s">
        <v>793</v>
      </c>
      <c r="F817" s="92" t="s">
        <v>47</v>
      </c>
      <c r="G817" s="93">
        <v>30000.0</v>
      </c>
      <c r="H817" s="94">
        <v>0.0</v>
      </c>
      <c r="I817" s="95">
        <f t="shared" si="3"/>
        <v>30000</v>
      </c>
      <c r="J817" s="93">
        <v>30000.0</v>
      </c>
      <c r="K817" s="96">
        <f t="shared" si="4"/>
        <v>0</v>
      </c>
      <c r="L817" s="97"/>
      <c r="M817" s="98"/>
    </row>
    <row r="818" ht="22.5" customHeight="1">
      <c r="A818" s="88" t="s">
        <v>794</v>
      </c>
      <c r="B818" s="89">
        <v>45820.0</v>
      </c>
      <c r="C818" s="90" t="s">
        <v>44</v>
      </c>
      <c r="D818" s="91" t="s">
        <v>45</v>
      </c>
      <c r="E818" s="92" t="s">
        <v>92</v>
      </c>
      <c r="F818" s="92" t="s">
        <v>47</v>
      </c>
      <c r="G818" s="93">
        <v>110000.0</v>
      </c>
      <c r="H818" s="94">
        <v>0.0</v>
      </c>
      <c r="I818" s="95">
        <f t="shared" si="3"/>
        <v>110000</v>
      </c>
      <c r="J818" s="93">
        <v>110000.0</v>
      </c>
      <c r="K818" s="96">
        <f t="shared" si="4"/>
        <v>0</v>
      </c>
      <c r="L818" s="97"/>
      <c r="M818" s="98"/>
    </row>
    <row r="819" ht="22.5" customHeight="1">
      <c r="A819" s="88" t="s">
        <v>795</v>
      </c>
      <c r="B819" s="89">
        <v>45822.0</v>
      </c>
      <c r="C819" s="90" t="s">
        <v>44</v>
      </c>
      <c r="D819" s="91" t="s">
        <v>160</v>
      </c>
      <c r="E819" s="92" t="s">
        <v>796</v>
      </c>
      <c r="F819" s="92" t="s">
        <v>47</v>
      </c>
      <c r="G819" s="93">
        <v>25000.0</v>
      </c>
      <c r="H819" s="94">
        <v>0.0</v>
      </c>
      <c r="I819" s="95">
        <f t="shared" si="3"/>
        <v>25000</v>
      </c>
      <c r="J819" s="93">
        <v>25000.0</v>
      </c>
      <c r="K819" s="96">
        <f t="shared" si="4"/>
        <v>0</v>
      </c>
      <c r="L819" s="97"/>
      <c r="M819" s="98"/>
    </row>
    <row r="820" ht="22.5" customHeight="1">
      <c r="A820" s="88" t="s">
        <v>797</v>
      </c>
      <c r="B820" s="89">
        <v>45823.0</v>
      </c>
      <c r="C820" s="90" t="s">
        <v>44</v>
      </c>
      <c r="D820" s="91" t="s">
        <v>160</v>
      </c>
      <c r="E820" s="92" t="s">
        <v>798</v>
      </c>
      <c r="F820" s="92" t="s">
        <v>47</v>
      </c>
      <c r="G820" s="93">
        <v>530000.0</v>
      </c>
      <c r="H820" s="94">
        <v>0.0</v>
      </c>
      <c r="I820" s="95">
        <f t="shared" si="3"/>
        <v>530000</v>
      </c>
      <c r="J820" s="93">
        <v>530000.0</v>
      </c>
      <c r="K820" s="96">
        <f t="shared" si="4"/>
        <v>0</v>
      </c>
      <c r="L820" s="97"/>
      <c r="M820" s="98"/>
    </row>
    <row r="821" ht="22.5" customHeight="1">
      <c r="A821" s="101">
        <v>997455.0</v>
      </c>
      <c r="B821" s="89">
        <v>45825.0</v>
      </c>
      <c r="C821" s="90" t="s">
        <v>44</v>
      </c>
      <c r="D821" s="91" t="s">
        <v>45</v>
      </c>
      <c r="E821" s="92" t="s">
        <v>112</v>
      </c>
      <c r="F821" s="92" t="s">
        <v>47</v>
      </c>
      <c r="G821" s="93">
        <v>50000.0</v>
      </c>
      <c r="H821" s="94">
        <v>0.0</v>
      </c>
      <c r="I821" s="95">
        <f t="shared" si="3"/>
        <v>50000</v>
      </c>
      <c r="J821" s="93">
        <v>50000.0</v>
      </c>
      <c r="K821" s="96">
        <f t="shared" si="4"/>
        <v>0</v>
      </c>
      <c r="L821" s="97"/>
      <c r="M821" s="98"/>
    </row>
    <row r="822" ht="22.5" customHeight="1">
      <c r="A822" s="101">
        <v>1010590.0</v>
      </c>
      <c r="B822" s="89">
        <v>45825.0</v>
      </c>
      <c r="C822" s="90" t="s">
        <v>44</v>
      </c>
      <c r="D822" s="91" t="s">
        <v>45</v>
      </c>
      <c r="E822" s="92" t="s">
        <v>46</v>
      </c>
      <c r="F822" s="92" t="s">
        <v>47</v>
      </c>
      <c r="G822" s="93">
        <v>50000.0</v>
      </c>
      <c r="H822" s="94">
        <v>0.0</v>
      </c>
      <c r="I822" s="95">
        <f t="shared" si="3"/>
        <v>50000</v>
      </c>
      <c r="J822" s="93">
        <v>50000.0</v>
      </c>
      <c r="K822" s="96">
        <f t="shared" si="4"/>
        <v>0</v>
      </c>
      <c r="L822" s="97"/>
      <c r="M822" s="98"/>
    </row>
    <row r="823" ht="22.5" customHeight="1">
      <c r="A823" s="101">
        <v>982.0</v>
      </c>
      <c r="B823" s="89">
        <v>45828.0</v>
      </c>
      <c r="C823" s="90" t="s">
        <v>44</v>
      </c>
      <c r="D823" s="91" t="s">
        <v>57</v>
      </c>
      <c r="E823" s="92" t="s">
        <v>799</v>
      </c>
      <c r="F823" s="92" t="s">
        <v>47</v>
      </c>
      <c r="G823" s="93">
        <v>85000.0</v>
      </c>
      <c r="H823" s="94">
        <v>0.0</v>
      </c>
      <c r="I823" s="95">
        <f t="shared" si="3"/>
        <v>85000</v>
      </c>
      <c r="J823" s="93">
        <v>85000.0</v>
      </c>
      <c r="K823" s="96">
        <f t="shared" si="4"/>
        <v>0</v>
      </c>
      <c r="L823" s="97"/>
      <c r="M823" s="98"/>
    </row>
    <row r="824" ht="22.5" customHeight="1">
      <c r="A824" s="88" t="s">
        <v>800</v>
      </c>
      <c r="B824" s="89">
        <v>45832.0</v>
      </c>
      <c r="C824" s="90" t="s">
        <v>44</v>
      </c>
      <c r="D824" s="91" t="s">
        <v>57</v>
      </c>
      <c r="E824" s="92" t="s">
        <v>801</v>
      </c>
      <c r="F824" s="92" t="s">
        <v>47</v>
      </c>
      <c r="G824" s="93">
        <v>25000.0</v>
      </c>
      <c r="H824" s="94">
        <v>0.0</v>
      </c>
      <c r="I824" s="95">
        <f t="shared" si="3"/>
        <v>25000</v>
      </c>
      <c r="J824" s="93">
        <v>25000.0</v>
      </c>
      <c r="K824" s="96">
        <f t="shared" si="4"/>
        <v>0</v>
      </c>
      <c r="L824" s="97"/>
      <c r="M824" s="98"/>
    </row>
    <row r="825" ht="22.5" customHeight="1">
      <c r="A825" s="88" t="s">
        <v>802</v>
      </c>
      <c r="B825" s="89">
        <v>45833.0</v>
      </c>
      <c r="C825" s="90" t="s">
        <v>44</v>
      </c>
      <c r="D825" s="91" t="s">
        <v>57</v>
      </c>
      <c r="E825" s="92" t="s">
        <v>803</v>
      </c>
      <c r="F825" s="92" t="s">
        <v>47</v>
      </c>
      <c r="G825" s="93">
        <v>70000.0</v>
      </c>
      <c r="H825" s="94">
        <v>0.0</v>
      </c>
      <c r="I825" s="95">
        <f t="shared" si="3"/>
        <v>70000</v>
      </c>
      <c r="J825" s="93">
        <v>70000.0</v>
      </c>
      <c r="K825" s="96">
        <f t="shared" si="4"/>
        <v>0</v>
      </c>
      <c r="L825" s="97"/>
      <c r="M825" s="98"/>
    </row>
    <row r="826" ht="22.5" customHeight="1">
      <c r="A826" s="88" t="s">
        <v>804</v>
      </c>
      <c r="B826" s="89">
        <v>45839.0</v>
      </c>
      <c r="C826" s="90" t="s">
        <v>44</v>
      </c>
      <c r="D826" s="91" t="s">
        <v>432</v>
      </c>
      <c r="E826" s="92" t="s">
        <v>805</v>
      </c>
      <c r="F826" s="92" t="s">
        <v>47</v>
      </c>
      <c r="G826" s="93">
        <v>425000.0</v>
      </c>
      <c r="H826" s="94">
        <v>0.0</v>
      </c>
      <c r="I826" s="95">
        <f t="shared" si="3"/>
        <v>425000</v>
      </c>
      <c r="J826" s="93">
        <v>425000.0</v>
      </c>
      <c r="K826" s="96">
        <f t="shared" si="4"/>
        <v>0</v>
      </c>
      <c r="L826" s="97"/>
      <c r="M826" s="112"/>
    </row>
    <row r="827" ht="22.5" customHeight="1">
      <c r="A827" s="88" t="s">
        <v>806</v>
      </c>
      <c r="B827" s="89">
        <v>45839.0</v>
      </c>
      <c r="C827" s="90" t="s">
        <v>44</v>
      </c>
      <c r="D827" s="109"/>
      <c r="E827" s="92" t="s">
        <v>92</v>
      </c>
      <c r="F827" s="92" t="s">
        <v>47</v>
      </c>
      <c r="G827" s="93">
        <v>80000.0</v>
      </c>
      <c r="H827" s="94">
        <v>0.0</v>
      </c>
      <c r="I827" s="95">
        <f t="shared" si="3"/>
        <v>80000</v>
      </c>
      <c r="J827" s="93">
        <v>80000.0</v>
      </c>
      <c r="K827" s="96">
        <f t="shared" si="4"/>
        <v>0</v>
      </c>
      <c r="L827" s="97"/>
      <c r="M827" s="112"/>
    </row>
    <row r="828" ht="22.5" customHeight="1">
      <c r="A828" s="88" t="s">
        <v>807</v>
      </c>
      <c r="B828" s="89">
        <v>45840.0</v>
      </c>
      <c r="C828" s="90" t="s">
        <v>44</v>
      </c>
      <c r="D828" s="109"/>
      <c r="E828" s="92" t="s">
        <v>92</v>
      </c>
      <c r="F828" s="92" t="s">
        <v>47</v>
      </c>
      <c r="G828" s="93">
        <v>80000.0</v>
      </c>
      <c r="H828" s="94">
        <v>0.0</v>
      </c>
      <c r="I828" s="95">
        <f t="shared" si="3"/>
        <v>80000</v>
      </c>
      <c r="J828" s="93">
        <v>80000.0</v>
      </c>
      <c r="K828" s="96">
        <f t="shared" si="4"/>
        <v>0</v>
      </c>
      <c r="L828" s="97"/>
      <c r="M828" s="98"/>
    </row>
    <row r="829" ht="22.5" customHeight="1">
      <c r="A829" s="88" t="s">
        <v>808</v>
      </c>
      <c r="B829" s="89">
        <v>45848.0</v>
      </c>
      <c r="C829" s="90" t="s">
        <v>44</v>
      </c>
      <c r="D829" s="91" t="s">
        <v>432</v>
      </c>
      <c r="E829" s="92" t="s">
        <v>809</v>
      </c>
      <c r="F829" s="92" t="s">
        <v>47</v>
      </c>
      <c r="G829" s="93">
        <v>805000.0</v>
      </c>
      <c r="H829" s="94">
        <v>0.0</v>
      </c>
      <c r="I829" s="95">
        <f t="shared" si="3"/>
        <v>805000</v>
      </c>
      <c r="J829" s="93">
        <v>805000.0</v>
      </c>
      <c r="K829" s="96">
        <f t="shared" si="4"/>
        <v>0</v>
      </c>
      <c r="L829" s="97"/>
      <c r="M829" s="98"/>
    </row>
    <row r="830" ht="22.5" customHeight="1">
      <c r="A830" s="88" t="s">
        <v>810</v>
      </c>
      <c r="B830" s="89">
        <v>45854.0</v>
      </c>
      <c r="C830" s="113" t="s">
        <v>811</v>
      </c>
      <c r="D830" s="91" t="s">
        <v>432</v>
      </c>
      <c r="E830" s="92" t="s">
        <v>812</v>
      </c>
      <c r="F830" s="92" t="s">
        <v>47</v>
      </c>
      <c r="G830" s="93">
        <v>75000.0</v>
      </c>
      <c r="H830" s="94">
        <v>75000.0</v>
      </c>
      <c r="I830" s="95">
        <f t="shared" si="3"/>
        <v>0</v>
      </c>
      <c r="J830" s="93">
        <v>0.0</v>
      </c>
      <c r="K830" s="96">
        <f t="shared" si="4"/>
        <v>0</v>
      </c>
      <c r="L830" s="97"/>
      <c r="M830" s="98"/>
    </row>
    <row r="831" ht="22.5" customHeight="1">
      <c r="A831" s="88" t="s">
        <v>813</v>
      </c>
      <c r="B831" s="89">
        <v>45854.0</v>
      </c>
      <c r="C831" s="90" t="s">
        <v>44</v>
      </c>
      <c r="D831" s="91" t="s">
        <v>73</v>
      </c>
      <c r="E831" s="92" t="s">
        <v>814</v>
      </c>
      <c r="F831" s="92" t="s">
        <v>47</v>
      </c>
      <c r="G831" s="93">
        <v>325000.0</v>
      </c>
      <c r="H831" s="94">
        <v>0.0</v>
      </c>
      <c r="I831" s="95">
        <f t="shared" si="3"/>
        <v>325000</v>
      </c>
      <c r="J831" s="93">
        <v>325000.0</v>
      </c>
      <c r="K831" s="96">
        <f t="shared" si="4"/>
        <v>0</v>
      </c>
      <c r="L831" s="97"/>
      <c r="M831" s="98"/>
    </row>
    <row r="832" ht="22.5" customHeight="1">
      <c r="A832" s="88" t="s">
        <v>815</v>
      </c>
      <c r="B832" s="89">
        <v>45857.0</v>
      </c>
      <c r="C832" s="90" t="s">
        <v>44</v>
      </c>
      <c r="D832" s="91" t="s">
        <v>432</v>
      </c>
      <c r="E832" s="92" t="s">
        <v>816</v>
      </c>
      <c r="F832" s="92" t="s">
        <v>47</v>
      </c>
      <c r="G832" s="93">
        <v>165000.0</v>
      </c>
      <c r="H832" s="94">
        <v>0.0</v>
      </c>
      <c r="I832" s="95">
        <f t="shared" si="3"/>
        <v>165000</v>
      </c>
      <c r="J832" s="93">
        <v>165000.0</v>
      </c>
      <c r="K832" s="96">
        <f t="shared" si="4"/>
        <v>0</v>
      </c>
      <c r="L832" s="97"/>
      <c r="M832" s="98"/>
    </row>
    <row r="833" ht="22.5" customHeight="1">
      <c r="A833" s="88" t="s">
        <v>817</v>
      </c>
      <c r="B833" s="89">
        <v>45857.0</v>
      </c>
      <c r="C833" s="114" t="s">
        <v>44</v>
      </c>
      <c r="D833" s="91" t="s">
        <v>432</v>
      </c>
      <c r="E833" s="92" t="s">
        <v>818</v>
      </c>
      <c r="F833" s="92" t="s">
        <v>47</v>
      </c>
      <c r="G833" s="93">
        <v>385000.0</v>
      </c>
      <c r="H833" s="94">
        <v>0.0</v>
      </c>
      <c r="I833" s="95">
        <f t="shared" si="3"/>
        <v>385000</v>
      </c>
      <c r="J833" s="93">
        <v>385000.0</v>
      </c>
      <c r="K833" s="96">
        <f t="shared" si="4"/>
        <v>0</v>
      </c>
      <c r="L833" s="97"/>
      <c r="M833" s="98"/>
    </row>
    <row r="834" ht="22.5" customHeight="1">
      <c r="A834" s="88" t="s">
        <v>819</v>
      </c>
      <c r="B834" s="89">
        <v>45858.0</v>
      </c>
      <c r="C834" s="90" t="s">
        <v>44</v>
      </c>
      <c r="D834" s="91" t="s">
        <v>57</v>
      </c>
      <c r="E834" s="92" t="s">
        <v>820</v>
      </c>
      <c r="F834" s="92" t="s">
        <v>47</v>
      </c>
      <c r="G834" s="93">
        <v>25000.0</v>
      </c>
      <c r="H834" s="94">
        <v>0.0</v>
      </c>
      <c r="I834" s="95">
        <f t="shared" si="3"/>
        <v>25000</v>
      </c>
      <c r="J834" s="93">
        <v>25000.0</v>
      </c>
      <c r="K834" s="96">
        <f t="shared" si="4"/>
        <v>0</v>
      </c>
      <c r="L834" s="97"/>
      <c r="M834" s="98"/>
    </row>
    <row r="835" ht="22.5" customHeight="1">
      <c r="A835" s="88" t="s">
        <v>821</v>
      </c>
      <c r="B835" s="89">
        <v>45859.0</v>
      </c>
      <c r="C835" s="90" t="s">
        <v>44</v>
      </c>
      <c r="D835" s="91" t="s">
        <v>432</v>
      </c>
      <c r="E835" s="92" t="s">
        <v>822</v>
      </c>
      <c r="F835" s="92" t="s">
        <v>47</v>
      </c>
      <c r="G835" s="93">
        <v>4750000.0</v>
      </c>
      <c r="H835" s="94">
        <v>0.0</v>
      </c>
      <c r="I835" s="95">
        <f t="shared" si="3"/>
        <v>4750000</v>
      </c>
      <c r="J835" s="93">
        <v>4750000.0</v>
      </c>
      <c r="K835" s="96">
        <f t="shared" si="4"/>
        <v>0</v>
      </c>
      <c r="L835" s="97"/>
      <c r="M835" s="98"/>
    </row>
    <row r="836" ht="22.5" customHeight="1">
      <c r="A836" s="88" t="s">
        <v>823</v>
      </c>
      <c r="B836" s="89">
        <v>45864.0</v>
      </c>
      <c r="C836" s="90" t="s">
        <v>44</v>
      </c>
      <c r="D836" s="91" t="s">
        <v>824</v>
      </c>
      <c r="E836" s="92" t="s">
        <v>825</v>
      </c>
      <c r="F836" s="92" t="s">
        <v>47</v>
      </c>
      <c r="G836" s="93">
        <v>420000.0</v>
      </c>
      <c r="H836" s="94">
        <v>0.0</v>
      </c>
      <c r="I836" s="95">
        <f t="shared" si="3"/>
        <v>420000</v>
      </c>
      <c r="J836" s="93">
        <v>420000.0</v>
      </c>
      <c r="K836" s="96">
        <f t="shared" si="4"/>
        <v>0</v>
      </c>
      <c r="L836" s="97"/>
      <c r="M836" s="98"/>
    </row>
    <row r="837" ht="22.5" customHeight="1">
      <c r="A837" s="88" t="s">
        <v>826</v>
      </c>
      <c r="B837" s="89">
        <v>45878.0</v>
      </c>
      <c r="C837" s="90" t="s">
        <v>44</v>
      </c>
      <c r="D837" s="91" t="s">
        <v>57</v>
      </c>
      <c r="E837" s="92" t="s">
        <v>827</v>
      </c>
      <c r="F837" s="92" t="s">
        <v>47</v>
      </c>
      <c r="G837" s="93">
        <v>350000.0</v>
      </c>
      <c r="H837" s="94">
        <v>0.0</v>
      </c>
      <c r="I837" s="95">
        <f t="shared" si="3"/>
        <v>350000</v>
      </c>
      <c r="J837" s="93">
        <v>350000.0</v>
      </c>
      <c r="K837" s="96">
        <f t="shared" si="4"/>
        <v>0</v>
      </c>
      <c r="L837" s="97"/>
      <c r="M837" s="98"/>
    </row>
    <row r="838" ht="22.5" customHeight="1">
      <c r="A838" s="88" t="s">
        <v>828</v>
      </c>
      <c r="B838" s="89">
        <v>45879.0</v>
      </c>
      <c r="C838" s="90" t="s">
        <v>44</v>
      </c>
      <c r="D838" s="91" t="s">
        <v>57</v>
      </c>
      <c r="E838" s="92" t="s">
        <v>829</v>
      </c>
      <c r="F838" s="92" t="s">
        <v>47</v>
      </c>
      <c r="G838" s="93">
        <v>150000.0</v>
      </c>
      <c r="H838" s="94">
        <v>0.0</v>
      </c>
      <c r="I838" s="95">
        <f t="shared" si="3"/>
        <v>150000</v>
      </c>
      <c r="J838" s="93">
        <v>150000.0</v>
      </c>
      <c r="K838" s="96">
        <f t="shared" si="4"/>
        <v>0</v>
      </c>
      <c r="L838" s="97"/>
      <c r="M838" s="98"/>
    </row>
    <row r="839" ht="22.5" customHeight="1">
      <c r="A839" s="101">
        <v>987.0</v>
      </c>
      <c r="B839" s="89">
        <v>45892.0</v>
      </c>
      <c r="C839" s="90" t="s">
        <v>44</v>
      </c>
      <c r="D839" s="91" t="s">
        <v>57</v>
      </c>
      <c r="E839" s="92" t="s">
        <v>830</v>
      </c>
      <c r="F839" s="92" t="s">
        <v>47</v>
      </c>
      <c r="G839" s="93">
        <v>1725000.0</v>
      </c>
      <c r="H839" s="94">
        <v>0.0</v>
      </c>
      <c r="I839" s="95">
        <f t="shared" si="3"/>
        <v>1725000</v>
      </c>
      <c r="J839" s="93">
        <v>1725000.0</v>
      </c>
      <c r="K839" s="96">
        <f t="shared" si="4"/>
        <v>0</v>
      </c>
      <c r="L839" s="97"/>
      <c r="M839" s="98"/>
    </row>
    <row r="840" ht="22.5" customHeight="1">
      <c r="A840" s="88" t="s">
        <v>831</v>
      </c>
      <c r="B840" s="89">
        <v>45895.0</v>
      </c>
      <c r="C840" s="90" t="s">
        <v>44</v>
      </c>
      <c r="D840" s="91" t="s">
        <v>432</v>
      </c>
      <c r="E840" s="92" t="s">
        <v>832</v>
      </c>
      <c r="F840" s="92" t="s">
        <v>47</v>
      </c>
      <c r="G840" s="93">
        <v>200000.0</v>
      </c>
      <c r="H840" s="94">
        <v>0.0</v>
      </c>
      <c r="I840" s="95">
        <f t="shared" si="3"/>
        <v>200000</v>
      </c>
      <c r="J840" s="93">
        <v>200000.0</v>
      </c>
      <c r="K840" s="96">
        <f t="shared" si="4"/>
        <v>0</v>
      </c>
      <c r="L840" s="97"/>
      <c r="M840" s="98"/>
    </row>
    <row r="841" ht="22.5" customHeight="1">
      <c r="A841" s="88" t="s">
        <v>833</v>
      </c>
      <c r="B841" s="89">
        <v>45895.0</v>
      </c>
      <c r="C841" s="90" t="s">
        <v>44</v>
      </c>
      <c r="D841" s="91" t="s">
        <v>432</v>
      </c>
      <c r="E841" s="92" t="s">
        <v>834</v>
      </c>
      <c r="F841" s="92" t="s">
        <v>47</v>
      </c>
      <c r="G841" s="93">
        <v>25000.0</v>
      </c>
      <c r="H841" s="94">
        <v>0.0</v>
      </c>
      <c r="I841" s="95">
        <f t="shared" si="3"/>
        <v>25000</v>
      </c>
      <c r="J841" s="93">
        <v>25000.0</v>
      </c>
      <c r="K841" s="96">
        <f t="shared" si="4"/>
        <v>0</v>
      </c>
      <c r="L841" s="97"/>
      <c r="M841" s="98"/>
    </row>
    <row r="842" ht="22.5" customHeight="1">
      <c r="A842" s="101">
        <v>1026.0</v>
      </c>
      <c r="B842" s="89">
        <v>45899.0</v>
      </c>
      <c r="C842" s="90" t="s">
        <v>44</v>
      </c>
      <c r="D842" s="91" t="s">
        <v>57</v>
      </c>
      <c r="E842" s="92" t="s">
        <v>835</v>
      </c>
      <c r="F842" s="92" t="s">
        <v>47</v>
      </c>
      <c r="G842" s="93">
        <v>2600000.0</v>
      </c>
      <c r="H842" s="94">
        <v>0.0</v>
      </c>
      <c r="I842" s="95">
        <f t="shared" si="3"/>
        <v>2600000</v>
      </c>
      <c r="J842" s="93">
        <v>2600000.0</v>
      </c>
      <c r="K842" s="96">
        <f t="shared" si="4"/>
        <v>0</v>
      </c>
      <c r="L842" s="97"/>
      <c r="M842" s="98"/>
    </row>
    <row r="843" ht="22.5" customHeight="1">
      <c r="A843" s="101">
        <v>1027.0</v>
      </c>
      <c r="B843" s="89">
        <v>45901.0</v>
      </c>
      <c r="C843" s="115" t="s">
        <v>44</v>
      </c>
      <c r="D843" s="91" t="s">
        <v>57</v>
      </c>
      <c r="E843" s="92" t="s">
        <v>92</v>
      </c>
      <c r="F843" s="92" t="s">
        <v>47</v>
      </c>
      <c r="G843" s="93">
        <v>130000.0</v>
      </c>
      <c r="H843" s="94">
        <v>0.0</v>
      </c>
      <c r="I843" s="95">
        <f t="shared" si="3"/>
        <v>130000</v>
      </c>
      <c r="J843" s="93">
        <v>130000.0</v>
      </c>
      <c r="K843" s="96">
        <f t="shared" si="4"/>
        <v>0</v>
      </c>
      <c r="L843" s="97"/>
      <c r="M843" s="98"/>
    </row>
    <row r="844" ht="22.5" customHeight="1">
      <c r="A844" s="101">
        <v>1028.0</v>
      </c>
      <c r="B844" s="89">
        <v>45901.0</v>
      </c>
      <c r="C844" s="90" t="s">
        <v>44</v>
      </c>
      <c r="D844" s="91" t="s">
        <v>57</v>
      </c>
      <c r="E844" s="92" t="s">
        <v>836</v>
      </c>
      <c r="F844" s="92" t="s">
        <v>47</v>
      </c>
      <c r="G844" s="93">
        <v>200000.0</v>
      </c>
      <c r="H844" s="94">
        <v>0.0</v>
      </c>
      <c r="I844" s="95">
        <f t="shared" si="3"/>
        <v>200000</v>
      </c>
      <c r="J844" s="93">
        <v>200000.0</v>
      </c>
      <c r="K844" s="96">
        <f t="shared" si="4"/>
        <v>0</v>
      </c>
      <c r="L844" s="97"/>
      <c r="M844" s="98"/>
    </row>
    <row r="845" ht="22.5" customHeight="1">
      <c r="A845" s="101">
        <v>13.0</v>
      </c>
      <c r="B845" s="89">
        <v>45903.0</v>
      </c>
      <c r="C845" s="115" t="s">
        <v>83</v>
      </c>
      <c r="D845" s="91" t="s">
        <v>57</v>
      </c>
      <c r="E845" s="92" t="s">
        <v>837</v>
      </c>
      <c r="F845" s="92" t="s">
        <v>47</v>
      </c>
      <c r="G845" s="93">
        <v>1500000.0</v>
      </c>
      <c r="H845" s="94">
        <v>0.0</v>
      </c>
      <c r="I845" s="95">
        <f t="shared" si="3"/>
        <v>1500000</v>
      </c>
      <c r="J845" s="93">
        <v>350000.0</v>
      </c>
      <c r="K845" s="104">
        <f t="shared" si="4"/>
        <v>1150000</v>
      </c>
      <c r="L845" s="97"/>
      <c r="M845" s="98"/>
    </row>
    <row r="846" ht="22.5" customHeight="1">
      <c r="A846" s="88" t="s">
        <v>838</v>
      </c>
      <c r="B846" s="89">
        <v>45903.0</v>
      </c>
      <c r="C846" s="90" t="s">
        <v>44</v>
      </c>
      <c r="D846" s="91" t="s">
        <v>839</v>
      </c>
      <c r="E846" s="92" t="s">
        <v>840</v>
      </c>
      <c r="F846" s="92" t="s">
        <v>47</v>
      </c>
      <c r="G846" s="93">
        <v>300000.0</v>
      </c>
      <c r="H846" s="94">
        <v>0.0</v>
      </c>
      <c r="I846" s="95">
        <f t="shared" si="3"/>
        <v>300000</v>
      </c>
      <c r="J846" s="93">
        <v>300000.0</v>
      </c>
      <c r="K846" s="96">
        <f t="shared" si="4"/>
        <v>0</v>
      </c>
      <c r="L846" s="97"/>
      <c r="M846" s="102"/>
    </row>
    <row r="847" ht="22.5" customHeight="1">
      <c r="A847" s="88" t="s">
        <v>841</v>
      </c>
      <c r="B847" s="89">
        <v>45904.0</v>
      </c>
      <c r="C847" s="90" t="s">
        <v>44</v>
      </c>
      <c r="D847" s="91" t="s">
        <v>57</v>
      </c>
      <c r="E847" s="92" t="s">
        <v>92</v>
      </c>
      <c r="F847" s="92" t="s">
        <v>47</v>
      </c>
      <c r="G847" s="93">
        <v>75000.0</v>
      </c>
      <c r="H847" s="94">
        <v>0.0</v>
      </c>
      <c r="I847" s="95">
        <f t="shared" si="3"/>
        <v>75000</v>
      </c>
      <c r="J847" s="93">
        <v>75000.0</v>
      </c>
      <c r="K847" s="96">
        <f t="shared" si="4"/>
        <v>0</v>
      </c>
      <c r="L847" s="97"/>
      <c r="M847" s="98"/>
    </row>
    <row r="848" ht="22.5" customHeight="1">
      <c r="A848" s="88" t="s">
        <v>842</v>
      </c>
      <c r="B848" s="89">
        <v>45906.0</v>
      </c>
      <c r="C848" s="90" t="s">
        <v>44</v>
      </c>
      <c r="D848" s="91" t="s">
        <v>224</v>
      </c>
      <c r="E848" s="92" t="s">
        <v>843</v>
      </c>
      <c r="F848" s="92" t="s">
        <v>47</v>
      </c>
      <c r="G848" s="93">
        <v>1.5E7</v>
      </c>
      <c r="H848" s="94">
        <v>0.0</v>
      </c>
      <c r="I848" s="95">
        <f t="shared" si="3"/>
        <v>15000000</v>
      </c>
      <c r="J848" s="93">
        <v>1.5E7</v>
      </c>
      <c r="K848" s="96">
        <f t="shared" si="4"/>
        <v>0</v>
      </c>
      <c r="L848" s="97"/>
      <c r="M848" s="98"/>
    </row>
    <row r="849" ht="22.5" customHeight="1">
      <c r="A849" s="88" t="s">
        <v>844</v>
      </c>
      <c r="B849" s="89">
        <v>45906.0</v>
      </c>
      <c r="C849" s="90" t="s">
        <v>44</v>
      </c>
      <c r="D849" s="91" t="s">
        <v>839</v>
      </c>
      <c r="E849" s="92" t="s">
        <v>845</v>
      </c>
      <c r="F849" s="92" t="s">
        <v>47</v>
      </c>
      <c r="G849" s="93">
        <v>300000.0</v>
      </c>
      <c r="H849" s="94">
        <v>0.0</v>
      </c>
      <c r="I849" s="95">
        <f t="shared" si="3"/>
        <v>300000</v>
      </c>
      <c r="J849" s="93">
        <v>300000.0</v>
      </c>
      <c r="K849" s="96">
        <f t="shared" si="4"/>
        <v>0</v>
      </c>
      <c r="L849" s="97"/>
      <c r="M849" s="98"/>
    </row>
    <row r="850" ht="22.5" customHeight="1">
      <c r="A850" s="88" t="s">
        <v>846</v>
      </c>
      <c r="B850" s="89">
        <v>45908.0</v>
      </c>
      <c r="C850" s="90" t="s">
        <v>44</v>
      </c>
      <c r="D850" s="91" t="s">
        <v>432</v>
      </c>
      <c r="E850" s="92" t="s">
        <v>847</v>
      </c>
      <c r="F850" s="92" t="s">
        <v>47</v>
      </c>
      <c r="G850" s="93">
        <v>420000.0</v>
      </c>
      <c r="H850" s="94">
        <v>0.0</v>
      </c>
      <c r="I850" s="95">
        <f t="shared" si="3"/>
        <v>420000</v>
      </c>
      <c r="J850" s="93">
        <v>420000.0</v>
      </c>
      <c r="K850" s="96">
        <f t="shared" si="4"/>
        <v>0</v>
      </c>
      <c r="L850" s="97"/>
      <c r="M850" s="98"/>
    </row>
    <row r="851" ht="22.5" customHeight="1">
      <c r="A851" s="116" t="s">
        <v>848</v>
      </c>
      <c r="B851" s="117">
        <v>45911.0</v>
      </c>
      <c r="C851" s="118" t="s">
        <v>44</v>
      </c>
      <c r="D851" s="119" t="s">
        <v>57</v>
      </c>
      <c r="E851" s="120" t="s">
        <v>849</v>
      </c>
      <c r="F851" s="120" t="s">
        <v>47</v>
      </c>
      <c r="G851" s="121">
        <v>550000.0</v>
      </c>
      <c r="H851" s="122">
        <v>0.0</v>
      </c>
      <c r="I851" s="123">
        <f t="shared" si="3"/>
        <v>550000</v>
      </c>
      <c r="J851" s="121">
        <v>550000.0</v>
      </c>
      <c r="K851" s="124">
        <f t="shared" si="4"/>
        <v>0</v>
      </c>
      <c r="L851" s="125"/>
      <c r="M851" s="126"/>
    </row>
    <row r="852">
      <c r="A852" s="101">
        <v>15.0</v>
      </c>
      <c r="B852" s="89">
        <v>45914.0</v>
      </c>
      <c r="C852" s="90" t="s">
        <v>44</v>
      </c>
      <c r="D852" s="91" t="s">
        <v>224</v>
      </c>
      <c r="E852" s="92" t="s">
        <v>850</v>
      </c>
      <c r="F852" s="92" t="s">
        <v>47</v>
      </c>
      <c r="G852" s="93">
        <v>1500000.0</v>
      </c>
      <c r="H852" s="94">
        <v>222000.0</v>
      </c>
      <c r="I852" s="95">
        <f t="shared" si="3"/>
        <v>1278000</v>
      </c>
      <c r="J852" s="96">
        <v>1278000.0</v>
      </c>
      <c r="K852" s="96">
        <f t="shared" si="4"/>
        <v>0</v>
      </c>
      <c r="L852" s="97"/>
      <c r="M852" s="98"/>
    </row>
    <row r="853" ht="22.5" customHeight="1">
      <c r="A853" s="88" t="s">
        <v>851</v>
      </c>
      <c r="B853" s="89">
        <v>45916.0</v>
      </c>
      <c r="C853" s="90" t="s">
        <v>44</v>
      </c>
      <c r="D853" s="91" t="s">
        <v>224</v>
      </c>
      <c r="E853" s="92" t="s">
        <v>852</v>
      </c>
      <c r="F853" s="92" t="s">
        <v>47</v>
      </c>
      <c r="G853" s="93">
        <v>1050000.0</v>
      </c>
      <c r="H853" s="94">
        <v>0.0</v>
      </c>
      <c r="I853" s="95">
        <f t="shared" si="3"/>
        <v>1050000</v>
      </c>
      <c r="J853" s="93">
        <v>1050000.0</v>
      </c>
      <c r="K853" s="96">
        <f t="shared" si="4"/>
        <v>0</v>
      </c>
      <c r="L853" s="97"/>
      <c r="M853" s="98"/>
    </row>
    <row r="854" ht="22.5" customHeight="1">
      <c r="A854" s="88" t="s">
        <v>853</v>
      </c>
      <c r="B854" s="89">
        <v>45917.0</v>
      </c>
      <c r="C854" s="90" t="s">
        <v>44</v>
      </c>
      <c r="D854" s="91" t="s">
        <v>839</v>
      </c>
      <c r="E854" s="92" t="s">
        <v>854</v>
      </c>
      <c r="F854" s="92" t="s">
        <v>47</v>
      </c>
      <c r="G854" s="93">
        <v>100000.0</v>
      </c>
      <c r="H854" s="94">
        <v>0.0</v>
      </c>
      <c r="I854" s="95">
        <f t="shared" si="3"/>
        <v>100000</v>
      </c>
      <c r="J854" s="93">
        <v>100000.0</v>
      </c>
      <c r="K854" s="96">
        <f t="shared" si="4"/>
        <v>0</v>
      </c>
      <c r="L854" s="97"/>
      <c r="M854" s="98"/>
    </row>
    <row r="855" ht="22.5" customHeight="1">
      <c r="A855" s="88" t="s">
        <v>855</v>
      </c>
      <c r="B855" s="89">
        <v>45922.0</v>
      </c>
      <c r="C855" s="90" t="s">
        <v>44</v>
      </c>
      <c r="D855" s="91" t="s">
        <v>856</v>
      </c>
      <c r="E855" s="92" t="s">
        <v>857</v>
      </c>
      <c r="F855" s="92" t="s">
        <v>47</v>
      </c>
      <c r="G855" s="93">
        <v>125000.0</v>
      </c>
      <c r="H855" s="94">
        <v>0.0</v>
      </c>
      <c r="I855" s="95">
        <f t="shared" si="3"/>
        <v>125000</v>
      </c>
      <c r="J855" s="93">
        <v>125000.0</v>
      </c>
      <c r="K855" s="96">
        <f t="shared" si="4"/>
        <v>0</v>
      </c>
      <c r="L855" s="97"/>
      <c r="M855" s="98"/>
    </row>
    <row r="856" ht="22.5" customHeight="1">
      <c r="A856" s="88" t="s">
        <v>858</v>
      </c>
      <c r="B856" s="127">
        <v>45922.0</v>
      </c>
      <c r="C856" s="90" t="s">
        <v>44</v>
      </c>
      <c r="D856" s="91" t="s">
        <v>856</v>
      </c>
      <c r="E856" s="92" t="s">
        <v>597</v>
      </c>
      <c r="F856" s="92" t="s">
        <v>47</v>
      </c>
      <c r="G856" s="128">
        <v>15000.0</v>
      </c>
      <c r="H856" s="129">
        <v>0.0</v>
      </c>
      <c r="I856" s="95">
        <f t="shared" si="3"/>
        <v>15000</v>
      </c>
      <c r="J856" s="93">
        <v>15000.0</v>
      </c>
      <c r="K856" s="96">
        <f t="shared" si="4"/>
        <v>0</v>
      </c>
      <c r="L856" s="97"/>
      <c r="M856" s="98"/>
    </row>
    <row r="857" ht="22.5" customHeight="1">
      <c r="A857" s="88" t="s">
        <v>859</v>
      </c>
      <c r="B857" s="130">
        <v>45923.0</v>
      </c>
      <c r="C857" s="90" t="s">
        <v>44</v>
      </c>
      <c r="D857" s="91" t="s">
        <v>432</v>
      </c>
      <c r="E857" s="92" t="s">
        <v>737</v>
      </c>
      <c r="F857" s="92" t="s">
        <v>860</v>
      </c>
      <c r="G857" s="131">
        <v>200000.0</v>
      </c>
      <c r="H857" s="132">
        <v>0.0</v>
      </c>
      <c r="I857" s="95">
        <f t="shared" si="3"/>
        <v>200000</v>
      </c>
      <c r="J857" s="96">
        <v>200000.0</v>
      </c>
      <c r="K857" s="96">
        <f t="shared" si="4"/>
        <v>0</v>
      </c>
      <c r="L857" s="97"/>
      <c r="M857" s="98"/>
    </row>
    <row r="858" ht="22.5" customHeight="1">
      <c r="A858" s="88" t="s">
        <v>861</v>
      </c>
      <c r="B858" s="133">
        <v>45925.0</v>
      </c>
      <c r="C858" s="90" t="s">
        <v>44</v>
      </c>
      <c r="D858" s="91" t="s">
        <v>856</v>
      </c>
      <c r="E858" s="92" t="s">
        <v>92</v>
      </c>
      <c r="F858" s="92" t="s">
        <v>47</v>
      </c>
      <c r="G858" s="134">
        <v>75000.0</v>
      </c>
      <c r="H858" s="132">
        <v>0.0</v>
      </c>
      <c r="I858" s="95">
        <f t="shared" si="3"/>
        <v>75000</v>
      </c>
      <c r="J858" s="93">
        <v>75000.0</v>
      </c>
      <c r="K858" s="96">
        <f t="shared" si="4"/>
        <v>0</v>
      </c>
      <c r="L858" s="97"/>
      <c r="M858" s="98"/>
    </row>
    <row r="859" ht="22.5" customHeight="1">
      <c r="A859" s="88" t="s">
        <v>862</v>
      </c>
      <c r="B859" s="133">
        <v>45925.0</v>
      </c>
      <c r="C859" s="90" t="s">
        <v>44</v>
      </c>
      <c r="D859" s="91" t="s">
        <v>856</v>
      </c>
      <c r="E859" s="92" t="s">
        <v>863</v>
      </c>
      <c r="F859" s="92" t="s">
        <v>47</v>
      </c>
      <c r="G859" s="134">
        <v>100000.0</v>
      </c>
      <c r="H859" s="132">
        <v>0.0</v>
      </c>
      <c r="I859" s="95">
        <f t="shared" si="3"/>
        <v>100000</v>
      </c>
      <c r="J859" s="93">
        <v>100000.0</v>
      </c>
      <c r="K859" s="96">
        <f t="shared" si="4"/>
        <v>0</v>
      </c>
      <c r="L859" s="97"/>
      <c r="M859" s="98"/>
    </row>
    <row r="860" ht="22.5" customHeight="1">
      <c r="A860" s="88" t="s">
        <v>864</v>
      </c>
      <c r="B860" s="133">
        <v>45925.0</v>
      </c>
      <c r="C860" s="90" t="s">
        <v>44</v>
      </c>
      <c r="D860" s="91" t="s">
        <v>856</v>
      </c>
      <c r="E860" s="92" t="s">
        <v>863</v>
      </c>
      <c r="F860" s="92" t="s">
        <v>47</v>
      </c>
      <c r="G860" s="134">
        <v>100000.0</v>
      </c>
      <c r="H860" s="132">
        <v>0.0</v>
      </c>
      <c r="I860" s="95">
        <f t="shared" si="3"/>
        <v>100000</v>
      </c>
      <c r="J860" s="93">
        <v>100000.0</v>
      </c>
      <c r="K860" s="96">
        <f t="shared" si="4"/>
        <v>0</v>
      </c>
      <c r="L860" s="97"/>
      <c r="M860" s="98"/>
    </row>
    <row r="861" ht="22.5" customHeight="1">
      <c r="A861" s="88" t="s">
        <v>865</v>
      </c>
      <c r="B861" s="133">
        <v>45925.0</v>
      </c>
      <c r="C861" s="90" t="s">
        <v>44</v>
      </c>
      <c r="D861" s="91" t="s">
        <v>856</v>
      </c>
      <c r="E861" s="92" t="s">
        <v>866</v>
      </c>
      <c r="F861" s="92" t="s">
        <v>47</v>
      </c>
      <c r="G861" s="134">
        <v>20000.0</v>
      </c>
      <c r="H861" s="132">
        <v>0.0</v>
      </c>
      <c r="I861" s="95">
        <f t="shared" si="3"/>
        <v>20000</v>
      </c>
      <c r="J861" s="93">
        <v>20000.0</v>
      </c>
      <c r="K861" s="96">
        <f t="shared" si="4"/>
        <v>0</v>
      </c>
      <c r="L861" s="97"/>
      <c r="M861" s="98"/>
    </row>
    <row r="862" ht="22.5" customHeight="1">
      <c r="A862" s="88" t="s">
        <v>867</v>
      </c>
      <c r="B862" s="133">
        <v>45928.0</v>
      </c>
      <c r="C862" s="90" t="s">
        <v>44</v>
      </c>
      <c r="D862" s="91" t="s">
        <v>73</v>
      </c>
      <c r="E862" s="92" t="s">
        <v>868</v>
      </c>
      <c r="F862" s="92" t="s">
        <v>869</v>
      </c>
      <c r="G862" s="134">
        <v>1000000.0</v>
      </c>
      <c r="H862" s="132">
        <v>0.0</v>
      </c>
      <c r="I862" s="95">
        <f t="shared" si="3"/>
        <v>1000000</v>
      </c>
      <c r="J862" s="93">
        <v>1000000.0</v>
      </c>
      <c r="K862" s="96">
        <f t="shared" si="4"/>
        <v>0</v>
      </c>
      <c r="L862" s="97"/>
      <c r="M862" s="98"/>
    </row>
    <row r="863" ht="22.5" customHeight="1">
      <c r="A863" s="88" t="s">
        <v>870</v>
      </c>
      <c r="B863" s="133">
        <v>45929.0</v>
      </c>
      <c r="C863" s="90" t="s">
        <v>44</v>
      </c>
      <c r="D863" s="91" t="s">
        <v>432</v>
      </c>
      <c r="E863" s="92" t="s">
        <v>871</v>
      </c>
      <c r="F863" s="92" t="s">
        <v>47</v>
      </c>
      <c r="G863" s="134">
        <v>1030000.0</v>
      </c>
      <c r="H863" s="132">
        <v>0.0</v>
      </c>
      <c r="I863" s="95">
        <f t="shared" si="3"/>
        <v>1030000</v>
      </c>
      <c r="J863" s="93">
        <v>1030000.0</v>
      </c>
      <c r="K863" s="96">
        <f t="shared" si="4"/>
        <v>0</v>
      </c>
      <c r="L863" s="97"/>
      <c r="M863" s="98"/>
    </row>
    <row r="864" ht="22.5" customHeight="1">
      <c r="A864" s="101">
        <v>15.0</v>
      </c>
      <c r="B864" s="133">
        <v>45930.0</v>
      </c>
      <c r="C864" s="105" t="s">
        <v>96</v>
      </c>
      <c r="D864" s="91" t="s">
        <v>224</v>
      </c>
      <c r="E864" s="92" t="s">
        <v>872</v>
      </c>
      <c r="F864" s="92" t="s">
        <v>47</v>
      </c>
      <c r="G864" s="134">
        <v>1400000.0</v>
      </c>
      <c r="H864" s="135">
        <v>50000.0</v>
      </c>
      <c r="I864" s="95">
        <f t="shared" si="3"/>
        <v>1350000</v>
      </c>
      <c r="J864" s="96">
        <v>1350000.0</v>
      </c>
      <c r="K864" s="104">
        <f t="shared" si="4"/>
        <v>0</v>
      </c>
      <c r="L864" s="97"/>
      <c r="M864" s="98"/>
    </row>
    <row r="865" ht="22.5" customHeight="1">
      <c r="A865" s="88" t="s">
        <v>873</v>
      </c>
      <c r="B865" s="133">
        <v>45930.0</v>
      </c>
      <c r="C865" s="103" t="s">
        <v>83</v>
      </c>
      <c r="D865" s="91" t="s">
        <v>224</v>
      </c>
      <c r="E865" s="92" t="s">
        <v>874</v>
      </c>
      <c r="F865" s="92" t="s">
        <v>47</v>
      </c>
      <c r="G865" s="134">
        <v>75000.0</v>
      </c>
      <c r="H865" s="132">
        <v>0.0</v>
      </c>
      <c r="I865" s="95">
        <f t="shared" si="3"/>
        <v>75000</v>
      </c>
      <c r="J865" s="93">
        <v>0.0</v>
      </c>
      <c r="K865" s="104">
        <f t="shared" si="4"/>
        <v>75000</v>
      </c>
      <c r="L865" s="97"/>
      <c r="M865" s="98"/>
    </row>
    <row r="866" ht="22.5" customHeight="1">
      <c r="A866" s="88" t="s">
        <v>875</v>
      </c>
      <c r="B866" s="133">
        <v>45930.0</v>
      </c>
      <c r="C866" s="90" t="s">
        <v>44</v>
      </c>
      <c r="D866" s="91" t="s">
        <v>432</v>
      </c>
      <c r="E866" s="92" t="s">
        <v>876</v>
      </c>
      <c r="F866" s="92" t="s">
        <v>47</v>
      </c>
      <c r="G866" s="134">
        <v>2.2E7</v>
      </c>
      <c r="H866" s="132">
        <v>0.0</v>
      </c>
      <c r="I866" s="95">
        <f t="shared" si="3"/>
        <v>22000000</v>
      </c>
      <c r="J866" s="93">
        <v>2.2E7</v>
      </c>
      <c r="K866" s="96">
        <f t="shared" si="4"/>
        <v>0</v>
      </c>
      <c r="L866" s="97"/>
      <c r="M866" s="98"/>
    </row>
    <row r="867" ht="22.5" customHeight="1">
      <c r="A867" s="88" t="s">
        <v>877</v>
      </c>
      <c r="B867" s="133">
        <v>45930.0</v>
      </c>
      <c r="C867" s="90" t="s">
        <v>44</v>
      </c>
      <c r="D867" s="91" t="s">
        <v>432</v>
      </c>
      <c r="E867" s="92" t="s">
        <v>878</v>
      </c>
      <c r="F867" s="92" t="s">
        <v>47</v>
      </c>
      <c r="G867" s="134">
        <v>10000.0</v>
      </c>
      <c r="H867" s="132">
        <v>0.0</v>
      </c>
      <c r="I867" s="95">
        <f t="shared" si="3"/>
        <v>10000</v>
      </c>
      <c r="J867" s="93">
        <v>10000.0</v>
      </c>
      <c r="K867" s="96">
        <f t="shared" si="4"/>
        <v>0</v>
      </c>
      <c r="L867" s="97"/>
      <c r="M867" s="98"/>
    </row>
    <row r="868" ht="22.5" customHeight="1">
      <c r="A868" s="101">
        <v>11.0</v>
      </c>
      <c r="B868" s="133">
        <v>45938.0</v>
      </c>
      <c r="C868" s="90" t="s">
        <v>44</v>
      </c>
      <c r="D868" s="91" t="s">
        <v>839</v>
      </c>
      <c r="E868" s="92" t="s">
        <v>879</v>
      </c>
      <c r="F868" s="92" t="s">
        <v>47</v>
      </c>
      <c r="G868" s="134">
        <v>800000.0</v>
      </c>
      <c r="H868" s="132">
        <v>0.0</v>
      </c>
      <c r="I868" s="95">
        <f t="shared" si="3"/>
        <v>800000</v>
      </c>
      <c r="J868" s="93">
        <v>800000.0</v>
      </c>
      <c r="K868" s="96">
        <f t="shared" si="4"/>
        <v>0</v>
      </c>
      <c r="L868" s="97"/>
      <c r="M868" s="98"/>
    </row>
    <row r="869" ht="22.5" customHeight="1">
      <c r="A869" s="88" t="s">
        <v>880</v>
      </c>
      <c r="B869" s="133">
        <v>45939.0</v>
      </c>
      <c r="C869" s="105" t="s">
        <v>96</v>
      </c>
      <c r="D869" s="91" t="s">
        <v>57</v>
      </c>
      <c r="E869" s="92" t="s">
        <v>881</v>
      </c>
      <c r="F869" s="92" t="s">
        <v>47</v>
      </c>
      <c r="G869" s="134">
        <v>1600000.0</v>
      </c>
      <c r="H869" s="132">
        <v>0.0</v>
      </c>
      <c r="I869" s="95">
        <f t="shared" si="3"/>
        <v>1600000</v>
      </c>
      <c r="J869" s="93">
        <v>1600000.0</v>
      </c>
      <c r="K869" s="96">
        <f t="shared" si="4"/>
        <v>0</v>
      </c>
      <c r="L869" s="97"/>
      <c r="M869" s="98"/>
    </row>
    <row r="870" ht="22.5" customHeight="1">
      <c r="A870" s="88" t="s">
        <v>882</v>
      </c>
      <c r="B870" s="133">
        <v>45939.0</v>
      </c>
      <c r="C870" s="105" t="s">
        <v>96</v>
      </c>
      <c r="D870" s="91" t="s">
        <v>432</v>
      </c>
      <c r="E870" s="92" t="s">
        <v>883</v>
      </c>
      <c r="F870" s="92" t="s">
        <v>47</v>
      </c>
      <c r="G870" s="131">
        <v>2115000.0</v>
      </c>
      <c r="H870" s="132">
        <v>0.0</v>
      </c>
      <c r="I870" s="95">
        <v>2115000.0</v>
      </c>
      <c r="J870" s="96">
        <v>2115000.0</v>
      </c>
      <c r="K870" s="96">
        <f t="shared" si="4"/>
        <v>0</v>
      </c>
      <c r="L870" s="97"/>
      <c r="M870" s="98"/>
    </row>
    <row r="871" ht="22.5" customHeight="1">
      <c r="A871" s="101">
        <v>12.0</v>
      </c>
      <c r="B871" s="133">
        <v>45939.0</v>
      </c>
      <c r="C871" s="103" t="s">
        <v>83</v>
      </c>
      <c r="D871" s="91" t="s">
        <v>224</v>
      </c>
      <c r="E871" s="92" t="s">
        <v>884</v>
      </c>
      <c r="F871" s="92" t="s">
        <v>47</v>
      </c>
      <c r="G871" s="134">
        <v>50000.0</v>
      </c>
      <c r="H871" s="132">
        <v>0.0</v>
      </c>
      <c r="I871" s="95">
        <f t="shared" ref="I871:I887" si="5">G871-H871</f>
        <v>50000</v>
      </c>
      <c r="J871" s="93">
        <v>0.0</v>
      </c>
      <c r="K871" s="104">
        <f t="shared" si="4"/>
        <v>50000</v>
      </c>
      <c r="L871" s="97"/>
      <c r="M871" s="98"/>
    </row>
    <row r="872" ht="22.5" customHeight="1">
      <c r="A872" s="88" t="s">
        <v>885</v>
      </c>
      <c r="B872" s="133">
        <v>45939.0</v>
      </c>
      <c r="C872" s="90" t="s">
        <v>44</v>
      </c>
      <c r="D872" s="91" t="s">
        <v>224</v>
      </c>
      <c r="E872" s="92" t="s">
        <v>886</v>
      </c>
      <c r="F872" s="92" t="s">
        <v>47</v>
      </c>
      <c r="G872" s="134">
        <v>125000.0</v>
      </c>
      <c r="H872" s="132">
        <v>0.0</v>
      </c>
      <c r="I872" s="95">
        <f t="shared" si="5"/>
        <v>125000</v>
      </c>
      <c r="J872" s="93">
        <v>125000.0</v>
      </c>
      <c r="K872" s="96">
        <f t="shared" si="4"/>
        <v>0</v>
      </c>
      <c r="L872" s="97"/>
      <c r="M872" s="98"/>
    </row>
    <row r="873" ht="22.5" customHeight="1">
      <c r="A873" s="101">
        <v>1.0</v>
      </c>
      <c r="B873" s="133">
        <v>45939.0</v>
      </c>
      <c r="C873" s="90" t="s">
        <v>44</v>
      </c>
      <c r="D873" s="91" t="s">
        <v>224</v>
      </c>
      <c r="E873" s="92" t="s">
        <v>887</v>
      </c>
      <c r="F873" s="92" t="s">
        <v>47</v>
      </c>
      <c r="G873" s="134">
        <v>775000.0</v>
      </c>
      <c r="H873" s="132">
        <v>0.0</v>
      </c>
      <c r="I873" s="95">
        <f t="shared" si="5"/>
        <v>775000</v>
      </c>
      <c r="J873" s="93">
        <v>775000.0</v>
      </c>
      <c r="K873" s="96">
        <f t="shared" si="4"/>
        <v>0</v>
      </c>
      <c r="L873" s="97"/>
      <c r="M873" s="98"/>
    </row>
    <row r="874" ht="22.5" customHeight="1">
      <c r="A874" s="101">
        <v>6.0</v>
      </c>
      <c r="B874" s="133">
        <v>45939.0</v>
      </c>
      <c r="C874" s="90" t="s">
        <v>44</v>
      </c>
      <c r="D874" s="91" t="s">
        <v>224</v>
      </c>
      <c r="E874" s="92" t="s">
        <v>888</v>
      </c>
      <c r="F874" s="92" t="s">
        <v>47</v>
      </c>
      <c r="G874" s="134">
        <v>5070000.0</v>
      </c>
      <c r="H874" s="132">
        <v>370000.0</v>
      </c>
      <c r="I874" s="95">
        <f t="shared" si="5"/>
        <v>4700000</v>
      </c>
      <c r="J874" s="93">
        <v>4700000.0</v>
      </c>
      <c r="K874" s="96">
        <f t="shared" si="4"/>
        <v>0</v>
      </c>
      <c r="L874" s="97"/>
      <c r="M874" s="98"/>
    </row>
    <row r="875" ht="22.5" customHeight="1">
      <c r="A875" s="101">
        <v>9.0</v>
      </c>
      <c r="B875" s="133">
        <v>45945.0</v>
      </c>
      <c r="C875" s="90" t="s">
        <v>44</v>
      </c>
      <c r="D875" s="91" t="s">
        <v>839</v>
      </c>
      <c r="E875" s="92" t="s">
        <v>889</v>
      </c>
      <c r="F875" s="92" t="s">
        <v>47</v>
      </c>
      <c r="G875" s="134">
        <v>570000.0</v>
      </c>
      <c r="H875" s="132">
        <v>0.0</v>
      </c>
      <c r="I875" s="95">
        <f t="shared" si="5"/>
        <v>570000</v>
      </c>
      <c r="J875" s="93">
        <v>570000.0</v>
      </c>
      <c r="K875" s="96">
        <f t="shared" si="4"/>
        <v>0</v>
      </c>
      <c r="L875" s="97"/>
      <c r="M875" s="98"/>
    </row>
    <row r="876" ht="22.5" customHeight="1">
      <c r="A876" s="101">
        <v>7.0</v>
      </c>
      <c r="B876" s="133">
        <v>45946.0</v>
      </c>
      <c r="C876" s="90" t="s">
        <v>44</v>
      </c>
      <c r="D876" s="91" t="s">
        <v>224</v>
      </c>
      <c r="E876" s="92" t="s">
        <v>890</v>
      </c>
      <c r="F876" s="92" t="s">
        <v>47</v>
      </c>
      <c r="G876" s="134">
        <v>1551000.0</v>
      </c>
      <c r="H876" s="132">
        <v>226000.0</v>
      </c>
      <c r="I876" s="95">
        <f t="shared" si="5"/>
        <v>1325000</v>
      </c>
      <c r="J876" s="93">
        <v>1325000.0</v>
      </c>
      <c r="K876" s="96">
        <f t="shared" si="4"/>
        <v>0</v>
      </c>
      <c r="L876" s="97"/>
      <c r="M876" s="98"/>
    </row>
    <row r="877" ht="22.5" customHeight="1">
      <c r="A877" s="101">
        <v>5.0</v>
      </c>
      <c r="B877" s="133">
        <v>45948.0</v>
      </c>
      <c r="C877" s="90" t="s">
        <v>44</v>
      </c>
      <c r="D877" s="91" t="s">
        <v>224</v>
      </c>
      <c r="E877" s="92" t="s">
        <v>891</v>
      </c>
      <c r="F877" s="92" t="s">
        <v>47</v>
      </c>
      <c r="G877" s="134">
        <v>2440000.0</v>
      </c>
      <c r="H877" s="132">
        <v>196000.0</v>
      </c>
      <c r="I877" s="95">
        <f t="shared" si="5"/>
        <v>2244000</v>
      </c>
      <c r="J877" s="93">
        <v>2244000.0</v>
      </c>
      <c r="K877" s="96">
        <f t="shared" si="4"/>
        <v>0</v>
      </c>
      <c r="L877" s="97"/>
      <c r="M877" s="98"/>
    </row>
    <row r="878" ht="22.5" customHeight="1">
      <c r="A878" s="101">
        <v>14.0</v>
      </c>
      <c r="B878" s="133">
        <v>45948.0</v>
      </c>
      <c r="C878" s="90" t="s">
        <v>44</v>
      </c>
      <c r="D878" s="91" t="s">
        <v>839</v>
      </c>
      <c r="E878" s="92" t="s">
        <v>892</v>
      </c>
      <c r="F878" s="92" t="s">
        <v>47</v>
      </c>
      <c r="G878" s="134">
        <v>25000.0</v>
      </c>
      <c r="H878" s="132">
        <v>0.0</v>
      </c>
      <c r="I878" s="95">
        <f t="shared" si="5"/>
        <v>25000</v>
      </c>
      <c r="J878" s="93">
        <v>25000.0</v>
      </c>
      <c r="K878" s="96">
        <f t="shared" si="4"/>
        <v>0</v>
      </c>
      <c r="L878" s="97"/>
      <c r="M878" s="98"/>
    </row>
    <row r="879" ht="22.5" customHeight="1">
      <c r="A879" s="101">
        <v>8.0</v>
      </c>
      <c r="B879" s="133">
        <v>45948.0</v>
      </c>
      <c r="C879" s="90" t="s">
        <v>44</v>
      </c>
      <c r="D879" s="91" t="s">
        <v>839</v>
      </c>
      <c r="E879" s="92" t="s">
        <v>893</v>
      </c>
      <c r="F879" s="92" t="s">
        <v>47</v>
      </c>
      <c r="G879" s="134">
        <v>50000.0</v>
      </c>
      <c r="H879" s="132">
        <v>0.0</v>
      </c>
      <c r="I879" s="95">
        <f t="shared" si="5"/>
        <v>50000</v>
      </c>
      <c r="J879" s="93">
        <v>50000.0</v>
      </c>
      <c r="K879" s="96">
        <f t="shared" si="4"/>
        <v>0</v>
      </c>
      <c r="L879" s="97"/>
      <c r="M879" s="98"/>
    </row>
    <row r="880" ht="22.5" customHeight="1">
      <c r="A880" s="101">
        <v>10.0</v>
      </c>
      <c r="B880" s="133">
        <v>45948.0</v>
      </c>
      <c r="C880" s="90" t="s">
        <v>44</v>
      </c>
      <c r="D880" s="91" t="s">
        <v>57</v>
      </c>
      <c r="E880" s="92" t="s">
        <v>894</v>
      </c>
      <c r="F880" s="92" t="s">
        <v>47</v>
      </c>
      <c r="G880" s="134">
        <v>75000.0</v>
      </c>
      <c r="H880" s="132">
        <v>0.0</v>
      </c>
      <c r="I880" s="95">
        <f t="shared" si="5"/>
        <v>75000</v>
      </c>
      <c r="J880" s="93">
        <v>75000.0</v>
      </c>
      <c r="K880" s="96">
        <f t="shared" si="4"/>
        <v>0</v>
      </c>
      <c r="L880" s="97"/>
      <c r="M880" s="126"/>
    </row>
    <row r="881" ht="22.5" customHeight="1">
      <c r="A881" s="101">
        <v>10.0</v>
      </c>
      <c r="B881" s="133">
        <v>45948.0</v>
      </c>
      <c r="C881" s="90" t="s">
        <v>44</v>
      </c>
      <c r="D881" s="91" t="s">
        <v>57</v>
      </c>
      <c r="E881" s="92" t="s">
        <v>793</v>
      </c>
      <c r="F881" s="92" t="s">
        <v>47</v>
      </c>
      <c r="G881" s="134">
        <v>15000.0</v>
      </c>
      <c r="H881" s="132">
        <v>0.0</v>
      </c>
      <c r="I881" s="95">
        <f t="shared" si="5"/>
        <v>15000</v>
      </c>
      <c r="J881" s="93">
        <v>15000.0</v>
      </c>
      <c r="K881" s="96">
        <f t="shared" si="4"/>
        <v>0</v>
      </c>
      <c r="L881" s="97"/>
      <c r="M881" s="102"/>
    </row>
    <row r="882" ht="22.5" customHeight="1">
      <c r="A882" s="88" t="s">
        <v>895</v>
      </c>
      <c r="B882" s="133">
        <v>45950.0</v>
      </c>
      <c r="C882" s="90" t="s">
        <v>44</v>
      </c>
      <c r="D882" s="91" t="s">
        <v>839</v>
      </c>
      <c r="E882" s="92" t="s">
        <v>575</v>
      </c>
      <c r="F882" s="92" t="s">
        <v>47</v>
      </c>
      <c r="G882" s="134">
        <v>20000.0</v>
      </c>
      <c r="H882" s="132">
        <v>0.0</v>
      </c>
      <c r="I882" s="95">
        <f t="shared" si="5"/>
        <v>20000</v>
      </c>
      <c r="J882" s="93">
        <v>20000.0</v>
      </c>
      <c r="K882" s="96">
        <f t="shared" si="4"/>
        <v>0</v>
      </c>
      <c r="L882" s="97"/>
      <c r="M882" s="102"/>
    </row>
    <row r="883" ht="22.5" customHeight="1">
      <c r="A883" s="88" t="s">
        <v>896</v>
      </c>
      <c r="B883" s="133">
        <v>45953.0</v>
      </c>
      <c r="C883" s="90" t="s">
        <v>44</v>
      </c>
      <c r="D883" s="91" t="s">
        <v>432</v>
      </c>
      <c r="E883" s="92" t="s">
        <v>897</v>
      </c>
      <c r="F883" s="92" t="s">
        <v>47</v>
      </c>
      <c r="G883" s="134">
        <v>163000.0</v>
      </c>
      <c r="H883" s="132">
        <v>0.0</v>
      </c>
      <c r="I883" s="95">
        <f t="shared" si="5"/>
        <v>163000</v>
      </c>
      <c r="J883" s="93">
        <v>163000.0</v>
      </c>
      <c r="K883" s="96">
        <f t="shared" si="4"/>
        <v>0</v>
      </c>
      <c r="L883" s="97"/>
      <c r="M883" s="102"/>
    </row>
    <row r="884" ht="22.5" customHeight="1">
      <c r="A884" s="88" t="s">
        <v>898</v>
      </c>
      <c r="B884" s="133">
        <v>45956.0</v>
      </c>
      <c r="C884" s="90" t="s">
        <v>44</v>
      </c>
      <c r="D884" s="91" t="s">
        <v>57</v>
      </c>
      <c r="E884" s="92" t="s">
        <v>899</v>
      </c>
      <c r="F884" s="92" t="s">
        <v>47</v>
      </c>
      <c r="G884" s="134">
        <v>60000.0</v>
      </c>
      <c r="H884" s="132">
        <v>0.0</v>
      </c>
      <c r="I884" s="95">
        <f t="shared" si="5"/>
        <v>60000</v>
      </c>
      <c r="J884" s="93">
        <v>60000.0</v>
      </c>
      <c r="K884" s="96">
        <f t="shared" si="4"/>
        <v>0</v>
      </c>
      <c r="L884" s="97"/>
      <c r="M884" s="126"/>
    </row>
    <row r="885" ht="20.25" customHeight="1">
      <c r="A885" s="88" t="s">
        <v>900</v>
      </c>
      <c r="B885" s="133">
        <v>45957.0</v>
      </c>
      <c r="C885" s="90" t="s">
        <v>44</v>
      </c>
      <c r="D885" s="91" t="s">
        <v>839</v>
      </c>
      <c r="E885" s="92" t="s">
        <v>901</v>
      </c>
      <c r="F885" s="92" t="s">
        <v>47</v>
      </c>
      <c r="G885" s="134">
        <v>50000.0</v>
      </c>
      <c r="H885" s="132">
        <v>0.0</v>
      </c>
      <c r="I885" s="95">
        <f t="shared" si="5"/>
        <v>50000</v>
      </c>
      <c r="J885" s="93">
        <v>50000.0</v>
      </c>
      <c r="K885" s="96">
        <f t="shared" si="4"/>
        <v>0</v>
      </c>
      <c r="L885" s="97"/>
      <c r="M885" s="102"/>
    </row>
    <row r="886" ht="22.5" customHeight="1">
      <c r="A886" s="88" t="s">
        <v>902</v>
      </c>
      <c r="B886" s="133">
        <v>45970.0</v>
      </c>
      <c r="C886" s="90" t="s">
        <v>44</v>
      </c>
      <c r="D886" s="91" t="s">
        <v>31</v>
      </c>
      <c r="E886" s="92" t="s">
        <v>903</v>
      </c>
      <c r="F886" s="92" t="s">
        <v>47</v>
      </c>
      <c r="G886" s="131">
        <v>36000.0</v>
      </c>
      <c r="H886" s="132">
        <v>0.0</v>
      </c>
      <c r="I886" s="95">
        <f t="shared" si="5"/>
        <v>36000</v>
      </c>
      <c r="J886" s="93">
        <v>36000.0</v>
      </c>
      <c r="K886" s="96">
        <f t="shared" si="4"/>
        <v>0</v>
      </c>
      <c r="L886" s="97"/>
      <c r="M886" s="102"/>
    </row>
    <row r="887" ht="22.5" customHeight="1">
      <c r="A887" s="88" t="s">
        <v>904</v>
      </c>
      <c r="B887" s="133">
        <v>45970.0</v>
      </c>
      <c r="C887" s="90" t="s">
        <v>44</v>
      </c>
      <c r="D887" s="91" t="s">
        <v>31</v>
      </c>
      <c r="E887" s="92" t="s">
        <v>92</v>
      </c>
      <c r="F887" s="92" t="s">
        <v>47</v>
      </c>
      <c r="G887" s="134">
        <v>75000.0</v>
      </c>
      <c r="H887" s="132">
        <v>0.0</v>
      </c>
      <c r="I887" s="95">
        <f t="shared" si="5"/>
        <v>75000</v>
      </c>
      <c r="J887" s="93">
        <v>75000.0</v>
      </c>
      <c r="K887" s="96">
        <f t="shared" si="4"/>
        <v>0</v>
      </c>
      <c r="L887" s="97"/>
      <c r="M887" s="102"/>
    </row>
    <row r="888" ht="22.5" customHeight="1">
      <c r="A888" s="88" t="s">
        <v>905</v>
      </c>
      <c r="B888" s="133">
        <v>45970.0</v>
      </c>
      <c r="C888" s="90" t="s">
        <v>44</v>
      </c>
      <c r="D888" s="91" t="s">
        <v>839</v>
      </c>
      <c r="E888" s="92" t="s">
        <v>906</v>
      </c>
      <c r="F888" s="92" t="s">
        <v>47</v>
      </c>
      <c r="G888" s="134">
        <v>100000.0</v>
      </c>
      <c r="H888" s="132">
        <v>0.0</v>
      </c>
      <c r="I888" s="95">
        <v>100000.0</v>
      </c>
      <c r="J888" s="93">
        <v>100000.0</v>
      </c>
      <c r="K888" s="96">
        <f t="shared" si="4"/>
        <v>0</v>
      </c>
      <c r="L888" s="97"/>
      <c r="M888" s="102"/>
    </row>
    <row r="889" ht="22.5" customHeight="1">
      <c r="A889" s="136"/>
      <c r="B889" s="137">
        <v>45971.0</v>
      </c>
      <c r="C889" s="138" t="s">
        <v>83</v>
      </c>
      <c r="D889" s="119" t="s">
        <v>20</v>
      </c>
      <c r="E889" s="120" t="s">
        <v>907</v>
      </c>
      <c r="F889" s="120" t="s">
        <v>47</v>
      </c>
      <c r="G889" s="139">
        <v>858000.0</v>
      </c>
      <c r="H889" s="140">
        <v>721250.0</v>
      </c>
      <c r="I889" s="123">
        <f t="shared" ref="I889:I904" si="6">G889-H889</f>
        <v>136750</v>
      </c>
      <c r="J889" s="124">
        <v>0.0</v>
      </c>
      <c r="K889" s="141">
        <f t="shared" si="4"/>
        <v>136750</v>
      </c>
      <c r="L889" s="125"/>
      <c r="M889" s="102"/>
    </row>
    <row r="890">
      <c r="A890" s="142"/>
      <c r="B890" s="130">
        <v>45977.0</v>
      </c>
      <c r="C890" s="90" t="s">
        <v>44</v>
      </c>
      <c r="D890" s="109"/>
      <c r="E890" s="92" t="s">
        <v>908</v>
      </c>
      <c r="F890" s="92" t="s">
        <v>909</v>
      </c>
      <c r="G890" s="131">
        <v>1225000.0</v>
      </c>
      <c r="H890" s="132">
        <v>0.0</v>
      </c>
      <c r="I890" s="95">
        <f t="shared" si="6"/>
        <v>1225000</v>
      </c>
      <c r="J890" s="96">
        <v>1225000.0</v>
      </c>
      <c r="K890" s="96">
        <f t="shared" si="4"/>
        <v>0</v>
      </c>
      <c r="L890" s="97"/>
      <c r="M890" s="102"/>
    </row>
    <row r="891" ht="22.5" customHeight="1">
      <c r="A891" s="142"/>
      <c r="B891" s="143">
        <v>45977.0</v>
      </c>
      <c r="C891" s="90" t="s">
        <v>44</v>
      </c>
      <c r="D891" s="109"/>
      <c r="E891" s="92" t="s">
        <v>910</v>
      </c>
      <c r="F891" s="92" t="s">
        <v>47</v>
      </c>
      <c r="G891" s="96">
        <v>35000.0</v>
      </c>
      <c r="H891" s="94">
        <v>0.0</v>
      </c>
      <c r="I891" s="95">
        <f t="shared" si="6"/>
        <v>35000</v>
      </c>
      <c r="J891" s="96">
        <v>35000.0</v>
      </c>
      <c r="K891" s="96">
        <f t="shared" si="4"/>
        <v>0</v>
      </c>
      <c r="L891" s="97"/>
      <c r="M891" s="102"/>
    </row>
    <row r="892" ht="22.5" customHeight="1">
      <c r="A892" s="142"/>
      <c r="B892" s="143">
        <v>45978.0</v>
      </c>
      <c r="C892" s="90" t="s">
        <v>44</v>
      </c>
      <c r="D892" s="109"/>
      <c r="E892" s="92" t="s">
        <v>910</v>
      </c>
      <c r="F892" s="92" t="s">
        <v>47</v>
      </c>
      <c r="G892" s="96">
        <v>40000.0</v>
      </c>
      <c r="H892" s="94">
        <v>0.0</v>
      </c>
      <c r="I892" s="95">
        <f t="shared" si="6"/>
        <v>40000</v>
      </c>
      <c r="J892" s="96">
        <v>40000.0</v>
      </c>
      <c r="K892" s="96">
        <f t="shared" si="4"/>
        <v>0</v>
      </c>
      <c r="L892" s="97"/>
      <c r="M892" s="102"/>
    </row>
    <row r="893" ht="22.5" customHeight="1">
      <c r="A893" s="142"/>
      <c r="B893" s="143">
        <v>45979.0</v>
      </c>
      <c r="C893" s="90" t="s">
        <v>44</v>
      </c>
      <c r="D893" s="109"/>
      <c r="E893" s="92" t="s">
        <v>911</v>
      </c>
      <c r="F893" s="144"/>
      <c r="G893" s="96">
        <v>1.5E7</v>
      </c>
      <c r="H893" s="94">
        <v>0.0</v>
      </c>
      <c r="I893" s="95">
        <f t="shared" si="6"/>
        <v>15000000</v>
      </c>
      <c r="J893" s="96">
        <v>1.5E7</v>
      </c>
      <c r="K893" s="96">
        <f t="shared" si="4"/>
        <v>0</v>
      </c>
      <c r="L893" s="97"/>
      <c r="M893" s="102"/>
    </row>
    <row r="894" ht="22.5" customHeight="1">
      <c r="A894" s="142"/>
      <c r="B894" s="143">
        <v>45986.0</v>
      </c>
      <c r="C894" s="90" t="s">
        <v>44</v>
      </c>
      <c r="D894" s="109"/>
      <c r="E894" s="92" t="s">
        <v>908</v>
      </c>
      <c r="F894" s="144"/>
      <c r="G894" s="96">
        <v>7010000.0</v>
      </c>
      <c r="H894" s="94">
        <v>0.0</v>
      </c>
      <c r="I894" s="95">
        <f t="shared" si="6"/>
        <v>7010000</v>
      </c>
      <c r="J894" s="96">
        <v>7010000.0</v>
      </c>
      <c r="K894" s="96">
        <f t="shared" si="4"/>
        <v>0</v>
      </c>
      <c r="L894" s="97"/>
      <c r="M894" s="102"/>
    </row>
    <row r="895" ht="22.5" customHeight="1">
      <c r="A895" s="142"/>
      <c r="B895" s="143">
        <v>45991.0</v>
      </c>
      <c r="C895" s="103" t="s">
        <v>83</v>
      </c>
      <c r="D895" s="109"/>
      <c r="E895" s="92" t="s">
        <v>912</v>
      </c>
      <c r="F895" s="144"/>
      <c r="G895" s="96">
        <v>3761000.0</v>
      </c>
      <c r="H895" s="94">
        <v>0.0</v>
      </c>
      <c r="I895" s="95">
        <f t="shared" si="6"/>
        <v>3761000</v>
      </c>
      <c r="J895" s="96">
        <v>2820000.0</v>
      </c>
      <c r="K895" s="104">
        <f t="shared" si="4"/>
        <v>941000</v>
      </c>
      <c r="L895" s="97"/>
      <c r="M895" s="126"/>
    </row>
    <row r="896" ht="22.5" customHeight="1">
      <c r="A896" s="142"/>
      <c r="B896" s="143">
        <v>45992.0</v>
      </c>
      <c r="C896" s="90" t="s">
        <v>44</v>
      </c>
      <c r="D896" s="109"/>
      <c r="E896" s="92" t="s">
        <v>913</v>
      </c>
      <c r="F896" s="92" t="s">
        <v>47</v>
      </c>
      <c r="G896" s="96">
        <v>75000.0</v>
      </c>
      <c r="H896" s="94">
        <v>0.0</v>
      </c>
      <c r="I896" s="95">
        <f t="shared" si="6"/>
        <v>75000</v>
      </c>
      <c r="J896" s="96">
        <v>75000.0</v>
      </c>
      <c r="K896" s="96">
        <f t="shared" si="4"/>
        <v>0</v>
      </c>
      <c r="L896" s="97"/>
      <c r="M896" s="126"/>
    </row>
    <row r="897" ht="22.5" customHeight="1">
      <c r="A897" s="142"/>
      <c r="B897" s="143">
        <v>45992.0</v>
      </c>
      <c r="C897" s="90" t="s">
        <v>44</v>
      </c>
      <c r="D897" s="109"/>
      <c r="E897" s="92" t="s">
        <v>911</v>
      </c>
      <c r="F897" s="144"/>
      <c r="G897" s="145">
        <v>5.83E7</v>
      </c>
      <c r="H897" s="94">
        <v>0.0</v>
      </c>
      <c r="I897" s="95">
        <f t="shared" si="6"/>
        <v>58300000</v>
      </c>
      <c r="J897" s="145">
        <v>5.83E7</v>
      </c>
      <c r="K897" s="96">
        <f t="shared" si="4"/>
        <v>0</v>
      </c>
      <c r="L897" s="97"/>
      <c r="M897" s="146"/>
    </row>
    <row r="898" ht="22.5" customHeight="1">
      <c r="A898" s="142"/>
      <c r="B898" s="143">
        <v>45993.0</v>
      </c>
      <c r="C898" s="90" t="s">
        <v>44</v>
      </c>
      <c r="D898" s="109"/>
      <c r="E898" s="92" t="s">
        <v>914</v>
      </c>
      <c r="F898" s="144"/>
      <c r="G898" s="96">
        <v>1.134E7</v>
      </c>
      <c r="H898" s="94">
        <v>0.0</v>
      </c>
      <c r="I898" s="95">
        <f t="shared" si="6"/>
        <v>11340000</v>
      </c>
      <c r="J898" s="96">
        <v>1.134E7</v>
      </c>
      <c r="K898" s="96">
        <f t="shared" si="4"/>
        <v>0</v>
      </c>
      <c r="L898" s="97"/>
      <c r="M898" s="146"/>
    </row>
    <row r="899" ht="22.5" customHeight="1">
      <c r="A899" s="142"/>
      <c r="B899" s="143">
        <v>45994.0</v>
      </c>
      <c r="C899" s="90" t="s">
        <v>44</v>
      </c>
      <c r="D899" s="109"/>
      <c r="E899" s="92" t="s">
        <v>915</v>
      </c>
      <c r="F899" s="144"/>
      <c r="G899" s="96">
        <v>1450000.0</v>
      </c>
      <c r="H899" s="94">
        <v>0.0</v>
      </c>
      <c r="I899" s="95">
        <f t="shared" si="6"/>
        <v>1450000</v>
      </c>
      <c r="J899" s="145">
        <v>0.0</v>
      </c>
      <c r="K899" s="104">
        <f t="shared" si="4"/>
        <v>1450000</v>
      </c>
      <c r="L899" s="97"/>
      <c r="M899" s="146"/>
    </row>
    <row r="900" ht="22.5" customHeight="1">
      <c r="A900" s="142"/>
      <c r="B900" s="143">
        <v>45995.0</v>
      </c>
      <c r="C900" s="90" t="s">
        <v>44</v>
      </c>
      <c r="D900" s="91" t="s">
        <v>224</v>
      </c>
      <c r="E900" s="92" t="s">
        <v>916</v>
      </c>
      <c r="F900" s="144"/>
      <c r="G900" s="96">
        <v>850000.0</v>
      </c>
      <c r="H900" s="94">
        <v>0.0</v>
      </c>
      <c r="I900" s="95">
        <f t="shared" si="6"/>
        <v>850000</v>
      </c>
      <c r="J900" s="96">
        <v>850000.0</v>
      </c>
      <c r="K900" s="96">
        <f t="shared" si="4"/>
        <v>0</v>
      </c>
      <c r="L900" s="97"/>
      <c r="M900" s="146"/>
    </row>
    <row r="901" ht="22.5" customHeight="1">
      <c r="A901" s="142"/>
      <c r="B901" s="143">
        <v>46012.0</v>
      </c>
      <c r="C901" s="90" t="s">
        <v>44</v>
      </c>
      <c r="D901" s="91" t="s">
        <v>856</v>
      </c>
      <c r="E901" s="92" t="s">
        <v>908</v>
      </c>
      <c r="F901" s="144"/>
      <c r="G901" s="96">
        <v>1555000.0</v>
      </c>
      <c r="H901" s="94">
        <v>0.0</v>
      </c>
      <c r="I901" s="95">
        <f t="shared" si="6"/>
        <v>1555000</v>
      </c>
      <c r="J901" s="96">
        <v>1555000.0</v>
      </c>
      <c r="K901" s="96">
        <f t="shared" si="4"/>
        <v>0</v>
      </c>
      <c r="L901" s="97"/>
      <c r="M901" s="146"/>
    </row>
    <row r="902" ht="22.5" customHeight="1">
      <c r="A902" s="142"/>
      <c r="B902" s="143">
        <v>46014.0</v>
      </c>
      <c r="C902" s="90" t="s">
        <v>44</v>
      </c>
      <c r="D902" s="91" t="s">
        <v>856</v>
      </c>
      <c r="E902" s="92" t="s">
        <v>917</v>
      </c>
      <c r="F902" s="144"/>
      <c r="G902" s="96">
        <v>140000.0</v>
      </c>
      <c r="H902" s="94">
        <v>0.0</v>
      </c>
      <c r="I902" s="95">
        <f t="shared" si="6"/>
        <v>140000</v>
      </c>
      <c r="J902" s="96">
        <v>140000.0</v>
      </c>
      <c r="K902" s="96">
        <f t="shared" si="4"/>
        <v>0</v>
      </c>
      <c r="L902" s="97"/>
      <c r="M902" s="146"/>
    </row>
    <row r="903" ht="22.5" customHeight="1">
      <c r="A903" s="142"/>
      <c r="B903" s="143">
        <v>46015.0</v>
      </c>
      <c r="C903" s="90" t="s">
        <v>44</v>
      </c>
      <c r="D903" s="91" t="s">
        <v>856</v>
      </c>
      <c r="E903" s="92" t="s">
        <v>918</v>
      </c>
      <c r="F903" s="144"/>
      <c r="G903" s="145">
        <v>825000.0</v>
      </c>
      <c r="H903" s="94">
        <v>0.0</v>
      </c>
      <c r="I903" s="95">
        <f t="shared" si="6"/>
        <v>825000</v>
      </c>
      <c r="J903" s="145">
        <v>825000.0</v>
      </c>
      <c r="K903" s="96">
        <f t="shared" si="4"/>
        <v>0</v>
      </c>
      <c r="L903" s="97"/>
      <c r="M903" s="146"/>
    </row>
    <row r="904" ht="22.5" customHeight="1">
      <c r="A904" s="147"/>
      <c r="B904" s="148"/>
      <c r="C904" s="149"/>
      <c r="D904" s="150"/>
      <c r="E904" s="150"/>
      <c r="F904" s="151"/>
      <c r="G904" s="152"/>
      <c r="H904" s="153"/>
      <c r="I904" s="154">
        <f t="shared" si="6"/>
        <v>0</v>
      </c>
      <c r="J904" s="155">
        <v>81000.0</v>
      </c>
      <c r="K904" s="156">
        <f t="shared" si="4"/>
        <v>-81000</v>
      </c>
      <c r="L904" s="157"/>
      <c r="M904" s="112"/>
    </row>
    <row r="905" ht="22.5" customHeight="1">
      <c r="A905" s="158"/>
      <c r="B905" s="159"/>
      <c r="C905" s="160"/>
      <c r="D905" s="161"/>
      <c r="E905" s="162"/>
      <c r="F905" s="162"/>
      <c r="G905" s="163"/>
      <c r="H905" s="164"/>
      <c r="I905" s="165"/>
      <c r="J905" s="166"/>
      <c r="K905" s="167"/>
      <c r="L905" s="168"/>
      <c r="M905" s="146"/>
    </row>
    <row r="906" ht="22.5" customHeight="1">
      <c r="A906" s="158"/>
      <c r="B906" s="159"/>
      <c r="C906" s="160"/>
      <c r="D906" s="161"/>
      <c r="E906" s="162"/>
      <c r="F906" s="162"/>
      <c r="G906" s="163"/>
      <c r="H906" s="164"/>
      <c r="I906" s="165"/>
      <c r="J906" s="146"/>
      <c r="K906" s="167"/>
      <c r="L906" s="168"/>
      <c r="M906" s="146"/>
    </row>
    <row r="907" ht="22.5" customHeight="1">
      <c r="A907" s="158"/>
      <c r="B907" s="159"/>
      <c r="C907" s="160"/>
      <c r="D907" s="161"/>
      <c r="E907" s="162"/>
      <c r="F907" s="162"/>
      <c r="G907" s="163"/>
      <c r="H907" s="164"/>
      <c r="I907" s="165"/>
      <c r="J907" s="146"/>
      <c r="K907" s="167"/>
      <c r="L907" s="168"/>
      <c r="M907" s="146"/>
    </row>
    <row r="908" ht="22.5" customHeight="1">
      <c r="A908" s="158"/>
      <c r="B908" s="159"/>
      <c r="C908" s="160"/>
      <c r="D908" s="161"/>
      <c r="E908" s="162"/>
      <c r="F908" s="162"/>
      <c r="G908" s="163"/>
      <c r="H908" s="164"/>
      <c r="I908" s="165"/>
      <c r="J908" s="146"/>
      <c r="K908" s="167"/>
      <c r="L908" s="168"/>
      <c r="M908" s="146"/>
    </row>
  </sheetData>
  <conditionalFormatting sqref="K3:K908">
    <cfRule type="cellIs" dxfId="6" priority="1" operator="greaterThan">
      <formula>0</formula>
    </cfRule>
  </conditionalFormatting>
  <conditionalFormatting sqref="A3:M908">
    <cfRule type="cellIs" dxfId="6" priority="2" operator="lessThan">
      <formula>0</formula>
    </cfRule>
  </conditionalFormatting>
  <dataValidations>
    <dataValidation type="custom" allowBlank="1" showDropDown="1" sqref="B3:B908">
      <formula1>OR(NOT(ISERROR(DATEVALUE(B3))), AND(ISNUMBER(B3), LEFT(CELL("format", B3))="D"))</formula1>
    </dataValidation>
    <dataValidation type="list" allowBlank="1" sqref="C3:C908">
      <formula1>"نقد,ديون,جزئي,خصم"</formula1>
    </dataValidation>
    <dataValidation type="custom" allowBlank="1" showDropDown="1" sqref="G3:H908 J3:L908">
      <formula1>AND(ISNUMBER(G3),(NOT(OR(NOT(ISERROR(DATEVALUE(G3))), AND(ISNUMBER(G3), LEFT(CELL("format", G3))="D")))))</formula1>
    </dataValidation>
  </dataValidations>
  <drawing r:id="rId1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20.29"/>
    <col customWidth="1" min="2" max="2" width="17.86"/>
    <col customWidth="1" min="3" max="3" width="14.29"/>
    <col customWidth="1" min="4" max="4" width="16.71"/>
    <col customWidth="1" min="5" max="5" width="39.86"/>
    <col customWidth="1" min="6" max="6" width="19.0"/>
    <col customWidth="1" min="7" max="11" width="21.57"/>
    <col customWidth="1" min="12" max="12" width="43.0"/>
  </cols>
  <sheetData>
    <row r="1" ht="42.75" customHeight="1">
      <c r="A1" s="169" t="s">
        <v>32</v>
      </c>
      <c r="B1" s="170" t="s">
        <v>0</v>
      </c>
      <c r="C1" s="169" t="s">
        <v>33</v>
      </c>
      <c r="D1" s="171" t="s">
        <v>34</v>
      </c>
      <c r="E1" s="171" t="s">
        <v>35</v>
      </c>
      <c r="F1" s="171" t="s">
        <v>919</v>
      </c>
      <c r="G1" s="172" t="s">
        <v>37</v>
      </c>
      <c r="H1" s="172" t="s">
        <v>38</v>
      </c>
      <c r="I1" s="172" t="s">
        <v>39</v>
      </c>
      <c r="J1" s="172" t="s">
        <v>920</v>
      </c>
      <c r="K1" s="172" t="s">
        <v>41</v>
      </c>
      <c r="L1" s="171" t="s">
        <v>15</v>
      </c>
    </row>
    <row r="2" ht="26.25" customHeight="1">
      <c r="A2" s="173">
        <v>5001.0</v>
      </c>
      <c r="B2" s="174">
        <v>45973.0</v>
      </c>
      <c r="C2" s="175" t="s">
        <v>921</v>
      </c>
      <c r="D2" s="171" t="s">
        <v>922</v>
      </c>
      <c r="E2" s="171" t="s">
        <v>923</v>
      </c>
      <c r="F2" s="176" t="s">
        <v>924</v>
      </c>
      <c r="G2" s="177">
        <v>176000.0</v>
      </c>
      <c r="H2" s="177">
        <v>1000.0</v>
      </c>
      <c r="I2" s="177">
        <v>175000.0</v>
      </c>
      <c r="J2" s="177">
        <v>175000.0</v>
      </c>
      <c r="K2" s="177">
        <v>0.0</v>
      </c>
      <c r="L2" s="178"/>
    </row>
    <row r="3" ht="26.25" customHeight="1">
      <c r="A3" s="173">
        <v>5002.0</v>
      </c>
      <c r="B3" s="174">
        <v>45973.0</v>
      </c>
      <c r="C3" s="175" t="s">
        <v>921</v>
      </c>
      <c r="D3" s="171" t="s">
        <v>27</v>
      </c>
      <c r="E3" s="171" t="s">
        <v>925</v>
      </c>
      <c r="F3" s="176" t="s">
        <v>926</v>
      </c>
      <c r="G3" s="177">
        <v>14000.0</v>
      </c>
      <c r="H3" s="177">
        <v>0.0</v>
      </c>
      <c r="I3" s="177">
        <v>14000.0</v>
      </c>
      <c r="J3" s="177">
        <v>14000.0</v>
      </c>
      <c r="K3" s="177">
        <v>0.0</v>
      </c>
      <c r="L3" s="178"/>
    </row>
    <row r="4" ht="26.25" customHeight="1">
      <c r="A4" s="173">
        <v>37349.0</v>
      </c>
      <c r="B4" s="174">
        <v>45966.0</v>
      </c>
      <c r="C4" s="175" t="s">
        <v>921</v>
      </c>
      <c r="D4" s="171" t="s">
        <v>927</v>
      </c>
      <c r="E4" s="171" t="s">
        <v>928</v>
      </c>
      <c r="F4" s="176" t="s">
        <v>929</v>
      </c>
      <c r="G4" s="177">
        <v>50000.0</v>
      </c>
      <c r="H4" s="177">
        <v>0.0</v>
      </c>
      <c r="I4" s="177">
        <v>50000.0</v>
      </c>
      <c r="J4" s="177">
        <v>50000.0</v>
      </c>
      <c r="K4" s="177">
        <v>0.0</v>
      </c>
      <c r="L4" s="178"/>
    </row>
    <row r="5" ht="26.25" customHeight="1">
      <c r="A5" s="173">
        <v>5003.0</v>
      </c>
      <c r="B5" s="174">
        <v>45973.0</v>
      </c>
      <c r="C5" s="175" t="s">
        <v>921</v>
      </c>
      <c r="D5" s="171" t="s">
        <v>930</v>
      </c>
      <c r="E5" s="171" t="s">
        <v>931</v>
      </c>
      <c r="F5" s="176" t="s">
        <v>932</v>
      </c>
      <c r="G5" s="177">
        <v>3000.0</v>
      </c>
      <c r="H5" s="177">
        <v>0.0</v>
      </c>
      <c r="I5" s="177">
        <v>3500.0</v>
      </c>
      <c r="J5" s="177">
        <v>3500.0</v>
      </c>
      <c r="K5" s="177">
        <v>0.0</v>
      </c>
      <c r="L5" s="178"/>
    </row>
    <row r="6" ht="26.25" customHeight="1">
      <c r="A6" s="173">
        <v>5004.0</v>
      </c>
      <c r="B6" s="174">
        <v>45973.0</v>
      </c>
      <c r="C6" s="175" t="s">
        <v>921</v>
      </c>
      <c r="D6" s="171" t="s">
        <v>933</v>
      </c>
      <c r="E6" s="171" t="s">
        <v>934</v>
      </c>
      <c r="F6" s="176">
        <v>1.0</v>
      </c>
      <c r="G6" s="177">
        <v>50000.0</v>
      </c>
      <c r="H6" s="177">
        <v>0.0</v>
      </c>
      <c r="I6" s="177">
        <v>50000.0</v>
      </c>
      <c r="J6" s="177">
        <v>50000.0</v>
      </c>
      <c r="K6" s="177">
        <v>0.0</v>
      </c>
      <c r="L6" s="178"/>
    </row>
    <row r="7" ht="26.25" customHeight="1">
      <c r="A7" s="173">
        <v>1001.0</v>
      </c>
      <c r="B7" s="174">
        <v>45970.0</v>
      </c>
      <c r="C7" s="175" t="s">
        <v>935</v>
      </c>
      <c r="D7" s="171" t="s">
        <v>31</v>
      </c>
      <c r="E7" s="171" t="s">
        <v>936</v>
      </c>
      <c r="F7" s="176">
        <v>36.0</v>
      </c>
      <c r="G7" s="177">
        <v>36000.0</v>
      </c>
      <c r="H7" s="177">
        <v>0.0</v>
      </c>
      <c r="I7" s="177">
        <v>36000.0</v>
      </c>
      <c r="J7" s="177">
        <v>0.0</v>
      </c>
      <c r="K7" s="177">
        <v>0.0</v>
      </c>
      <c r="L7" s="178"/>
    </row>
    <row r="8" ht="26.25" customHeight="1">
      <c r="A8" s="173">
        <v>1002.0</v>
      </c>
      <c r="B8" s="174">
        <v>45976.0</v>
      </c>
      <c r="C8" s="175" t="s">
        <v>935</v>
      </c>
      <c r="D8" s="171" t="s">
        <v>839</v>
      </c>
      <c r="E8" s="171" t="s">
        <v>937</v>
      </c>
      <c r="F8" s="176">
        <v>6.0</v>
      </c>
      <c r="G8" s="177">
        <v>100500.0</v>
      </c>
      <c r="H8" s="177">
        <v>0.0</v>
      </c>
      <c r="I8" s="177">
        <v>90000.0</v>
      </c>
      <c r="J8" s="177">
        <v>0.0</v>
      </c>
      <c r="K8" s="177">
        <v>0.0</v>
      </c>
      <c r="L8" s="178"/>
    </row>
    <row r="9" ht="26.25" customHeight="1">
      <c r="A9" s="173">
        <v>2933.0</v>
      </c>
      <c r="B9" s="174">
        <v>45965.0</v>
      </c>
      <c r="C9" s="175" t="s">
        <v>921</v>
      </c>
      <c r="D9" s="171" t="s">
        <v>938</v>
      </c>
      <c r="E9" s="171" t="s">
        <v>939</v>
      </c>
      <c r="F9" s="176" t="s">
        <v>940</v>
      </c>
      <c r="G9" s="177">
        <v>178000.0</v>
      </c>
      <c r="H9" s="177">
        <v>0.0</v>
      </c>
      <c r="I9" s="177">
        <v>178000.0</v>
      </c>
      <c r="J9" s="177">
        <v>0.0</v>
      </c>
      <c r="K9" s="177">
        <v>178000.0</v>
      </c>
      <c r="L9" s="178"/>
    </row>
    <row r="10" ht="26.25" customHeight="1">
      <c r="A10" s="173">
        <v>2938.0</v>
      </c>
      <c r="B10" s="174">
        <v>45965.0</v>
      </c>
      <c r="C10" s="175" t="s">
        <v>921</v>
      </c>
      <c r="D10" s="171" t="s">
        <v>938</v>
      </c>
      <c r="E10" s="171" t="s">
        <v>941</v>
      </c>
      <c r="F10" s="176">
        <v>8.0</v>
      </c>
      <c r="G10" s="177">
        <v>88000.0</v>
      </c>
      <c r="H10" s="177">
        <v>0.0</v>
      </c>
      <c r="I10" s="177">
        <v>88000.0</v>
      </c>
      <c r="J10" s="177">
        <v>0.0</v>
      </c>
      <c r="K10" s="177">
        <v>88000.0</v>
      </c>
      <c r="L10" s="178"/>
    </row>
    <row r="11" ht="26.25" customHeight="1">
      <c r="A11" s="173">
        <v>2866.0</v>
      </c>
      <c r="B11" s="174">
        <v>45966.0</v>
      </c>
      <c r="C11" s="175" t="s">
        <v>921</v>
      </c>
      <c r="D11" s="171" t="s">
        <v>938</v>
      </c>
      <c r="E11" s="171" t="s">
        <v>942</v>
      </c>
      <c r="F11" s="176" t="s">
        <v>943</v>
      </c>
      <c r="G11" s="177">
        <v>120000.0</v>
      </c>
      <c r="H11" s="177">
        <v>0.0</v>
      </c>
      <c r="I11" s="177">
        <v>120000.0</v>
      </c>
      <c r="J11" s="177">
        <v>0.0</v>
      </c>
      <c r="K11" s="177">
        <v>120000.0</v>
      </c>
      <c r="L11" s="178"/>
    </row>
    <row r="12" ht="26.25" customHeight="1">
      <c r="A12" s="173"/>
      <c r="B12" s="174"/>
      <c r="C12" s="175" t="s">
        <v>921</v>
      </c>
      <c r="D12" s="171"/>
      <c r="E12" s="171"/>
      <c r="F12" s="176"/>
      <c r="G12" s="177"/>
      <c r="H12" s="177"/>
      <c r="I12" s="177"/>
      <c r="J12" s="177"/>
      <c r="K12" s="177"/>
      <c r="L12" s="178"/>
    </row>
  </sheetData>
  <dataValidations>
    <dataValidation type="list" allowBlank="1" sqref="C2:C12">
      <formula1>"بيع,شراء"</formula1>
    </dataValidation>
    <dataValidation type="custom" allowBlank="1" showDropDown="1" sqref="B2:B12">
      <formula1>OR(NOT(ISERROR(DATEVALUE(B2))), AND(ISNUMBER(B2), LEFT(CELL("format", B2))="D"))</formula1>
    </dataValidation>
    <dataValidation type="custom" allowBlank="1" showDropDown="1" sqref="A2:A12 G2:G12 J2:K12">
      <formula1>AND(ISNUMBER(A2),(NOT(OR(NOT(ISERROR(DATEVALUE(A2))), AND(ISNUMBER(A2), LEFT(CELL("format", A2))="D")))))</formula1>
    </dataValidation>
  </dataValidations>
  <drawing r:id="rId1"/>
  <tableParts count="1">
    <tablePart r:id="rId3"/>
  </tableParts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rightToLeft="1" workbookViewId="0"/>
  </sheetViews>
  <sheetFormatPr customHeight="1" defaultColWidth="14.43" defaultRowHeight="15.0"/>
  <cols>
    <col customWidth="1" min="1" max="8" width="21.57"/>
    <col customWidth="1" min="9" max="9" width="30.14"/>
    <col customWidth="1" min="10" max="10" width="31.14"/>
  </cols>
  <sheetData>
    <row r="1" ht="25.5" customHeight="1">
      <c r="A1" s="179" t="s">
        <v>944</v>
      </c>
      <c r="B1" s="180"/>
      <c r="C1" s="180"/>
      <c r="D1" s="181"/>
      <c r="E1" s="182" t="s">
        <v>945</v>
      </c>
      <c r="F1" s="183"/>
      <c r="G1" s="183"/>
      <c r="H1" s="184"/>
      <c r="I1" s="185"/>
      <c r="J1" s="185"/>
    </row>
    <row r="2" ht="32.25" customHeight="1">
      <c r="A2" s="186"/>
      <c r="D2" s="187"/>
      <c r="E2" s="188"/>
      <c r="F2" s="189"/>
      <c r="G2" s="189"/>
      <c r="H2" s="190"/>
      <c r="I2" s="191" t="s">
        <v>946</v>
      </c>
    </row>
    <row r="3" ht="26.25" customHeight="1">
      <c r="A3" s="192" t="s">
        <v>32</v>
      </c>
      <c r="B3" s="193"/>
      <c r="C3" s="194" t="s">
        <v>947</v>
      </c>
      <c r="D3" s="195"/>
      <c r="E3" s="196" t="s">
        <v>32</v>
      </c>
      <c r="F3" s="197"/>
      <c r="G3" s="198" t="s">
        <v>947</v>
      </c>
      <c r="H3" s="184"/>
    </row>
    <row r="4" ht="26.25" customHeight="1">
      <c r="A4" s="192" t="s">
        <v>948</v>
      </c>
      <c r="B4" s="199"/>
      <c r="D4" s="200"/>
      <c r="E4" s="196" t="s">
        <v>948</v>
      </c>
      <c r="F4" s="201"/>
      <c r="G4" s="202"/>
      <c r="H4" s="200"/>
    </row>
    <row r="5" ht="26.25" customHeight="1">
      <c r="A5" s="192" t="s">
        <v>34</v>
      </c>
      <c r="B5" s="203"/>
      <c r="D5" s="187"/>
      <c r="E5" s="196" t="s">
        <v>34</v>
      </c>
      <c r="F5" s="196"/>
      <c r="G5" s="204"/>
      <c r="H5" s="205"/>
    </row>
    <row r="6" ht="26.25" customHeight="1">
      <c r="A6" s="206"/>
      <c r="B6" s="207"/>
      <c r="C6" s="208"/>
      <c r="D6" s="209"/>
      <c r="E6" s="210"/>
      <c r="F6" s="196"/>
      <c r="G6" s="211"/>
      <c r="H6" s="211"/>
      <c r="I6" s="212" t="s">
        <v>935</v>
      </c>
      <c r="J6" s="212" t="s">
        <v>921</v>
      </c>
    </row>
    <row r="7" ht="30.0" customHeight="1">
      <c r="A7" s="213"/>
      <c r="B7" s="214"/>
      <c r="C7" s="214">
        <v>10000.0</v>
      </c>
      <c r="D7" s="215">
        <f t="shared" ref="D7:D18" si="1">B7*C7</f>
        <v>0</v>
      </c>
      <c r="E7" s="216"/>
      <c r="F7" s="217"/>
      <c r="G7" s="218">
        <v>23000.0</v>
      </c>
      <c r="H7" s="219"/>
      <c r="I7" s="220">
        <f t="shared" ref="I7:I18" si="2">B7*D7</f>
        <v>0</v>
      </c>
      <c r="J7" s="220">
        <f t="shared" ref="J7:J18" si="3">F7*G7</f>
        <v>0</v>
      </c>
    </row>
    <row r="8" ht="30.0" customHeight="1">
      <c r="A8" s="213"/>
      <c r="B8" s="214"/>
      <c r="C8" s="214"/>
      <c r="D8" s="215">
        <f t="shared" si="1"/>
        <v>0</v>
      </c>
      <c r="E8" s="221"/>
      <c r="F8" s="217"/>
      <c r="G8" s="218">
        <v>14000.0</v>
      </c>
      <c r="H8" s="222"/>
      <c r="I8" s="220">
        <f t="shared" si="2"/>
        <v>0</v>
      </c>
      <c r="J8" s="220">
        <f t="shared" si="3"/>
        <v>0</v>
      </c>
    </row>
    <row r="9" ht="30.0" customHeight="1">
      <c r="A9" s="223"/>
      <c r="B9" s="214"/>
      <c r="C9" s="214"/>
      <c r="D9" s="215">
        <f t="shared" si="1"/>
        <v>0</v>
      </c>
      <c r="E9" s="221"/>
      <c r="F9" s="224"/>
      <c r="G9" s="225"/>
      <c r="H9" s="222"/>
      <c r="I9" s="220">
        <f t="shared" si="2"/>
        <v>0</v>
      </c>
      <c r="J9" s="220">
        <f t="shared" si="3"/>
        <v>0</v>
      </c>
    </row>
    <row r="10" ht="30.0" customHeight="1">
      <c r="A10" s="223"/>
      <c r="B10" s="214"/>
      <c r="C10" s="214"/>
      <c r="D10" s="215">
        <f t="shared" si="1"/>
        <v>0</v>
      </c>
      <c r="E10" s="226"/>
      <c r="F10" s="224"/>
      <c r="G10" s="225"/>
      <c r="H10" s="222"/>
      <c r="I10" s="220">
        <f t="shared" si="2"/>
        <v>0</v>
      </c>
      <c r="J10" s="220">
        <f t="shared" si="3"/>
        <v>0</v>
      </c>
    </row>
    <row r="11" ht="30.0" customHeight="1">
      <c r="A11" s="223"/>
      <c r="B11" s="214"/>
      <c r="C11" s="214"/>
      <c r="D11" s="215">
        <f t="shared" si="1"/>
        <v>0</v>
      </c>
      <c r="E11" s="226"/>
      <c r="F11" s="224"/>
      <c r="G11" s="225"/>
      <c r="H11" s="222"/>
      <c r="I11" s="220">
        <f t="shared" si="2"/>
        <v>0</v>
      </c>
      <c r="J11" s="220">
        <f t="shared" si="3"/>
        <v>0</v>
      </c>
    </row>
    <row r="12" ht="30.0" customHeight="1">
      <c r="A12" s="223"/>
      <c r="B12" s="214"/>
      <c r="C12" s="214"/>
      <c r="D12" s="215">
        <f t="shared" si="1"/>
        <v>0</v>
      </c>
      <c r="E12" s="226"/>
      <c r="F12" s="224"/>
      <c r="G12" s="225"/>
      <c r="H12" s="222"/>
      <c r="I12" s="220">
        <f t="shared" si="2"/>
        <v>0</v>
      </c>
      <c r="J12" s="220">
        <f t="shared" si="3"/>
        <v>0</v>
      </c>
    </row>
    <row r="13" ht="30.0" customHeight="1">
      <c r="A13" s="223"/>
      <c r="B13" s="214"/>
      <c r="C13" s="214"/>
      <c r="D13" s="215">
        <f t="shared" si="1"/>
        <v>0</v>
      </c>
      <c r="E13" s="226"/>
      <c r="F13" s="224"/>
      <c r="G13" s="225"/>
      <c r="H13" s="222"/>
      <c r="I13" s="220">
        <f t="shared" si="2"/>
        <v>0</v>
      </c>
      <c r="J13" s="220">
        <f t="shared" si="3"/>
        <v>0</v>
      </c>
    </row>
    <row r="14" ht="30.0" customHeight="1">
      <c r="A14" s="223"/>
      <c r="B14" s="214"/>
      <c r="C14" s="214"/>
      <c r="D14" s="215">
        <f t="shared" si="1"/>
        <v>0</v>
      </c>
      <c r="E14" s="226"/>
      <c r="F14" s="224"/>
      <c r="G14" s="225"/>
      <c r="H14" s="222"/>
      <c r="I14" s="220">
        <f t="shared" si="2"/>
        <v>0</v>
      </c>
      <c r="J14" s="220">
        <f t="shared" si="3"/>
        <v>0</v>
      </c>
    </row>
    <row r="15" ht="30.0" customHeight="1">
      <c r="A15" s="223"/>
      <c r="B15" s="214"/>
      <c r="C15" s="214"/>
      <c r="D15" s="215">
        <f t="shared" si="1"/>
        <v>0</v>
      </c>
      <c r="E15" s="226"/>
      <c r="F15" s="224"/>
      <c r="G15" s="225"/>
      <c r="H15" s="222"/>
      <c r="I15" s="220">
        <f t="shared" si="2"/>
        <v>0</v>
      </c>
      <c r="J15" s="220">
        <f t="shared" si="3"/>
        <v>0</v>
      </c>
    </row>
    <row r="16" ht="30.0" customHeight="1">
      <c r="A16" s="223"/>
      <c r="B16" s="214"/>
      <c r="C16" s="214"/>
      <c r="D16" s="215">
        <f t="shared" si="1"/>
        <v>0</v>
      </c>
      <c r="E16" s="226"/>
      <c r="F16" s="224"/>
      <c r="G16" s="225"/>
      <c r="H16" s="222"/>
      <c r="I16" s="220">
        <f t="shared" si="2"/>
        <v>0</v>
      </c>
      <c r="J16" s="220">
        <f t="shared" si="3"/>
        <v>0</v>
      </c>
    </row>
    <row r="17" ht="30.0" customHeight="1">
      <c r="A17" s="223"/>
      <c r="B17" s="214"/>
      <c r="C17" s="214"/>
      <c r="D17" s="215">
        <f t="shared" si="1"/>
        <v>0</v>
      </c>
      <c r="E17" s="226"/>
      <c r="F17" s="224"/>
      <c r="G17" s="225"/>
      <c r="H17" s="222"/>
      <c r="I17" s="220">
        <f t="shared" si="2"/>
        <v>0</v>
      </c>
      <c r="J17" s="220">
        <f t="shared" si="3"/>
        <v>0</v>
      </c>
    </row>
    <row r="18" ht="30.0" customHeight="1">
      <c r="A18" s="223"/>
      <c r="B18" s="214"/>
      <c r="C18" s="214"/>
      <c r="D18" s="215">
        <f t="shared" si="1"/>
        <v>0</v>
      </c>
      <c r="E18" s="226"/>
      <c r="F18" s="224"/>
      <c r="G18" s="225"/>
      <c r="H18" s="222"/>
      <c r="I18" s="220">
        <f t="shared" si="2"/>
        <v>0</v>
      </c>
      <c r="J18" s="220">
        <f t="shared" si="3"/>
        <v>0</v>
      </c>
    </row>
    <row r="19" ht="26.25" customHeight="1">
      <c r="A19" s="227" t="s">
        <v>37</v>
      </c>
      <c r="B19" s="227"/>
      <c r="C19" s="228">
        <f>sum(D7:D18)</f>
        <v>0</v>
      </c>
      <c r="D19" s="229"/>
      <c r="E19" s="230" t="s">
        <v>37</v>
      </c>
      <c r="F19" s="219">
        <v>175000.0</v>
      </c>
      <c r="G19" s="219">
        <f>sum(J7:J18)</f>
        <v>0</v>
      </c>
      <c r="H19" s="231"/>
      <c r="I19" s="232" t="s">
        <v>949</v>
      </c>
    </row>
    <row r="20" ht="26.25" customHeight="1">
      <c r="A20" s="227" t="s">
        <v>38</v>
      </c>
      <c r="B20" s="233">
        <v>500.0</v>
      </c>
      <c r="C20" s="234"/>
      <c r="D20" s="235"/>
      <c r="E20" s="230" t="s">
        <v>38</v>
      </c>
      <c r="F20" s="236"/>
      <c r="G20" s="237">
        <v>0.0</v>
      </c>
      <c r="H20" s="238"/>
    </row>
    <row r="21" ht="26.25" customHeight="1">
      <c r="A21" s="227" t="s">
        <v>39</v>
      </c>
      <c r="B21" s="227"/>
      <c r="C21" s="228">
        <f>C19-B20</f>
        <v>-500</v>
      </c>
      <c r="D21" s="215"/>
      <c r="E21" s="230" t="s">
        <v>39</v>
      </c>
      <c r="F21" s="219">
        <f>G19-F20</f>
        <v>0</v>
      </c>
      <c r="G21" s="219">
        <f>F19-F20</f>
        <v>175000</v>
      </c>
      <c r="H21" s="238"/>
      <c r="I21" s="232" t="s">
        <v>950</v>
      </c>
    </row>
    <row r="22" ht="26.25" customHeight="1">
      <c r="A22" s="227" t="s">
        <v>40</v>
      </c>
      <c r="B22" s="233">
        <v>17000.0</v>
      </c>
      <c r="C22" s="234"/>
      <c r="D22" s="215"/>
      <c r="E22" s="239" t="s">
        <v>951</v>
      </c>
      <c r="F22" s="237"/>
      <c r="G22" s="240"/>
      <c r="H22" s="238"/>
    </row>
    <row r="23" ht="26.25" customHeight="1">
      <c r="A23" s="227" t="s">
        <v>952</v>
      </c>
      <c r="B23" s="241"/>
      <c r="C23" s="241">
        <f>C21-B22</f>
        <v>-17500</v>
      </c>
      <c r="D23" s="215"/>
      <c r="E23" s="230" t="s">
        <v>952</v>
      </c>
      <c r="F23" s="219"/>
      <c r="G23" s="219">
        <f>G21-F22</f>
        <v>175000</v>
      </c>
      <c r="H23" s="238"/>
      <c r="I23" s="232" t="s">
        <v>953</v>
      </c>
    </row>
    <row r="24" ht="26.25" customHeight="1">
      <c r="A24" s="227" t="s">
        <v>15</v>
      </c>
      <c r="B24" s="242"/>
      <c r="C24" s="228"/>
      <c r="D24" s="243"/>
      <c r="E24" s="230" t="s">
        <v>15</v>
      </c>
      <c r="F24" s="230"/>
      <c r="G24" s="244"/>
      <c r="H24" s="245"/>
    </row>
  </sheetData>
  <mergeCells count="8">
    <mergeCell ref="A1:D2"/>
    <mergeCell ref="E1:H2"/>
    <mergeCell ref="I2:J5"/>
    <mergeCell ref="C3:D5"/>
    <mergeCell ref="G3:H5"/>
    <mergeCell ref="I19:J20"/>
    <mergeCell ref="I21:J22"/>
    <mergeCell ref="I23:J24"/>
  </mergeCell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4.43" defaultRowHeight="15.0"/>
  <cols>
    <col customWidth="1" min="1" max="1" width="15.14"/>
    <col customWidth="1" min="2" max="2" width="12.29"/>
    <col customWidth="1" min="3" max="3" width="17.71"/>
    <col customWidth="1" min="4" max="4" width="16.86"/>
    <col customWidth="1" min="5" max="5" width="38.0"/>
    <col customWidth="1" min="6" max="6" width="11.86"/>
    <col customWidth="1" min="7" max="7" width="20.71"/>
    <col customWidth="1" min="8" max="8" width="18.29"/>
    <col customWidth="1" min="9" max="11" width="15.0"/>
    <col customWidth="1" min="12" max="12" width="21.14"/>
    <col customWidth="1" min="13" max="14" width="28.43"/>
  </cols>
  <sheetData>
    <row r="1" ht="26.25" customHeight="1">
      <c r="A1" s="246"/>
      <c r="B1" s="247"/>
      <c r="C1" s="248"/>
      <c r="D1" s="249"/>
      <c r="E1" s="80" t="str">
        <f>#REF!</f>
        <v>#REF!</v>
      </c>
      <c r="F1" s="250"/>
      <c r="G1" s="251">
        <f>SUM(جدول_6[المجموع])</f>
        <v>206850085</v>
      </c>
      <c r="H1" s="251">
        <f>sum(H4:H1430)</f>
        <v>0</v>
      </c>
      <c r="I1" s="251">
        <f t="shared" ref="I1:J1" si="1">SUM(I4:I1430)</f>
        <v>206849085</v>
      </c>
      <c r="J1" s="251">
        <f t="shared" si="1"/>
        <v>204777085</v>
      </c>
      <c r="K1" s="251">
        <f>sum(K4:K1430)</f>
        <v>2073000</v>
      </c>
      <c r="L1" s="249"/>
      <c r="M1" s="249"/>
      <c r="N1" s="249"/>
    </row>
    <row r="2" ht="26.25" customHeight="1">
      <c r="A2" s="252" t="s">
        <v>32</v>
      </c>
      <c r="B2" s="253" t="s">
        <v>0</v>
      </c>
      <c r="C2" s="252" t="s">
        <v>33</v>
      </c>
      <c r="D2" s="254" t="s">
        <v>34</v>
      </c>
      <c r="E2" s="254" t="s">
        <v>35</v>
      </c>
      <c r="F2" s="255" t="s">
        <v>954</v>
      </c>
      <c r="G2" s="256" t="s">
        <v>37</v>
      </c>
      <c r="H2" s="256" t="s">
        <v>38</v>
      </c>
      <c r="I2" s="256" t="s">
        <v>39</v>
      </c>
      <c r="J2" s="257" t="s">
        <v>951</v>
      </c>
      <c r="K2" s="256" t="s">
        <v>41</v>
      </c>
      <c r="L2" s="254" t="s">
        <v>15</v>
      </c>
      <c r="M2" s="258" t="s">
        <v>42</v>
      </c>
      <c r="N2" s="258" t="s">
        <v>955</v>
      </c>
    </row>
    <row r="3" ht="26.25" customHeight="1">
      <c r="A3" s="257"/>
      <c r="B3" s="259"/>
      <c r="C3" s="260"/>
      <c r="D3" s="254"/>
      <c r="E3" s="254"/>
      <c r="F3" s="261"/>
      <c r="G3" s="262"/>
      <c r="H3" s="262"/>
      <c r="I3" s="256"/>
      <c r="J3" s="262"/>
      <c r="K3" s="262"/>
      <c r="L3" s="254"/>
      <c r="M3" s="258"/>
      <c r="N3" s="258"/>
    </row>
    <row r="4" ht="26.25" customHeight="1">
      <c r="A4" s="263" t="s">
        <v>956</v>
      </c>
      <c r="B4" s="264">
        <v>45659.0</v>
      </c>
      <c r="C4" s="265" t="s">
        <v>957</v>
      </c>
      <c r="D4" s="266" t="s">
        <v>958</v>
      </c>
      <c r="E4" s="267" t="s">
        <v>959</v>
      </c>
      <c r="F4" s="268"/>
      <c r="G4" s="269">
        <v>84000.0</v>
      </c>
      <c r="H4" s="270">
        <v>0.0</v>
      </c>
      <c r="I4" s="269">
        <v>84000.0</v>
      </c>
      <c r="J4" s="271">
        <v>84000.0</v>
      </c>
      <c r="K4" s="272">
        <f t="shared" ref="K4:K1386" si="2">IFERROR(G4-H4-J4,0)</f>
        <v>0</v>
      </c>
      <c r="L4" s="273"/>
      <c r="M4" s="273"/>
      <c r="N4" s="273"/>
    </row>
    <row r="5" ht="26.25" customHeight="1">
      <c r="A5" s="268"/>
      <c r="B5" s="264">
        <v>45659.0</v>
      </c>
      <c r="C5" s="265" t="s">
        <v>960</v>
      </c>
      <c r="D5" s="266" t="s">
        <v>57</v>
      </c>
      <c r="E5" s="267" t="s">
        <v>961</v>
      </c>
      <c r="F5" s="268"/>
      <c r="G5" s="269">
        <v>20000.0</v>
      </c>
      <c r="H5" s="270">
        <v>0.0</v>
      </c>
      <c r="I5" s="269">
        <v>20000.0</v>
      </c>
      <c r="J5" s="271">
        <v>20000.0</v>
      </c>
      <c r="K5" s="272">
        <f t="shared" si="2"/>
        <v>0</v>
      </c>
      <c r="L5" s="273"/>
      <c r="M5" s="273"/>
      <c r="N5" s="273"/>
    </row>
    <row r="6" ht="26.25" customHeight="1">
      <c r="A6" s="274"/>
      <c r="B6" s="264">
        <v>45659.0</v>
      </c>
      <c r="C6" s="265" t="s">
        <v>960</v>
      </c>
      <c r="D6" s="266" t="s">
        <v>57</v>
      </c>
      <c r="E6" s="267" t="s">
        <v>962</v>
      </c>
      <c r="F6" s="268"/>
      <c r="G6" s="269">
        <v>20000.0</v>
      </c>
      <c r="H6" s="270">
        <v>0.0</v>
      </c>
      <c r="I6" s="269">
        <v>20000.0</v>
      </c>
      <c r="J6" s="271">
        <v>20000.0</v>
      </c>
      <c r="K6" s="272">
        <f t="shared" si="2"/>
        <v>0</v>
      </c>
      <c r="L6" s="273"/>
      <c r="M6" s="273"/>
      <c r="N6" s="273"/>
    </row>
    <row r="7" ht="26.25" customHeight="1">
      <c r="A7" s="268"/>
      <c r="B7" s="264">
        <v>45659.0</v>
      </c>
      <c r="C7" s="265" t="s">
        <v>963</v>
      </c>
      <c r="D7" s="266" t="s">
        <v>57</v>
      </c>
      <c r="E7" s="267" t="s">
        <v>964</v>
      </c>
      <c r="F7" s="268"/>
      <c r="G7" s="269">
        <v>15000.0</v>
      </c>
      <c r="H7" s="270">
        <v>0.0</v>
      </c>
      <c r="I7" s="269">
        <v>15000.0</v>
      </c>
      <c r="J7" s="271">
        <v>15000.0</v>
      </c>
      <c r="K7" s="272">
        <f t="shared" si="2"/>
        <v>0</v>
      </c>
      <c r="L7" s="273"/>
      <c r="M7" s="273"/>
      <c r="N7" s="273"/>
    </row>
    <row r="8" ht="26.25" customHeight="1">
      <c r="A8" s="268"/>
      <c r="B8" s="264">
        <v>45661.0</v>
      </c>
      <c r="C8" s="275" t="s">
        <v>965</v>
      </c>
      <c r="D8" s="266" t="s">
        <v>57</v>
      </c>
      <c r="E8" s="267" t="s">
        <v>966</v>
      </c>
      <c r="F8" s="268"/>
      <c r="G8" s="269">
        <v>50000.0</v>
      </c>
      <c r="H8" s="270">
        <v>0.0</v>
      </c>
      <c r="I8" s="269">
        <v>50000.0</v>
      </c>
      <c r="J8" s="271">
        <v>50000.0</v>
      </c>
      <c r="K8" s="272">
        <f t="shared" si="2"/>
        <v>0</v>
      </c>
      <c r="L8" s="273"/>
      <c r="M8" s="273"/>
      <c r="N8" s="273"/>
    </row>
    <row r="9" ht="26.25" customHeight="1">
      <c r="A9" s="263" t="s">
        <v>967</v>
      </c>
      <c r="B9" s="264">
        <v>45661.0</v>
      </c>
      <c r="C9" s="275" t="s">
        <v>968</v>
      </c>
      <c r="D9" s="266" t="s">
        <v>57</v>
      </c>
      <c r="E9" s="267" t="s">
        <v>969</v>
      </c>
      <c r="F9" s="268"/>
      <c r="G9" s="269">
        <v>26000.0</v>
      </c>
      <c r="H9" s="270">
        <v>0.0</v>
      </c>
      <c r="I9" s="269">
        <v>26000.0</v>
      </c>
      <c r="J9" s="271">
        <v>26000.0</v>
      </c>
      <c r="K9" s="272">
        <f t="shared" si="2"/>
        <v>0</v>
      </c>
      <c r="L9" s="273"/>
      <c r="M9" s="273"/>
      <c r="N9" s="273"/>
    </row>
    <row r="10" ht="26.25" customHeight="1">
      <c r="A10" s="268"/>
      <c r="B10" s="264">
        <v>45662.0</v>
      </c>
      <c r="C10" s="275" t="s">
        <v>960</v>
      </c>
      <c r="D10" s="266" t="s">
        <v>57</v>
      </c>
      <c r="E10" s="267" t="s">
        <v>970</v>
      </c>
      <c r="F10" s="268"/>
      <c r="G10" s="269">
        <v>30000.0</v>
      </c>
      <c r="H10" s="270">
        <v>0.0</v>
      </c>
      <c r="I10" s="269">
        <v>30000.0</v>
      </c>
      <c r="J10" s="271">
        <v>30000.0</v>
      </c>
      <c r="K10" s="272">
        <f t="shared" si="2"/>
        <v>0</v>
      </c>
      <c r="L10" s="273"/>
      <c r="M10" s="273"/>
      <c r="N10" s="273"/>
    </row>
    <row r="11" ht="26.25" customHeight="1">
      <c r="A11" s="276" t="s">
        <v>971</v>
      </c>
      <c r="B11" s="264">
        <v>45663.0</v>
      </c>
      <c r="C11" s="265" t="s">
        <v>972</v>
      </c>
      <c r="D11" s="266" t="s">
        <v>57</v>
      </c>
      <c r="E11" s="267" t="s">
        <v>973</v>
      </c>
      <c r="F11" s="268"/>
      <c r="G11" s="269">
        <v>765000.0</v>
      </c>
      <c r="H11" s="270">
        <v>0.0</v>
      </c>
      <c r="I11" s="269">
        <v>765000.0</v>
      </c>
      <c r="J11" s="271">
        <v>765000.0</v>
      </c>
      <c r="K11" s="272">
        <f t="shared" si="2"/>
        <v>0</v>
      </c>
      <c r="L11" s="273"/>
      <c r="M11" s="273"/>
      <c r="N11" s="273"/>
    </row>
    <row r="12" ht="26.25" customHeight="1">
      <c r="A12" s="274"/>
      <c r="B12" s="264">
        <v>45663.0</v>
      </c>
      <c r="C12" s="265" t="s">
        <v>974</v>
      </c>
      <c r="D12" s="266" t="s">
        <v>57</v>
      </c>
      <c r="E12" s="267" t="s">
        <v>975</v>
      </c>
      <c r="F12" s="268"/>
      <c r="G12" s="269">
        <v>45000.0</v>
      </c>
      <c r="H12" s="270">
        <v>0.0</v>
      </c>
      <c r="I12" s="269">
        <v>45000.0</v>
      </c>
      <c r="J12" s="271">
        <v>45000.0</v>
      </c>
      <c r="K12" s="272">
        <f t="shared" si="2"/>
        <v>0</v>
      </c>
      <c r="L12" s="273"/>
      <c r="M12" s="273"/>
      <c r="N12" s="273"/>
    </row>
    <row r="13" ht="26.25" customHeight="1">
      <c r="A13" s="268"/>
      <c r="B13" s="264">
        <v>45663.0</v>
      </c>
      <c r="C13" s="275" t="s">
        <v>965</v>
      </c>
      <c r="D13" s="266" t="s">
        <v>57</v>
      </c>
      <c r="E13" s="267" t="s">
        <v>976</v>
      </c>
      <c r="F13" s="268"/>
      <c r="G13" s="269">
        <v>40000.0</v>
      </c>
      <c r="H13" s="270">
        <v>0.0</v>
      </c>
      <c r="I13" s="269">
        <v>40000.0</v>
      </c>
      <c r="J13" s="271">
        <v>40000.0</v>
      </c>
      <c r="K13" s="272">
        <f t="shared" si="2"/>
        <v>0</v>
      </c>
      <c r="L13" s="273"/>
      <c r="M13" s="273"/>
      <c r="N13" s="273"/>
    </row>
    <row r="14" ht="26.25" customHeight="1">
      <c r="A14" s="268"/>
      <c r="B14" s="264">
        <v>45663.0</v>
      </c>
      <c r="C14" s="275" t="s">
        <v>968</v>
      </c>
      <c r="D14" s="266" t="s">
        <v>57</v>
      </c>
      <c r="E14" s="267" t="s">
        <v>977</v>
      </c>
      <c r="F14" s="268"/>
      <c r="G14" s="269">
        <v>40000.0</v>
      </c>
      <c r="H14" s="270">
        <v>0.0</v>
      </c>
      <c r="I14" s="269">
        <v>40000.0</v>
      </c>
      <c r="J14" s="271">
        <v>40000.0</v>
      </c>
      <c r="K14" s="272">
        <f t="shared" si="2"/>
        <v>0</v>
      </c>
      <c r="L14" s="273"/>
      <c r="M14" s="273"/>
      <c r="N14" s="273"/>
    </row>
    <row r="15" ht="26.25" customHeight="1">
      <c r="A15" s="268"/>
      <c r="B15" s="264">
        <v>45663.0</v>
      </c>
      <c r="C15" s="275" t="s">
        <v>974</v>
      </c>
      <c r="D15" s="266" t="s">
        <v>57</v>
      </c>
      <c r="E15" s="267" t="s">
        <v>978</v>
      </c>
      <c r="F15" s="268"/>
      <c r="G15" s="269">
        <v>11000.0</v>
      </c>
      <c r="H15" s="270">
        <v>0.0</v>
      </c>
      <c r="I15" s="269">
        <v>11000.0</v>
      </c>
      <c r="J15" s="271">
        <v>11000.0</v>
      </c>
      <c r="K15" s="272">
        <f t="shared" si="2"/>
        <v>0</v>
      </c>
      <c r="L15" s="273"/>
      <c r="M15" s="273"/>
      <c r="N15" s="273"/>
    </row>
    <row r="16" ht="26.25" customHeight="1">
      <c r="A16" s="263" t="s">
        <v>979</v>
      </c>
      <c r="B16" s="264">
        <v>45664.0</v>
      </c>
      <c r="C16" s="265" t="s">
        <v>965</v>
      </c>
      <c r="D16" s="266" t="s">
        <v>57</v>
      </c>
      <c r="E16" s="267" t="s">
        <v>980</v>
      </c>
      <c r="F16" s="268"/>
      <c r="G16" s="269">
        <v>192000.0</v>
      </c>
      <c r="H16" s="270">
        <v>0.0</v>
      </c>
      <c r="I16" s="269">
        <v>192000.0</v>
      </c>
      <c r="J16" s="271">
        <v>192000.0</v>
      </c>
      <c r="K16" s="272">
        <f t="shared" si="2"/>
        <v>0</v>
      </c>
      <c r="L16" s="273"/>
      <c r="M16" s="273"/>
      <c r="N16" s="273"/>
    </row>
    <row r="17" ht="26.25" customHeight="1">
      <c r="A17" s="268"/>
      <c r="B17" s="264">
        <v>45664.0</v>
      </c>
      <c r="C17" s="275" t="s">
        <v>960</v>
      </c>
      <c r="D17" s="266" t="s">
        <v>57</v>
      </c>
      <c r="E17" s="267" t="s">
        <v>981</v>
      </c>
      <c r="F17" s="268"/>
      <c r="G17" s="269">
        <v>40000.0</v>
      </c>
      <c r="H17" s="270">
        <v>0.0</v>
      </c>
      <c r="I17" s="269">
        <v>40000.0</v>
      </c>
      <c r="J17" s="271">
        <v>40000.0</v>
      </c>
      <c r="K17" s="272">
        <f t="shared" si="2"/>
        <v>0</v>
      </c>
      <c r="L17" s="273"/>
      <c r="M17" s="273"/>
      <c r="N17" s="273"/>
    </row>
    <row r="18" ht="26.25" customHeight="1">
      <c r="A18" s="263" t="s">
        <v>982</v>
      </c>
      <c r="B18" s="264">
        <v>45666.0</v>
      </c>
      <c r="C18" s="265" t="s">
        <v>965</v>
      </c>
      <c r="D18" s="266" t="s">
        <v>57</v>
      </c>
      <c r="E18" s="267" t="s">
        <v>983</v>
      </c>
      <c r="F18" s="268"/>
      <c r="G18" s="269">
        <v>180000.0</v>
      </c>
      <c r="H18" s="270">
        <v>0.0</v>
      </c>
      <c r="I18" s="269">
        <v>180000.0</v>
      </c>
      <c r="J18" s="271">
        <v>180000.0</v>
      </c>
      <c r="K18" s="272">
        <f t="shared" si="2"/>
        <v>0</v>
      </c>
      <c r="L18" s="273"/>
      <c r="M18" s="273"/>
      <c r="N18" s="273"/>
    </row>
    <row r="19" ht="26.25" customHeight="1">
      <c r="A19" s="263" t="s">
        <v>984</v>
      </c>
      <c r="B19" s="264">
        <v>45666.0</v>
      </c>
      <c r="C19" s="265" t="s">
        <v>985</v>
      </c>
      <c r="D19" s="266" t="s">
        <v>57</v>
      </c>
      <c r="E19" s="267" t="s">
        <v>986</v>
      </c>
      <c r="F19" s="268"/>
      <c r="G19" s="269">
        <v>77500.0</v>
      </c>
      <c r="H19" s="270">
        <v>0.0</v>
      </c>
      <c r="I19" s="269">
        <v>77500.0</v>
      </c>
      <c r="J19" s="271">
        <v>77500.0</v>
      </c>
      <c r="K19" s="272">
        <f t="shared" si="2"/>
        <v>0</v>
      </c>
      <c r="L19" s="273"/>
      <c r="M19" s="273"/>
      <c r="N19" s="273"/>
    </row>
    <row r="20" ht="26.25" customHeight="1">
      <c r="A20" s="277" t="s">
        <v>987</v>
      </c>
      <c r="B20" s="264">
        <v>45666.0</v>
      </c>
      <c r="C20" s="265" t="s">
        <v>965</v>
      </c>
      <c r="D20" s="266" t="s">
        <v>57</v>
      </c>
      <c r="E20" s="267" t="s">
        <v>988</v>
      </c>
      <c r="F20" s="268"/>
      <c r="G20" s="269">
        <v>55000.0</v>
      </c>
      <c r="H20" s="278"/>
      <c r="I20" s="269">
        <v>55000.0</v>
      </c>
      <c r="J20" s="271">
        <v>55000.0</v>
      </c>
      <c r="K20" s="272">
        <f t="shared" si="2"/>
        <v>0</v>
      </c>
      <c r="L20" s="273"/>
      <c r="M20" s="273"/>
      <c r="N20" s="273"/>
    </row>
    <row r="21" ht="26.25" customHeight="1">
      <c r="A21" s="263" t="s">
        <v>989</v>
      </c>
      <c r="B21" s="264">
        <v>45666.0</v>
      </c>
      <c r="C21" s="265" t="s">
        <v>960</v>
      </c>
      <c r="D21" s="266" t="s">
        <v>57</v>
      </c>
      <c r="E21" s="267" t="s">
        <v>990</v>
      </c>
      <c r="F21" s="268"/>
      <c r="G21" s="269">
        <v>43750.0</v>
      </c>
      <c r="H21" s="270">
        <v>0.0</v>
      </c>
      <c r="I21" s="269">
        <v>43750.0</v>
      </c>
      <c r="J21" s="271">
        <v>43750.0</v>
      </c>
      <c r="K21" s="272">
        <f t="shared" si="2"/>
        <v>0</v>
      </c>
      <c r="L21" s="273"/>
      <c r="M21" s="273"/>
      <c r="N21" s="273"/>
    </row>
    <row r="22" ht="26.25" customHeight="1">
      <c r="A22" s="263" t="s">
        <v>991</v>
      </c>
      <c r="B22" s="264">
        <v>45666.0</v>
      </c>
      <c r="C22" s="265" t="s">
        <v>960</v>
      </c>
      <c r="D22" s="266" t="s">
        <v>992</v>
      </c>
      <c r="E22" s="267" t="s">
        <v>993</v>
      </c>
      <c r="F22" s="268"/>
      <c r="G22" s="269">
        <v>43000.0</v>
      </c>
      <c r="H22" s="270">
        <v>0.0</v>
      </c>
      <c r="I22" s="269">
        <v>43000.0</v>
      </c>
      <c r="J22" s="271">
        <v>43000.0</v>
      </c>
      <c r="K22" s="272">
        <f t="shared" si="2"/>
        <v>0</v>
      </c>
      <c r="L22" s="273"/>
      <c r="M22" s="273"/>
      <c r="N22" s="273"/>
    </row>
    <row r="23" ht="26.25" customHeight="1">
      <c r="A23" s="263" t="s">
        <v>994</v>
      </c>
      <c r="B23" s="264">
        <v>45666.0</v>
      </c>
      <c r="C23" s="275" t="s">
        <v>995</v>
      </c>
      <c r="D23" s="266" t="s">
        <v>237</v>
      </c>
      <c r="E23" s="267" t="s">
        <v>995</v>
      </c>
      <c r="F23" s="268"/>
      <c r="G23" s="269">
        <v>25000.0</v>
      </c>
      <c r="H23" s="270">
        <v>0.0</v>
      </c>
      <c r="I23" s="269">
        <v>25000.0</v>
      </c>
      <c r="J23" s="271">
        <v>25000.0</v>
      </c>
      <c r="K23" s="272">
        <f t="shared" si="2"/>
        <v>0</v>
      </c>
      <c r="L23" s="273"/>
      <c r="M23" s="273"/>
      <c r="N23" s="273"/>
    </row>
    <row r="24" ht="26.25" customHeight="1">
      <c r="A24" s="268"/>
      <c r="B24" s="264">
        <v>45666.0</v>
      </c>
      <c r="C24" s="275" t="s">
        <v>974</v>
      </c>
      <c r="D24" s="266" t="s">
        <v>996</v>
      </c>
      <c r="E24" s="267" t="s">
        <v>996</v>
      </c>
      <c r="F24" s="268"/>
      <c r="G24" s="269">
        <v>20000.0</v>
      </c>
      <c r="H24" s="270">
        <v>0.0</v>
      </c>
      <c r="I24" s="269">
        <v>20000.0</v>
      </c>
      <c r="J24" s="271">
        <v>20000.0</v>
      </c>
      <c r="K24" s="272">
        <f t="shared" si="2"/>
        <v>0</v>
      </c>
      <c r="L24" s="273"/>
      <c r="M24" s="273"/>
      <c r="N24" s="273"/>
    </row>
    <row r="25" ht="26.25" customHeight="1">
      <c r="A25" s="268"/>
      <c r="B25" s="264">
        <v>45666.0</v>
      </c>
      <c r="C25" s="275" t="s">
        <v>960</v>
      </c>
      <c r="D25" s="266" t="s">
        <v>57</v>
      </c>
      <c r="E25" s="267" t="s">
        <v>961</v>
      </c>
      <c r="F25" s="268"/>
      <c r="G25" s="269">
        <v>10000.0</v>
      </c>
      <c r="H25" s="270">
        <v>0.0</v>
      </c>
      <c r="I25" s="269">
        <v>10000.0</v>
      </c>
      <c r="J25" s="271">
        <v>10000.0</v>
      </c>
      <c r="K25" s="272">
        <f t="shared" si="2"/>
        <v>0</v>
      </c>
      <c r="L25" s="273"/>
      <c r="M25" s="273"/>
      <c r="N25" s="273"/>
    </row>
    <row r="26" ht="26.25" customHeight="1">
      <c r="A26" s="268"/>
      <c r="B26" s="264">
        <v>45666.0</v>
      </c>
      <c r="C26" s="265" t="s">
        <v>957</v>
      </c>
      <c r="D26" s="266" t="s">
        <v>57</v>
      </c>
      <c r="E26" s="267" t="s">
        <v>997</v>
      </c>
      <c r="F26" s="268"/>
      <c r="G26" s="269">
        <v>10000.0</v>
      </c>
      <c r="H26" s="278"/>
      <c r="I26" s="269">
        <v>10000.0</v>
      </c>
      <c r="J26" s="271">
        <v>10000.0</v>
      </c>
      <c r="K26" s="272">
        <f t="shared" si="2"/>
        <v>0</v>
      </c>
      <c r="L26" s="273"/>
      <c r="M26" s="273"/>
      <c r="N26" s="273"/>
    </row>
    <row r="27" ht="26.25" customHeight="1">
      <c r="A27" s="274"/>
      <c r="B27" s="264">
        <v>45666.0</v>
      </c>
      <c r="C27" s="265" t="s">
        <v>963</v>
      </c>
      <c r="D27" s="266" t="s">
        <v>57</v>
      </c>
      <c r="E27" s="267" t="s">
        <v>998</v>
      </c>
      <c r="F27" s="268"/>
      <c r="G27" s="269">
        <v>10000.0</v>
      </c>
      <c r="H27" s="270">
        <v>0.0</v>
      </c>
      <c r="I27" s="269">
        <v>10000.0</v>
      </c>
      <c r="J27" s="271">
        <v>10000.0</v>
      </c>
      <c r="K27" s="272">
        <f t="shared" si="2"/>
        <v>0</v>
      </c>
      <c r="L27" s="273"/>
      <c r="M27" s="273"/>
      <c r="N27" s="273"/>
    </row>
    <row r="28" ht="26.25" customHeight="1">
      <c r="A28" s="263" t="s">
        <v>994</v>
      </c>
      <c r="B28" s="264">
        <v>45666.0</v>
      </c>
      <c r="C28" s="275" t="s">
        <v>985</v>
      </c>
      <c r="D28" s="266" t="s">
        <v>57</v>
      </c>
      <c r="E28" s="267" t="s">
        <v>986</v>
      </c>
      <c r="F28" s="268"/>
      <c r="G28" s="269">
        <v>8000.0</v>
      </c>
      <c r="H28" s="270">
        <v>0.0</v>
      </c>
      <c r="I28" s="269">
        <v>8000.0</v>
      </c>
      <c r="J28" s="271">
        <v>8000.0</v>
      </c>
      <c r="K28" s="272">
        <f t="shared" si="2"/>
        <v>0</v>
      </c>
      <c r="L28" s="273"/>
      <c r="M28" s="273"/>
      <c r="N28" s="273"/>
    </row>
    <row r="29" ht="26.25" customHeight="1">
      <c r="A29" s="274"/>
      <c r="B29" s="264">
        <v>45666.0</v>
      </c>
      <c r="C29" s="265" t="s">
        <v>960</v>
      </c>
      <c r="D29" s="266" t="s">
        <v>57</v>
      </c>
      <c r="E29" s="267" t="s">
        <v>999</v>
      </c>
      <c r="F29" s="268"/>
      <c r="G29" s="269">
        <v>5000.0</v>
      </c>
      <c r="H29" s="270">
        <v>0.0</v>
      </c>
      <c r="I29" s="269">
        <v>5000.0</v>
      </c>
      <c r="J29" s="271">
        <v>5000.0</v>
      </c>
      <c r="K29" s="272">
        <f t="shared" si="2"/>
        <v>0</v>
      </c>
      <c r="L29" s="273"/>
      <c r="M29" s="273"/>
      <c r="N29" s="273"/>
    </row>
    <row r="30" ht="26.25" customHeight="1">
      <c r="A30" s="274"/>
      <c r="B30" s="264">
        <v>45667.0</v>
      </c>
      <c r="C30" s="265" t="s">
        <v>974</v>
      </c>
      <c r="D30" s="266" t="s">
        <v>57</v>
      </c>
      <c r="E30" s="267" t="s">
        <v>1000</v>
      </c>
      <c r="F30" s="268"/>
      <c r="G30" s="269">
        <v>26000.0</v>
      </c>
      <c r="H30" s="270">
        <v>0.0</v>
      </c>
      <c r="I30" s="269">
        <v>26000.0</v>
      </c>
      <c r="J30" s="271">
        <v>26000.0</v>
      </c>
      <c r="K30" s="272">
        <f t="shared" si="2"/>
        <v>0</v>
      </c>
      <c r="L30" s="273"/>
      <c r="M30" s="273"/>
      <c r="N30" s="273"/>
    </row>
    <row r="31" ht="26.25" customHeight="1">
      <c r="A31" s="268"/>
      <c r="B31" s="264">
        <v>45667.0</v>
      </c>
      <c r="C31" s="265" t="s">
        <v>974</v>
      </c>
      <c r="D31" s="266" t="s">
        <v>57</v>
      </c>
      <c r="E31" s="267" t="s">
        <v>1001</v>
      </c>
      <c r="F31" s="268"/>
      <c r="G31" s="269">
        <v>15000.0</v>
      </c>
      <c r="H31" s="270">
        <v>0.0</v>
      </c>
      <c r="I31" s="269">
        <v>15000.0</v>
      </c>
      <c r="J31" s="271">
        <v>15000.0</v>
      </c>
      <c r="K31" s="272">
        <f t="shared" si="2"/>
        <v>0</v>
      </c>
      <c r="L31" s="273"/>
      <c r="M31" s="273"/>
      <c r="N31" s="273"/>
    </row>
    <row r="32" ht="26.25" customHeight="1">
      <c r="A32" s="268"/>
      <c r="B32" s="264">
        <v>45667.0</v>
      </c>
      <c r="C32" s="265" t="s">
        <v>963</v>
      </c>
      <c r="D32" s="266" t="s">
        <v>57</v>
      </c>
      <c r="E32" s="267" t="s">
        <v>963</v>
      </c>
      <c r="F32" s="268"/>
      <c r="G32" s="269">
        <v>10000.0</v>
      </c>
      <c r="H32" s="270">
        <v>0.0</v>
      </c>
      <c r="I32" s="269">
        <v>10000.0</v>
      </c>
      <c r="J32" s="271">
        <v>10000.0</v>
      </c>
      <c r="K32" s="272">
        <f t="shared" si="2"/>
        <v>0</v>
      </c>
      <c r="L32" s="273"/>
      <c r="M32" s="273"/>
      <c r="N32" s="273"/>
    </row>
    <row r="33" ht="26.25" customHeight="1">
      <c r="A33" s="274"/>
      <c r="B33" s="264">
        <v>45667.0</v>
      </c>
      <c r="C33" s="265" t="s">
        <v>974</v>
      </c>
      <c r="D33" s="266" t="s">
        <v>57</v>
      </c>
      <c r="E33" s="267" t="s">
        <v>996</v>
      </c>
      <c r="F33" s="268"/>
      <c r="G33" s="269">
        <v>5000.0</v>
      </c>
      <c r="H33" s="270">
        <v>0.0</v>
      </c>
      <c r="I33" s="269">
        <v>5000.0</v>
      </c>
      <c r="J33" s="271">
        <v>5000.0</v>
      </c>
      <c r="K33" s="272">
        <f t="shared" si="2"/>
        <v>0</v>
      </c>
      <c r="L33" s="273"/>
      <c r="M33" s="273"/>
      <c r="N33" s="273"/>
    </row>
    <row r="34" ht="26.25" customHeight="1">
      <c r="A34" s="277" t="s">
        <v>1002</v>
      </c>
      <c r="B34" s="264">
        <v>45668.0</v>
      </c>
      <c r="C34" s="265" t="s">
        <v>965</v>
      </c>
      <c r="D34" s="266" t="s">
        <v>980</v>
      </c>
      <c r="E34" s="267" t="s">
        <v>980</v>
      </c>
      <c r="F34" s="268"/>
      <c r="G34" s="269">
        <v>1097000.0</v>
      </c>
      <c r="H34" s="270">
        <v>0.0</v>
      </c>
      <c r="I34" s="269">
        <v>1097000.0</v>
      </c>
      <c r="J34" s="271">
        <v>1097000.0</v>
      </c>
      <c r="K34" s="272">
        <f t="shared" si="2"/>
        <v>0</v>
      </c>
      <c r="L34" s="273"/>
      <c r="M34" s="273"/>
      <c r="N34" s="273"/>
    </row>
    <row r="35" ht="26.25" customHeight="1">
      <c r="A35" s="263" t="s">
        <v>1003</v>
      </c>
      <c r="B35" s="264">
        <v>45668.0</v>
      </c>
      <c r="C35" s="265" t="s">
        <v>965</v>
      </c>
      <c r="D35" s="266" t="s">
        <v>1004</v>
      </c>
      <c r="E35" s="267" t="s">
        <v>1004</v>
      </c>
      <c r="F35" s="268"/>
      <c r="G35" s="269">
        <v>260000.0</v>
      </c>
      <c r="H35" s="270">
        <v>0.0</v>
      </c>
      <c r="I35" s="269">
        <v>260000.0</v>
      </c>
      <c r="J35" s="271">
        <v>260000.0</v>
      </c>
      <c r="K35" s="272">
        <f t="shared" si="2"/>
        <v>0</v>
      </c>
      <c r="L35" s="273"/>
      <c r="M35" s="273"/>
      <c r="N35" s="273"/>
    </row>
    <row r="36" ht="26.25" customHeight="1">
      <c r="A36" s="268"/>
      <c r="B36" s="264">
        <v>45669.0</v>
      </c>
      <c r="C36" s="265" t="s">
        <v>974</v>
      </c>
      <c r="D36" s="266" t="s">
        <v>57</v>
      </c>
      <c r="E36" s="267" t="s">
        <v>1005</v>
      </c>
      <c r="F36" s="268"/>
      <c r="G36" s="269">
        <v>25000.0</v>
      </c>
      <c r="H36" s="270">
        <v>0.0</v>
      </c>
      <c r="I36" s="269">
        <v>25000.0</v>
      </c>
      <c r="J36" s="271">
        <v>25000.0</v>
      </c>
      <c r="K36" s="272">
        <f t="shared" si="2"/>
        <v>0</v>
      </c>
      <c r="L36" s="273"/>
      <c r="M36" s="273"/>
      <c r="N36" s="273"/>
    </row>
    <row r="37" ht="26.25" customHeight="1">
      <c r="A37" s="268"/>
      <c r="B37" s="264">
        <v>45670.0</v>
      </c>
      <c r="C37" s="265" t="s">
        <v>960</v>
      </c>
      <c r="D37" s="266" t="s">
        <v>57</v>
      </c>
      <c r="E37" s="267" t="s">
        <v>1006</v>
      </c>
      <c r="F37" s="268"/>
      <c r="G37" s="269">
        <v>250000.0</v>
      </c>
      <c r="H37" s="270">
        <v>0.0</v>
      </c>
      <c r="I37" s="269">
        <v>250000.0</v>
      </c>
      <c r="J37" s="271">
        <v>250000.0</v>
      </c>
      <c r="K37" s="272">
        <f t="shared" si="2"/>
        <v>0</v>
      </c>
      <c r="L37" s="273"/>
      <c r="M37" s="273"/>
      <c r="N37" s="273"/>
    </row>
    <row r="38" ht="26.25" customHeight="1">
      <c r="A38" s="277" t="s">
        <v>1007</v>
      </c>
      <c r="B38" s="264">
        <v>45670.0</v>
      </c>
      <c r="C38" s="265" t="s">
        <v>965</v>
      </c>
      <c r="D38" s="266" t="s">
        <v>57</v>
      </c>
      <c r="E38" s="267" t="s">
        <v>980</v>
      </c>
      <c r="F38" s="268"/>
      <c r="G38" s="269">
        <v>85000.0</v>
      </c>
      <c r="H38" s="270">
        <v>0.0</v>
      </c>
      <c r="I38" s="269">
        <v>85000.0</v>
      </c>
      <c r="J38" s="271">
        <v>85000.0</v>
      </c>
      <c r="K38" s="272">
        <f t="shared" si="2"/>
        <v>0</v>
      </c>
      <c r="L38" s="273"/>
      <c r="M38" s="273"/>
      <c r="N38" s="273"/>
    </row>
    <row r="39" ht="26.25" customHeight="1">
      <c r="A39" s="274"/>
      <c r="B39" s="264">
        <v>45670.0</v>
      </c>
      <c r="C39" s="265" t="s">
        <v>965</v>
      </c>
      <c r="D39" s="266" t="s">
        <v>57</v>
      </c>
      <c r="E39" s="267" t="s">
        <v>1008</v>
      </c>
      <c r="F39" s="268"/>
      <c r="G39" s="269">
        <v>75000.0</v>
      </c>
      <c r="H39" s="270">
        <v>0.0</v>
      </c>
      <c r="I39" s="269">
        <v>75000.0</v>
      </c>
      <c r="J39" s="271">
        <v>75000.0</v>
      </c>
      <c r="K39" s="272">
        <f t="shared" si="2"/>
        <v>0</v>
      </c>
      <c r="L39" s="273"/>
      <c r="M39" s="273"/>
      <c r="N39" s="273"/>
    </row>
    <row r="40" ht="26.25" customHeight="1">
      <c r="A40" s="274"/>
      <c r="B40" s="264">
        <v>45670.0</v>
      </c>
      <c r="C40" s="265" t="s">
        <v>974</v>
      </c>
      <c r="D40" s="266" t="s">
        <v>57</v>
      </c>
      <c r="E40" s="267" t="s">
        <v>1009</v>
      </c>
      <c r="F40" s="268"/>
      <c r="G40" s="269">
        <v>40000.0</v>
      </c>
      <c r="H40" s="270">
        <v>0.0</v>
      </c>
      <c r="I40" s="269">
        <v>40000.0</v>
      </c>
      <c r="J40" s="271">
        <v>40000.0</v>
      </c>
      <c r="K40" s="272">
        <f t="shared" si="2"/>
        <v>0</v>
      </c>
      <c r="L40" s="273"/>
      <c r="M40" s="273"/>
      <c r="N40" s="273"/>
    </row>
    <row r="41" ht="26.25" customHeight="1">
      <c r="A41" s="263" t="s">
        <v>1010</v>
      </c>
      <c r="B41" s="264">
        <v>45670.0</v>
      </c>
      <c r="C41" s="275" t="s">
        <v>965</v>
      </c>
      <c r="D41" s="266" t="s">
        <v>57</v>
      </c>
      <c r="E41" s="267" t="s">
        <v>1011</v>
      </c>
      <c r="F41" s="268"/>
      <c r="G41" s="269">
        <v>31500.0</v>
      </c>
      <c r="H41" s="270">
        <v>0.0</v>
      </c>
      <c r="I41" s="269">
        <v>31500.0</v>
      </c>
      <c r="J41" s="271">
        <v>31500.0</v>
      </c>
      <c r="K41" s="272">
        <f t="shared" si="2"/>
        <v>0</v>
      </c>
      <c r="L41" s="273"/>
      <c r="M41" s="273"/>
      <c r="N41" s="273"/>
    </row>
    <row r="42" ht="26.25" customHeight="1">
      <c r="A42" s="263" t="s">
        <v>1012</v>
      </c>
      <c r="B42" s="264">
        <v>45671.0</v>
      </c>
      <c r="C42" s="265" t="s">
        <v>965</v>
      </c>
      <c r="D42" s="266" t="s">
        <v>57</v>
      </c>
      <c r="E42" s="267" t="s">
        <v>980</v>
      </c>
      <c r="F42" s="268"/>
      <c r="G42" s="269">
        <v>57000.0</v>
      </c>
      <c r="H42" s="270">
        <v>0.0</v>
      </c>
      <c r="I42" s="269">
        <v>57000.0</v>
      </c>
      <c r="J42" s="271">
        <v>57000.0</v>
      </c>
      <c r="K42" s="272">
        <f t="shared" si="2"/>
        <v>0</v>
      </c>
      <c r="L42" s="273"/>
      <c r="M42" s="273"/>
      <c r="N42" s="273"/>
    </row>
    <row r="43" ht="26.25" customHeight="1">
      <c r="A43" s="268"/>
      <c r="B43" s="264">
        <v>45671.0</v>
      </c>
      <c r="C43" s="265" t="s">
        <v>963</v>
      </c>
      <c r="D43" s="266" t="s">
        <v>57</v>
      </c>
      <c r="E43" s="267" t="s">
        <v>1013</v>
      </c>
      <c r="F43" s="268"/>
      <c r="G43" s="269">
        <v>30000.0</v>
      </c>
      <c r="H43" s="270">
        <v>0.0</v>
      </c>
      <c r="I43" s="269">
        <v>30000.0</v>
      </c>
      <c r="J43" s="271">
        <v>30000.0</v>
      </c>
      <c r="K43" s="272">
        <f t="shared" si="2"/>
        <v>0</v>
      </c>
      <c r="L43" s="273"/>
      <c r="M43" s="273"/>
      <c r="N43" s="273"/>
    </row>
    <row r="44" ht="26.25" customHeight="1">
      <c r="A44" s="268"/>
      <c r="B44" s="264">
        <v>45671.0</v>
      </c>
      <c r="C44" s="265" t="s">
        <v>995</v>
      </c>
      <c r="D44" s="266" t="s">
        <v>57</v>
      </c>
      <c r="E44" s="267" t="s">
        <v>1014</v>
      </c>
      <c r="F44" s="268"/>
      <c r="G44" s="269">
        <v>25000.0</v>
      </c>
      <c r="H44" s="270">
        <v>0.0</v>
      </c>
      <c r="I44" s="269">
        <v>25000.0</v>
      </c>
      <c r="J44" s="271">
        <v>25000.0</v>
      </c>
      <c r="K44" s="272">
        <f t="shared" si="2"/>
        <v>0</v>
      </c>
      <c r="L44" s="273"/>
      <c r="M44" s="273"/>
      <c r="N44" s="273"/>
    </row>
    <row r="45" ht="26.25" customHeight="1">
      <c r="A45" s="263" t="s">
        <v>1015</v>
      </c>
      <c r="B45" s="264">
        <v>45671.0</v>
      </c>
      <c r="C45" s="265" t="s">
        <v>965</v>
      </c>
      <c r="D45" s="266" t="s">
        <v>57</v>
      </c>
      <c r="E45" s="267" t="s">
        <v>1016</v>
      </c>
      <c r="F45" s="268"/>
      <c r="G45" s="269">
        <v>15000.0</v>
      </c>
      <c r="H45" s="270">
        <v>0.0</v>
      </c>
      <c r="I45" s="269">
        <v>15000.0</v>
      </c>
      <c r="J45" s="271">
        <v>15000.0</v>
      </c>
      <c r="K45" s="272">
        <f t="shared" si="2"/>
        <v>0</v>
      </c>
      <c r="L45" s="273"/>
      <c r="M45" s="273"/>
      <c r="N45" s="273"/>
    </row>
    <row r="46" ht="26.25" customHeight="1">
      <c r="A46" s="277" t="s">
        <v>1017</v>
      </c>
      <c r="B46" s="264">
        <v>45672.0</v>
      </c>
      <c r="C46" s="265" t="s">
        <v>972</v>
      </c>
      <c r="D46" s="266" t="s">
        <v>57</v>
      </c>
      <c r="E46" s="267" t="s">
        <v>1018</v>
      </c>
      <c r="F46" s="268"/>
      <c r="G46" s="269">
        <v>155000.0</v>
      </c>
      <c r="H46" s="270">
        <v>0.0</v>
      </c>
      <c r="I46" s="269">
        <v>155000.0</v>
      </c>
      <c r="J46" s="271">
        <v>155000.0</v>
      </c>
      <c r="K46" s="272">
        <f t="shared" si="2"/>
        <v>0</v>
      </c>
      <c r="L46" s="273"/>
      <c r="M46" s="273"/>
      <c r="N46" s="273"/>
    </row>
    <row r="47" ht="26.25" customHeight="1">
      <c r="A47" s="274"/>
      <c r="B47" s="264">
        <v>45672.0</v>
      </c>
      <c r="C47" s="265" t="s">
        <v>974</v>
      </c>
      <c r="D47" s="266" t="s">
        <v>57</v>
      </c>
      <c r="E47" s="267" t="s">
        <v>1019</v>
      </c>
      <c r="F47" s="268"/>
      <c r="G47" s="269">
        <v>65000.0</v>
      </c>
      <c r="H47" s="270">
        <v>0.0</v>
      </c>
      <c r="I47" s="269">
        <v>65000.0</v>
      </c>
      <c r="J47" s="271">
        <v>65000.0</v>
      </c>
      <c r="K47" s="272">
        <f t="shared" si="2"/>
        <v>0</v>
      </c>
      <c r="L47" s="273"/>
      <c r="M47" s="273"/>
      <c r="N47" s="273"/>
    </row>
    <row r="48" ht="26.25" customHeight="1">
      <c r="A48" s="263" t="s">
        <v>1020</v>
      </c>
      <c r="B48" s="264">
        <v>45672.0</v>
      </c>
      <c r="C48" s="275" t="s">
        <v>968</v>
      </c>
      <c r="D48" s="266" t="s">
        <v>1004</v>
      </c>
      <c r="E48" s="267" t="s">
        <v>1021</v>
      </c>
      <c r="F48" s="268"/>
      <c r="G48" s="269">
        <v>35000.0</v>
      </c>
      <c r="H48" s="270">
        <v>0.0</v>
      </c>
      <c r="I48" s="269">
        <v>35000.0</v>
      </c>
      <c r="J48" s="271">
        <v>35000.0</v>
      </c>
      <c r="K48" s="272">
        <f t="shared" si="2"/>
        <v>0</v>
      </c>
      <c r="L48" s="273"/>
      <c r="M48" s="273"/>
      <c r="N48" s="273"/>
    </row>
    <row r="49" ht="26.25" customHeight="1">
      <c r="A49" s="268"/>
      <c r="B49" s="264">
        <v>45673.0</v>
      </c>
      <c r="C49" s="265" t="s">
        <v>965</v>
      </c>
      <c r="D49" s="266" t="s">
        <v>57</v>
      </c>
      <c r="E49" s="267" t="s">
        <v>1022</v>
      </c>
      <c r="F49" s="268"/>
      <c r="G49" s="269">
        <v>75000.0</v>
      </c>
      <c r="H49" s="270">
        <v>0.0</v>
      </c>
      <c r="I49" s="269">
        <v>75000.0</v>
      </c>
      <c r="J49" s="271">
        <v>75000.0</v>
      </c>
      <c r="K49" s="272">
        <f t="shared" si="2"/>
        <v>0</v>
      </c>
      <c r="L49" s="273"/>
      <c r="M49" s="273"/>
      <c r="N49" s="273"/>
    </row>
    <row r="50" ht="26.25" customHeight="1">
      <c r="A50" s="268"/>
      <c r="B50" s="264">
        <v>45673.0</v>
      </c>
      <c r="C50" s="275" t="s">
        <v>974</v>
      </c>
      <c r="D50" s="266" t="s">
        <v>57</v>
      </c>
      <c r="E50" s="267" t="s">
        <v>1023</v>
      </c>
      <c r="F50" s="268"/>
      <c r="G50" s="269">
        <v>15000.0</v>
      </c>
      <c r="H50" s="270">
        <v>0.0</v>
      </c>
      <c r="I50" s="269">
        <v>15000.0</v>
      </c>
      <c r="J50" s="271">
        <v>15000.0</v>
      </c>
      <c r="K50" s="272">
        <f t="shared" si="2"/>
        <v>0</v>
      </c>
      <c r="L50" s="273"/>
      <c r="M50" s="273"/>
      <c r="N50" s="273"/>
    </row>
    <row r="51" ht="26.25" customHeight="1">
      <c r="A51" s="263" t="s">
        <v>1024</v>
      </c>
      <c r="B51" s="264">
        <v>45674.0</v>
      </c>
      <c r="C51" s="265" t="s">
        <v>968</v>
      </c>
      <c r="D51" s="266" t="s">
        <v>57</v>
      </c>
      <c r="E51" s="267" t="s">
        <v>1004</v>
      </c>
      <c r="F51" s="268"/>
      <c r="G51" s="269">
        <v>255000.0</v>
      </c>
      <c r="H51" s="270">
        <v>0.0</v>
      </c>
      <c r="I51" s="269">
        <v>255000.0</v>
      </c>
      <c r="J51" s="271">
        <v>255000.0</v>
      </c>
      <c r="K51" s="272">
        <f t="shared" si="2"/>
        <v>0</v>
      </c>
      <c r="L51" s="273"/>
      <c r="M51" s="273"/>
      <c r="N51" s="273"/>
    </row>
    <row r="52" ht="26.25" customHeight="1">
      <c r="A52" s="279" t="s">
        <v>1025</v>
      </c>
      <c r="B52" s="264">
        <v>45674.0</v>
      </c>
      <c r="C52" s="265" t="s">
        <v>995</v>
      </c>
      <c r="D52" s="266" t="s">
        <v>1026</v>
      </c>
      <c r="E52" s="267" t="s">
        <v>995</v>
      </c>
      <c r="F52" s="268"/>
      <c r="G52" s="269">
        <v>110000.0</v>
      </c>
      <c r="H52" s="270">
        <v>0.0</v>
      </c>
      <c r="I52" s="269">
        <v>110000.0</v>
      </c>
      <c r="J52" s="271">
        <v>110000.0</v>
      </c>
      <c r="K52" s="272">
        <f t="shared" si="2"/>
        <v>0</v>
      </c>
      <c r="L52" s="273"/>
      <c r="M52" s="273"/>
      <c r="N52" s="273"/>
    </row>
    <row r="53" ht="26.25" customHeight="1">
      <c r="A53" s="268"/>
      <c r="B53" s="264">
        <v>45675.0</v>
      </c>
      <c r="C53" s="265" t="s">
        <v>995</v>
      </c>
      <c r="D53" s="266" t="s">
        <v>57</v>
      </c>
      <c r="E53" s="267" t="s">
        <v>1027</v>
      </c>
      <c r="F53" s="268"/>
      <c r="G53" s="269">
        <v>5000.0</v>
      </c>
      <c r="H53" s="270">
        <v>0.0</v>
      </c>
      <c r="I53" s="269">
        <v>5000.0</v>
      </c>
      <c r="J53" s="271">
        <v>5000.0</v>
      </c>
      <c r="K53" s="272">
        <f t="shared" si="2"/>
        <v>0</v>
      </c>
      <c r="L53" s="273"/>
      <c r="M53" s="273"/>
      <c r="N53" s="273"/>
    </row>
    <row r="54" ht="26.25" customHeight="1">
      <c r="A54" s="277" t="s">
        <v>1028</v>
      </c>
      <c r="B54" s="264">
        <v>45676.0</v>
      </c>
      <c r="C54" s="265" t="s">
        <v>974</v>
      </c>
      <c r="D54" s="266" t="s">
        <v>1029</v>
      </c>
      <c r="E54" s="267" t="s">
        <v>1030</v>
      </c>
      <c r="F54" s="268"/>
      <c r="G54" s="269">
        <v>270000.0</v>
      </c>
      <c r="H54" s="270">
        <v>0.0</v>
      </c>
      <c r="I54" s="269">
        <v>270000.0</v>
      </c>
      <c r="J54" s="271">
        <v>270000.0</v>
      </c>
      <c r="K54" s="272">
        <f t="shared" si="2"/>
        <v>0</v>
      </c>
      <c r="L54" s="273"/>
      <c r="M54" s="273"/>
      <c r="N54" s="273"/>
    </row>
    <row r="55" ht="26.25" customHeight="1">
      <c r="A55" s="263" t="s">
        <v>1031</v>
      </c>
      <c r="B55" s="264">
        <v>45676.0</v>
      </c>
      <c r="C55" s="265" t="s">
        <v>968</v>
      </c>
      <c r="D55" s="266" t="s">
        <v>57</v>
      </c>
      <c r="E55" s="267" t="s">
        <v>1011</v>
      </c>
      <c r="F55" s="268"/>
      <c r="G55" s="269">
        <v>102000.0</v>
      </c>
      <c r="H55" s="270">
        <v>0.0</v>
      </c>
      <c r="I55" s="269">
        <v>102000.0</v>
      </c>
      <c r="J55" s="271">
        <v>102000.0</v>
      </c>
      <c r="K55" s="272">
        <f t="shared" si="2"/>
        <v>0</v>
      </c>
      <c r="L55" s="273"/>
      <c r="M55" s="273"/>
      <c r="N55" s="273"/>
    </row>
    <row r="56" ht="26.25" customHeight="1">
      <c r="A56" s="263" t="s">
        <v>1031</v>
      </c>
      <c r="B56" s="264">
        <v>45676.0</v>
      </c>
      <c r="C56" s="275" t="s">
        <v>974</v>
      </c>
      <c r="D56" s="266" t="s">
        <v>57</v>
      </c>
      <c r="E56" s="267" t="s">
        <v>1032</v>
      </c>
      <c r="F56" s="268"/>
      <c r="G56" s="269">
        <v>75000.0</v>
      </c>
      <c r="H56" s="270">
        <v>0.0</v>
      </c>
      <c r="I56" s="269">
        <v>75000.0</v>
      </c>
      <c r="J56" s="271">
        <v>75000.0</v>
      </c>
      <c r="K56" s="272">
        <f t="shared" si="2"/>
        <v>0</v>
      </c>
      <c r="L56" s="273"/>
      <c r="M56" s="273"/>
      <c r="N56" s="273"/>
    </row>
    <row r="57" ht="26.25" customHeight="1">
      <c r="A57" s="277" t="s">
        <v>1033</v>
      </c>
      <c r="B57" s="264">
        <v>45676.0</v>
      </c>
      <c r="C57" s="265" t="s">
        <v>965</v>
      </c>
      <c r="D57" s="266" t="s">
        <v>57</v>
      </c>
      <c r="E57" s="267" t="s">
        <v>1034</v>
      </c>
      <c r="F57" s="268"/>
      <c r="G57" s="269">
        <v>50000.0</v>
      </c>
      <c r="H57" s="270">
        <v>0.0</v>
      </c>
      <c r="I57" s="269">
        <v>50000.0</v>
      </c>
      <c r="J57" s="271">
        <v>50000.0</v>
      </c>
      <c r="K57" s="272">
        <f t="shared" si="2"/>
        <v>0</v>
      </c>
      <c r="L57" s="273"/>
      <c r="M57" s="273"/>
      <c r="N57" s="273"/>
    </row>
    <row r="58" ht="26.25" customHeight="1">
      <c r="A58" s="274"/>
      <c r="B58" s="264">
        <v>45676.0</v>
      </c>
      <c r="C58" s="265" t="s">
        <v>1035</v>
      </c>
      <c r="D58" s="266" t="s">
        <v>57</v>
      </c>
      <c r="E58" s="267" t="s">
        <v>1036</v>
      </c>
      <c r="F58" s="268"/>
      <c r="G58" s="269">
        <v>34000.0</v>
      </c>
      <c r="H58" s="270">
        <v>0.0</v>
      </c>
      <c r="I58" s="269">
        <v>34000.0</v>
      </c>
      <c r="J58" s="271">
        <v>34000.0</v>
      </c>
      <c r="K58" s="272">
        <f t="shared" si="2"/>
        <v>0</v>
      </c>
      <c r="L58" s="273"/>
      <c r="M58" s="273"/>
      <c r="N58" s="273"/>
    </row>
    <row r="59" ht="26.25" customHeight="1">
      <c r="A59" s="263" t="s">
        <v>1037</v>
      </c>
      <c r="B59" s="264">
        <v>45676.0</v>
      </c>
      <c r="C59" s="265" t="s">
        <v>965</v>
      </c>
      <c r="D59" s="266" t="s">
        <v>57</v>
      </c>
      <c r="E59" s="267" t="s">
        <v>1038</v>
      </c>
      <c r="F59" s="268"/>
      <c r="G59" s="269">
        <v>15000.0</v>
      </c>
      <c r="H59" s="270">
        <v>0.0</v>
      </c>
      <c r="I59" s="269">
        <v>15000.0</v>
      </c>
      <c r="J59" s="271">
        <v>15000.0</v>
      </c>
      <c r="K59" s="272">
        <f t="shared" si="2"/>
        <v>0</v>
      </c>
      <c r="L59" s="273"/>
      <c r="M59" s="273"/>
      <c r="N59" s="273"/>
    </row>
    <row r="60" ht="26.25" customHeight="1">
      <c r="A60" s="263" t="s">
        <v>1039</v>
      </c>
      <c r="B60" s="264">
        <v>45677.0</v>
      </c>
      <c r="C60" s="265" t="s">
        <v>1035</v>
      </c>
      <c r="D60" s="266" t="s">
        <v>1040</v>
      </c>
      <c r="E60" s="267" t="s">
        <v>1041</v>
      </c>
      <c r="F60" s="268"/>
      <c r="G60" s="269">
        <v>134000.0</v>
      </c>
      <c r="H60" s="270">
        <v>0.0</v>
      </c>
      <c r="I60" s="269">
        <v>134000.0</v>
      </c>
      <c r="J60" s="271">
        <v>134000.0</v>
      </c>
      <c r="K60" s="272">
        <f t="shared" si="2"/>
        <v>0</v>
      </c>
      <c r="L60" s="273"/>
      <c r="M60" s="273"/>
      <c r="N60" s="273"/>
    </row>
    <row r="61" ht="26.25" customHeight="1">
      <c r="A61" s="263" t="s">
        <v>1042</v>
      </c>
      <c r="B61" s="264">
        <v>45677.0</v>
      </c>
      <c r="C61" s="265" t="s">
        <v>1043</v>
      </c>
      <c r="D61" s="266" t="s">
        <v>57</v>
      </c>
      <c r="E61" s="267" t="s">
        <v>1044</v>
      </c>
      <c r="F61" s="268"/>
      <c r="G61" s="269">
        <v>120000.0</v>
      </c>
      <c r="H61" s="270">
        <v>0.0</v>
      </c>
      <c r="I61" s="269">
        <v>120000.0</v>
      </c>
      <c r="J61" s="271">
        <v>120000.0</v>
      </c>
      <c r="K61" s="272">
        <f t="shared" si="2"/>
        <v>0</v>
      </c>
      <c r="L61" s="273"/>
      <c r="M61" s="273"/>
      <c r="N61" s="273"/>
    </row>
    <row r="62" ht="26.25" customHeight="1">
      <c r="A62" s="274"/>
      <c r="B62" s="264">
        <v>45677.0</v>
      </c>
      <c r="C62" s="265" t="s">
        <v>1043</v>
      </c>
      <c r="D62" s="266" t="s">
        <v>57</v>
      </c>
      <c r="E62" s="267" t="s">
        <v>1045</v>
      </c>
      <c r="F62" s="268"/>
      <c r="G62" s="269">
        <v>110000.0</v>
      </c>
      <c r="H62" s="270">
        <v>0.0</v>
      </c>
      <c r="I62" s="269">
        <v>110000.0</v>
      </c>
      <c r="J62" s="271">
        <v>110000.0</v>
      </c>
      <c r="K62" s="272">
        <f t="shared" si="2"/>
        <v>0</v>
      </c>
      <c r="L62" s="273"/>
      <c r="M62" s="273"/>
      <c r="N62" s="273"/>
    </row>
    <row r="63" ht="26.25" customHeight="1">
      <c r="A63" s="277" t="s">
        <v>1046</v>
      </c>
      <c r="B63" s="264">
        <v>45677.0</v>
      </c>
      <c r="C63" s="265" t="s">
        <v>968</v>
      </c>
      <c r="D63" s="266" t="s">
        <v>1004</v>
      </c>
      <c r="E63" s="267" t="s">
        <v>1004</v>
      </c>
      <c r="F63" s="268"/>
      <c r="G63" s="269">
        <v>90000.0</v>
      </c>
      <c r="H63" s="270">
        <v>0.0</v>
      </c>
      <c r="I63" s="269">
        <v>90000.0</v>
      </c>
      <c r="J63" s="271">
        <v>90000.0</v>
      </c>
      <c r="K63" s="272">
        <f t="shared" si="2"/>
        <v>0</v>
      </c>
      <c r="L63" s="273"/>
      <c r="M63" s="273"/>
      <c r="N63" s="273"/>
    </row>
    <row r="64" ht="26.25" customHeight="1">
      <c r="A64" s="263" t="s">
        <v>1047</v>
      </c>
      <c r="B64" s="264">
        <v>45677.0</v>
      </c>
      <c r="C64" s="275" t="s">
        <v>1035</v>
      </c>
      <c r="D64" s="266" t="s">
        <v>57</v>
      </c>
      <c r="E64" s="267" t="s">
        <v>1040</v>
      </c>
      <c r="F64" s="268"/>
      <c r="G64" s="269">
        <v>82000.0</v>
      </c>
      <c r="H64" s="270">
        <v>0.0</v>
      </c>
      <c r="I64" s="269">
        <v>82000.0</v>
      </c>
      <c r="J64" s="271">
        <v>82000.0</v>
      </c>
      <c r="K64" s="272">
        <f t="shared" si="2"/>
        <v>0</v>
      </c>
      <c r="L64" s="273"/>
      <c r="M64" s="273"/>
      <c r="N64" s="273"/>
    </row>
    <row r="65" ht="26.25" customHeight="1">
      <c r="A65" s="268"/>
      <c r="B65" s="264">
        <v>45677.0</v>
      </c>
      <c r="C65" s="275" t="s">
        <v>974</v>
      </c>
      <c r="D65" s="266" t="s">
        <v>57</v>
      </c>
      <c r="E65" s="267" t="s">
        <v>1048</v>
      </c>
      <c r="F65" s="268"/>
      <c r="G65" s="269">
        <v>75000.0</v>
      </c>
      <c r="H65" s="270">
        <v>0.0</v>
      </c>
      <c r="I65" s="269">
        <v>75000.0</v>
      </c>
      <c r="J65" s="271">
        <v>75000.0</v>
      </c>
      <c r="K65" s="272">
        <f t="shared" si="2"/>
        <v>0</v>
      </c>
      <c r="L65" s="273"/>
      <c r="M65" s="273"/>
      <c r="N65" s="273"/>
    </row>
    <row r="66" ht="26.25" customHeight="1">
      <c r="A66" s="263" t="s">
        <v>1049</v>
      </c>
      <c r="B66" s="264">
        <v>45677.0</v>
      </c>
      <c r="C66" s="275" t="s">
        <v>957</v>
      </c>
      <c r="D66" s="266" t="s">
        <v>57</v>
      </c>
      <c r="E66" s="267" t="s">
        <v>1050</v>
      </c>
      <c r="F66" s="268"/>
      <c r="G66" s="269">
        <v>25000.0</v>
      </c>
      <c r="H66" s="270">
        <v>0.0</v>
      </c>
      <c r="I66" s="269">
        <v>25000.0</v>
      </c>
      <c r="J66" s="271">
        <v>25000.0</v>
      </c>
      <c r="K66" s="272">
        <f t="shared" si="2"/>
        <v>0</v>
      </c>
      <c r="L66" s="273"/>
      <c r="M66" s="273"/>
      <c r="N66" s="273"/>
    </row>
    <row r="67" ht="26.25" customHeight="1">
      <c r="A67" s="263" t="s">
        <v>1051</v>
      </c>
      <c r="B67" s="264">
        <v>45678.0</v>
      </c>
      <c r="C67" s="265" t="s">
        <v>965</v>
      </c>
      <c r="D67" s="266" t="s">
        <v>57</v>
      </c>
      <c r="E67" s="267" t="s">
        <v>980</v>
      </c>
      <c r="F67" s="268"/>
      <c r="G67" s="269">
        <v>76000.0</v>
      </c>
      <c r="H67" s="270">
        <v>0.0</v>
      </c>
      <c r="I67" s="269">
        <v>76000.0</v>
      </c>
      <c r="J67" s="271">
        <v>76000.0</v>
      </c>
      <c r="K67" s="272">
        <f t="shared" si="2"/>
        <v>0</v>
      </c>
      <c r="L67" s="273"/>
      <c r="M67" s="273"/>
      <c r="N67" s="273"/>
    </row>
    <row r="68" ht="26.25" customHeight="1">
      <c r="A68" s="263" t="s">
        <v>1052</v>
      </c>
      <c r="B68" s="264">
        <v>45679.0</v>
      </c>
      <c r="C68" s="265" t="s">
        <v>968</v>
      </c>
      <c r="D68" s="266" t="s">
        <v>1011</v>
      </c>
      <c r="E68" s="267" t="s">
        <v>1053</v>
      </c>
      <c r="F68" s="268"/>
      <c r="G68" s="269">
        <v>51000.0</v>
      </c>
      <c r="H68" s="270">
        <v>0.0</v>
      </c>
      <c r="I68" s="269">
        <v>51000.0</v>
      </c>
      <c r="J68" s="271">
        <v>51000.0</v>
      </c>
      <c r="K68" s="272">
        <f t="shared" si="2"/>
        <v>0</v>
      </c>
      <c r="L68" s="273"/>
      <c r="M68" s="273"/>
      <c r="N68" s="273"/>
    </row>
    <row r="69" ht="26.25" customHeight="1">
      <c r="A69" s="277" t="s">
        <v>1054</v>
      </c>
      <c r="B69" s="264">
        <v>45679.0</v>
      </c>
      <c r="C69" s="265" t="s">
        <v>960</v>
      </c>
      <c r="D69" s="266" t="s">
        <v>1011</v>
      </c>
      <c r="E69" s="267" t="s">
        <v>1055</v>
      </c>
      <c r="F69" s="268"/>
      <c r="G69" s="269">
        <v>16000.0</v>
      </c>
      <c r="H69" s="270">
        <v>0.0</v>
      </c>
      <c r="I69" s="269">
        <v>16000.0</v>
      </c>
      <c r="J69" s="271">
        <v>16000.0</v>
      </c>
      <c r="K69" s="272">
        <f t="shared" si="2"/>
        <v>0</v>
      </c>
      <c r="L69" s="273"/>
      <c r="M69" s="273"/>
      <c r="N69" s="273"/>
    </row>
    <row r="70" ht="26.25" customHeight="1">
      <c r="A70" s="277" t="s">
        <v>1056</v>
      </c>
      <c r="B70" s="264">
        <v>45680.0</v>
      </c>
      <c r="C70" s="265" t="s">
        <v>1057</v>
      </c>
      <c r="D70" s="266" t="s">
        <v>57</v>
      </c>
      <c r="E70" s="267" t="s">
        <v>1058</v>
      </c>
      <c r="F70" s="268"/>
      <c r="G70" s="269">
        <v>297000.0</v>
      </c>
      <c r="H70" s="270">
        <v>0.0</v>
      </c>
      <c r="I70" s="269">
        <v>297000.0</v>
      </c>
      <c r="J70" s="271">
        <v>297000.0</v>
      </c>
      <c r="K70" s="272">
        <f t="shared" si="2"/>
        <v>0</v>
      </c>
      <c r="L70" s="273"/>
      <c r="M70" s="273"/>
      <c r="N70" s="273"/>
    </row>
    <row r="71" ht="26.25" customHeight="1">
      <c r="A71" s="263" t="s">
        <v>1059</v>
      </c>
      <c r="B71" s="264">
        <v>45680.0</v>
      </c>
      <c r="C71" s="275" t="s">
        <v>972</v>
      </c>
      <c r="D71" s="266" t="s">
        <v>57</v>
      </c>
      <c r="E71" s="267" t="s">
        <v>1060</v>
      </c>
      <c r="F71" s="268"/>
      <c r="G71" s="269">
        <v>181000.0</v>
      </c>
      <c r="H71" s="270">
        <v>0.0</v>
      </c>
      <c r="I71" s="269">
        <v>181000.0</v>
      </c>
      <c r="J71" s="271">
        <v>181000.0</v>
      </c>
      <c r="K71" s="272">
        <f t="shared" si="2"/>
        <v>0</v>
      </c>
      <c r="L71" s="273"/>
      <c r="M71" s="273"/>
      <c r="N71" s="273"/>
    </row>
    <row r="72" ht="26.25" customHeight="1">
      <c r="A72" s="263" t="s">
        <v>1061</v>
      </c>
      <c r="B72" s="264">
        <v>45680.0</v>
      </c>
      <c r="C72" s="275" t="s">
        <v>965</v>
      </c>
      <c r="D72" s="266" t="s">
        <v>57</v>
      </c>
      <c r="E72" s="267" t="s">
        <v>980</v>
      </c>
      <c r="F72" s="268"/>
      <c r="G72" s="269">
        <v>97000.0</v>
      </c>
      <c r="H72" s="270">
        <v>0.0</v>
      </c>
      <c r="I72" s="269">
        <v>97000.0</v>
      </c>
      <c r="J72" s="271">
        <v>97000.0</v>
      </c>
      <c r="K72" s="272">
        <f t="shared" si="2"/>
        <v>0</v>
      </c>
      <c r="L72" s="273"/>
      <c r="M72" s="273"/>
      <c r="N72" s="273"/>
    </row>
    <row r="73" ht="26.25" customHeight="1">
      <c r="A73" s="268"/>
      <c r="B73" s="264">
        <v>45680.0</v>
      </c>
      <c r="C73" s="275" t="s">
        <v>965</v>
      </c>
      <c r="D73" s="266" t="s">
        <v>57</v>
      </c>
      <c r="E73" s="267" t="s">
        <v>966</v>
      </c>
      <c r="F73" s="268"/>
      <c r="G73" s="269">
        <v>25000.0</v>
      </c>
      <c r="H73" s="270">
        <v>0.0</v>
      </c>
      <c r="I73" s="269">
        <v>25000.0</v>
      </c>
      <c r="J73" s="271">
        <v>25000.0</v>
      </c>
      <c r="K73" s="272">
        <f t="shared" si="2"/>
        <v>0</v>
      </c>
      <c r="L73" s="273"/>
      <c r="M73" s="273"/>
      <c r="N73" s="273"/>
    </row>
    <row r="74" ht="26.25" customHeight="1">
      <c r="A74" s="263" t="s">
        <v>1062</v>
      </c>
      <c r="B74" s="264">
        <v>45681.0</v>
      </c>
      <c r="C74" s="275" t="s">
        <v>965</v>
      </c>
      <c r="D74" s="266" t="s">
        <v>57</v>
      </c>
      <c r="E74" s="267" t="s">
        <v>980</v>
      </c>
      <c r="F74" s="268"/>
      <c r="G74" s="269">
        <v>140000.0</v>
      </c>
      <c r="H74" s="270">
        <v>0.0</v>
      </c>
      <c r="I74" s="269">
        <v>140000.0</v>
      </c>
      <c r="J74" s="271">
        <v>140000.0</v>
      </c>
      <c r="K74" s="272">
        <f t="shared" si="2"/>
        <v>0</v>
      </c>
      <c r="L74" s="273"/>
      <c r="M74" s="273"/>
      <c r="N74" s="273"/>
    </row>
    <row r="75" ht="26.25" customHeight="1">
      <c r="A75" s="263" t="s">
        <v>1063</v>
      </c>
      <c r="B75" s="264">
        <v>45681.0</v>
      </c>
      <c r="C75" s="265" t="s">
        <v>1035</v>
      </c>
      <c r="D75" s="266" t="s">
        <v>57</v>
      </c>
      <c r="E75" s="267" t="s">
        <v>1064</v>
      </c>
      <c r="F75" s="268"/>
      <c r="G75" s="269">
        <v>124000.0</v>
      </c>
      <c r="H75" s="270">
        <v>0.0</v>
      </c>
      <c r="I75" s="269">
        <v>124000.0</v>
      </c>
      <c r="J75" s="271">
        <v>124000.0</v>
      </c>
      <c r="K75" s="272">
        <f t="shared" si="2"/>
        <v>0</v>
      </c>
      <c r="L75" s="273"/>
      <c r="M75" s="273"/>
      <c r="N75" s="273"/>
    </row>
    <row r="76" ht="26.25" customHeight="1">
      <c r="A76" s="268"/>
      <c r="B76" s="264">
        <v>45681.0</v>
      </c>
      <c r="C76" s="275" t="s">
        <v>995</v>
      </c>
      <c r="D76" s="266" t="s">
        <v>57</v>
      </c>
      <c r="E76" s="267" t="s">
        <v>1065</v>
      </c>
      <c r="F76" s="268"/>
      <c r="G76" s="269">
        <v>50000.0</v>
      </c>
      <c r="H76" s="270">
        <v>0.0</v>
      </c>
      <c r="I76" s="269">
        <v>50000.0</v>
      </c>
      <c r="J76" s="271">
        <v>50000.0</v>
      </c>
      <c r="K76" s="272">
        <f t="shared" si="2"/>
        <v>0</v>
      </c>
      <c r="L76" s="273"/>
      <c r="M76" s="273"/>
      <c r="N76" s="273"/>
    </row>
    <row r="77" ht="26.25" customHeight="1">
      <c r="A77" s="277" t="s">
        <v>1066</v>
      </c>
      <c r="B77" s="264">
        <v>45681.0</v>
      </c>
      <c r="C77" s="265" t="s">
        <v>960</v>
      </c>
      <c r="D77" s="266" t="s">
        <v>57</v>
      </c>
      <c r="E77" s="267" t="s">
        <v>1067</v>
      </c>
      <c r="F77" s="268"/>
      <c r="G77" s="269">
        <v>38750.0</v>
      </c>
      <c r="H77" s="270">
        <v>0.0</v>
      </c>
      <c r="I77" s="269">
        <v>38750.0</v>
      </c>
      <c r="J77" s="271">
        <v>38750.0</v>
      </c>
      <c r="K77" s="272">
        <f t="shared" si="2"/>
        <v>0</v>
      </c>
      <c r="L77" s="273"/>
      <c r="M77" s="273"/>
      <c r="N77" s="273"/>
    </row>
    <row r="78" ht="26.25" customHeight="1">
      <c r="A78" s="277" t="s">
        <v>1068</v>
      </c>
      <c r="B78" s="264">
        <v>45681.0</v>
      </c>
      <c r="C78" s="265" t="s">
        <v>995</v>
      </c>
      <c r="D78" s="266" t="s">
        <v>1069</v>
      </c>
      <c r="E78" s="267" t="s">
        <v>1070</v>
      </c>
      <c r="F78" s="268"/>
      <c r="G78" s="269">
        <v>35000.0</v>
      </c>
      <c r="H78" s="270">
        <v>0.0</v>
      </c>
      <c r="I78" s="269">
        <v>35000.0</v>
      </c>
      <c r="J78" s="271">
        <v>35000.0</v>
      </c>
      <c r="K78" s="272">
        <f t="shared" si="2"/>
        <v>0</v>
      </c>
      <c r="L78" s="273"/>
      <c r="M78" s="273"/>
      <c r="N78" s="273"/>
    </row>
    <row r="79" ht="26.25" customHeight="1">
      <c r="A79" s="268"/>
      <c r="B79" s="264">
        <v>45681.0</v>
      </c>
      <c r="C79" s="265" t="s">
        <v>965</v>
      </c>
      <c r="D79" s="266" t="s">
        <v>57</v>
      </c>
      <c r="E79" s="267" t="s">
        <v>1071</v>
      </c>
      <c r="F79" s="268"/>
      <c r="G79" s="269">
        <v>25000.0</v>
      </c>
      <c r="H79" s="270">
        <v>0.0</v>
      </c>
      <c r="I79" s="269">
        <v>25000.0</v>
      </c>
      <c r="J79" s="271">
        <v>25000.0</v>
      </c>
      <c r="K79" s="272">
        <f t="shared" si="2"/>
        <v>0</v>
      </c>
      <c r="L79" s="273"/>
      <c r="M79" s="273"/>
      <c r="N79" s="273"/>
    </row>
    <row r="80" ht="26.25" customHeight="1">
      <c r="A80" s="274"/>
      <c r="B80" s="264">
        <v>45681.0</v>
      </c>
      <c r="C80" s="265" t="s">
        <v>957</v>
      </c>
      <c r="D80" s="266" t="s">
        <v>57</v>
      </c>
      <c r="E80" s="267" t="s">
        <v>1072</v>
      </c>
      <c r="F80" s="268"/>
      <c r="G80" s="269">
        <v>25000.0</v>
      </c>
      <c r="H80" s="270">
        <v>0.0</v>
      </c>
      <c r="I80" s="269">
        <v>25000.0</v>
      </c>
      <c r="J80" s="271">
        <v>25000.0</v>
      </c>
      <c r="K80" s="272">
        <f t="shared" si="2"/>
        <v>0</v>
      </c>
      <c r="L80" s="273"/>
      <c r="M80" s="273"/>
      <c r="N80" s="273"/>
    </row>
    <row r="81" ht="26.25" customHeight="1">
      <c r="A81" s="274"/>
      <c r="B81" s="264">
        <v>45681.0</v>
      </c>
      <c r="C81" s="265" t="s">
        <v>974</v>
      </c>
      <c r="D81" s="266" t="s">
        <v>57</v>
      </c>
      <c r="E81" s="267" t="s">
        <v>1073</v>
      </c>
      <c r="F81" s="268"/>
      <c r="G81" s="269">
        <v>20000.0</v>
      </c>
      <c r="H81" s="270">
        <v>0.0</v>
      </c>
      <c r="I81" s="269">
        <v>20000.0</v>
      </c>
      <c r="J81" s="271">
        <v>20000.0</v>
      </c>
      <c r="K81" s="272">
        <f t="shared" si="2"/>
        <v>0</v>
      </c>
      <c r="L81" s="273"/>
      <c r="M81" s="273"/>
      <c r="N81" s="273"/>
    </row>
    <row r="82" ht="26.25" customHeight="1">
      <c r="A82" s="274"/>
      <c r="B82" s="264">
        <v>45681.0</v>
      </c>
      <c r="C82" s="265" t="s">
        <v>957</v>
      </c>
      <c r="D82" s="266" t="s">
        <v>1074</v>
      </c>
      <c r="E82" s="267" t="s">
        <v>1074</v>
      </c>
      <c r="F82" s="268"/>
      <c r="G82" s="269">
        <v>15000.0</v>
      </c>
      <c r="H82" s="270">
        <v>0.0</v>
      </c>
      <c r="I82" s="269">
        <v>15000.0</v>
      </c>
      <c r="J82" s="271">
        <v>15000.0</v>
      </c>
      <c r="K82" s="272">
        <f t="shared" si="2"/>
        <v>0</v>
      </c>
      <c r="L82" s="273"/>
      <c r="M82" s="273"/>
      <c r="N82" s="273"/>
    </row>
    <row r="83" ht="26.25" customHeight="1">
      <c r="A83" s="274"/>
      <c r="B83" s="264">
        <v>45681.0</v>
      </c>
      <c r="C83" s="265" t="s">
        <v>974</v>
      </c>
      <c r="D83" s="266" t="s">
        <v>57</v>
      </c>
      <c r="E83" s="267" t="s">
        <v>1075</v>
      </c>
      <c r="F83" s="268"/>
      <c r="G83" s="269">
        <v>10000.0</v>
      </c>
      <c r="H83" s="270">
        <v>0.0</v>
      </c>
      <c r="I83" s="269">
        <v>10000.0</v>
      </c>
      <c r="J83" s="271">
        <v>10000.0</v>
      </c>
      <c r="K83" s="272">
        <f t="shared" si="2"/>
        <v>0</v>
      </c>
      <c r="L83" s="273"/>
      <c r="M83" s="273"/>
      <c r="N83" s="273"/>
    </row>
    <row r="84" ht="26.25" customHeight="1">
      <c r="A84" s="277" t="s">
        <v>1076</v>
      </c>
      <c r="B84" s="264">
        <v>45681.0</v>
      </c>
      <c r="C84" s="265" t="s">
        <v>995</v>
      </c>
      <c r="D84" s="266" t="s">
        <v>57</v>
      </c>
      <c r="E84" s="267" t="s">
        <v>1077</v>
      </c>
      <c r="F84" s="268"/>
      <c r="G84" s="269">
        <v>10000.0</v>
      </c>
      <c r="H84" s="270">
        <v>0.0</v>
      </c>
      <c r="I84" s="269">
        <v>10000.0</v>
      </c>
      <c r="J84" s="271">
        <v>10000.0</v>
      </c>
      <c r="K84" s="272">
        <f t="shared" si="2"/>
        <v>0</v>
      </c>
      <c r="L84" s="273"/>
      <c r="M84" s="273"/>
      <c r="N84" s="273"/>
    </row>
    <row r="85" ht="26.25" customHeight="1">
      <c r="A85" s="277" t="s">
        <v>1078</v>
      </c>
      <c r="B85" s="264">
        <v>45682.0</v>
      </c>
      <c r="C85" s="265" t="s">
        <v>972</v>
      </c>
      <c r="D85" s="266" t="s">
        <v>57</v>
      </c>
      <c r="E85" s="267" t="s">
        <v>1018</v>
      </c>
      <c r="F85" s="268"/>
      <c r="G85" s="269">
        <v>250000.0</v>
      </c>
      <c r="H85" s="270">
        <v>0.0</v>
      </c>
      <c r="I85" s="269">
        <v>250000.0</v>
      </c>
      <c r="J85" s="271">
        <v>250000.0</v>
      </c>
      <c r="K85" s="272">
        <f t="shared" si="2"/>
        <v>0</v>
      </c>
      <c r="L85" s="273"/>
      <c r="M85" s="273"/>
      <c r="N85" s="273"/>
    </row>
    <row r="86" ht="26.25" customHeight="1">
      <c r="A86" s="268"/>
      <c r="B86" s="264">
        <v>45682.0</v>
      </c>
      <c r="C86" s="265" t="s">
        <v>957</v>
      </c>
      <c r="D86" s="266" t="s">
        <v>57</v>
      </c>
      <c r="E86" s="267" t="s">
        <v>1079</v>
      </c>
      <c r="F86" s="268"/>
      <c r="G86" s="269">
        <v>120000.0</v>
      </c>
      <c r="H86" s="270">
        <v>0.0</v>
      </c>
      <c r="I86" s="269">
        <v>120000.0</v>
      </c>
      <c r="J86" s="271">
        <v>120000.0</v>
      </c>
      <c r="K86" s="272">
        <f t="shared" si="2"/>
        <v>0</v>
      </c>
      <c r="L86" s="273"/>
      <c r="M86" s="273"/>
      <c r="N86" s="273"/>
    </row>
    <row r="87" ht="26.25" customHeight="1">
      <c r="A87" s="277" t="s">
        <v>1080</v>
      </c>
      <c r="B87" s="264">
        <v>45682.0</v>
      </c>
      <c r="C87" s="265" t="s">
        <v>974</v>
      </c>
      <c r="D87" s="266" t="s">
        <v>57</v>
      </c>
      <c r="E87" s="267" t="s">
        <v>1081</v>
      </c>
      <c r="F87" s="268"/>
      <c r="G87" s="269">
        <v>19000.0</v>
      </c>
      <c r="H87" s="270">
        <v>0.0</v>
      </c>
      <c r="I87" s="269">
        <v>19000.0</v>
      </c>
      <c r="J87" s="271">
        <v>19000.0</v>
      </c>
      <c r="K87" s="272">
        <f t="shared" si="2"/>
        <v>0</v>
      </c>
      <c r="L87" s="273"/>
      <c r="M87" s="273"/>
      <c r="N87" s="273"/>
    </row>
    <row r="88" ht="26.25" customHeight="1">
      <c r="A88" s="263" t="s">
        <v>1080</v>
      </c>
      <c r="B88" s="264">
        <v>45682.0</v>
      </c>
      <c r="C88" s="265" t="s">
        <v>1035</v>
      </c>
      <c r="D88" s="266" t="s">
        <v>57</v>
      </c>
      <c r="E88" s="267" t="s">
        <v>1082</v>
      </c>
      <c r="F88" s="268"/>
      <c r="G88" s="269">
        <v>15000.0</v>
      </c>
      <c r="H88" s="270">
        <v>0.0</v>
      </c>
      <c r="I88" s="269">
        <v>15000.0</v>
      </c>
      <c r="J88" s="271">
        <v>15000.0</v>
      </c>
      <c r="K88" s="272">
        <f t="shared" si="2"/>
        <v>0</v>
      </c>
      <c r="L88" s="273"/>
      <c r="M88" s="273"/>
      <c r="N88" s="273"/>
    </row>
    <row r="89" ht="26.25" customHeight="1">
      <c r="A89" s="274"/>
      <c r="B89" s="264">
        <v>45685.0</v>
      </c>
      <c r="C89" s="265" t="s">
        <v>974</v>
      </c>
      <c r="D89" s="266" t="s">
        <v>1083</v>
      </c>
      <c r="E89" s="267" t="s">
        <v>1084</v>
      </c>
      <c r="F89" s="268"/>
      <c r="G89" s="269">
        <v>200000.0</v>
      </c>
      <c r="H89" s="270">
        <v>0.0</v>
      </c>
      <c r="I89" s="269">
        <v>200000.0</v>
      </c>
      <c r="J89" s="271">
        <v>200000.0</v>
      </c>
      <c r="K89" s="272">
        <f t="shared" si="2"/>
        <v>0</v>
      </c>
      <c r="L89" s="273"/>
      <c r="M89" s="273"/>
      <c r="N89" s="273"/>
    </row>
    <row r="90" ht="26.25" customHeight="1">
      <c r="A90" s="277" t="s">
        <v>1085</v>
      </c>
      <c r="B90" s="264">
        <v>45685.0</v>
      </c>
      <c r="C90" s="265" t="s">
        <v>972</v>
      </c>
      <c r="D90" s="266" t="s">
        <v>57</v>
      </c>
      <c r="E90" s="267" t="s">
        <v>1018</v>
      </c>
      <c r="F90" s="268"/>
      <c r="G90" s="269">
        <v>155000.0</v>
      </c>
      <c r="H90" s="270">
        <v>0.0</v>
      </c>
      <c r="I90" s="269">
        <v>155000.0</v>
      </c>
      <c r="J90" s="271">
        <v>155000.0</v>
      </c>
      <c r="K90" s="272">
        <f t="shared" si="2"/>
        <v>0</v>
      </c>
      <c r="L90" s="273"/>
      <c r="M90" s="273"/>
      <c r="N90" s="273"/>
    </row>
    <row r="91" ht="26.25" customHeight="1">
      <c r="A91" s="274"/>
      <c r="B91" s="264">
        <v>45685.0</v>
      </c>
      <c r="C91" s="265" t="s">
        <v>974</v>
      </c>
      <c r="D91" s="266" t="s">
        <v>57</v>
      </c>
      <c r="E91" s="267" t="s">
        <v>1086</v>
      </c>
      <c r="F91" s="268"/>
      <c r="G91" s="269">
        <v>5000.0</v>
      </c>
      <c r="H91" s="270">
        <v>0.0</v>
      </c>
      <c r="I91" s="269">
        <v>5000.0</v>
      </c>
      <c r="J91" s="271">
        <v>5000.0</v>
      </c>
      <c r="K91" s="272">
        <f t="shared" si="2"/>
        <v>0</v>
      </c>
      <c r="L91" s="273"/>
      <c r="M91" s="273"/>
      <c r="N91" s="273"/>
    </row>
    <row r="92" ht="26.25" customHeight="1">
      <c r="A92" s="277" t="s">
        <v>1087</v>
      </c>
      <c r="B92" s="264">
        <v>45686.0</v>
      </c>
      <c r="C92" s="265" t="s">
        <v>965</v>
      </c>
      <c r="D92" s="266" t="s">
        <v>57</v>
      </c>
      <c r="E92" s="267" t="s">
        <v>980</v>
      </c>
      <c r="F92" s="268"/>
      <c r="G92" s="269">
        <v>318000.0</v>
      </c>
      <c r="H92" s="270">
        <v>0.0</v>
      </c>
      <c r="I92" s="269">
        <v>318000.0</v>
      </c>
      <c r="J92" s="271">
        <v>318000.0</v>
      </c>
      <c r="K92" s="272">
        <f t="shared" si="2"/>
        <v>0</v>
      </c>
      <c r="L92" s="273"/>
      <c r="M92" s="273"/>
      <c r="N92" s="273"/>
    </row>
    <row r="93" ht="26.25" customHeight="1">
      <c r="A93" s="268"/>
      <c r="B93" s="264">
        <v>45686.0</v>
      </c>
      <c r="C93" s="275" t="s">
        <v>1088</v>
      </c>
      <c r="D93" s="266" t="s">
        <v>57</v>
      </c>
      <c r="E93" s="267" t="s">
        <v>1089</v>
      </c>
      <c r="F93" s="268"/>
      <c r="G93" s="269">
        <v>150000.0</v>
      </c>
      <c r="H93" s="270">
        <v>0.0</v>
      </c>
      <c r="I93" s="269">
        <v>150000.0</v>
      </c>
      <c r="J93" s="271">
        <v>150000.0</v>
      </c>
      <c r="K93" s="272">
        <f t="shared" si="2"/>
        <v>0</v>
      </c>
      <c r="L93" s="273"/>
      <c r="M93" s="273"/>
      <c r="N93" s="273"/>
    </row>
    <row r="94" ht="26.25" customHeight="1">
      <c r="A94" s="263" t="s">
        <v>1090</v>
      </c>
      <c r="B94" s="264">
        <v>45686.0</v>
      </c>
      <c r="C94" s="265" t="s">
        <v>965</v>
      </c>
      <c r="D94" s="266" t="s">
        <v>57</v>
      </c>
      <c r="E94" s="267" t="s">
        <v>1091</v>
      </c>
      <c r="F94" s="268"/>
      <c r="G94" s="269">
        <v>95000.0</v>
      </c>
      <c r="H94" s="270">
        <v>0.0</v>
      </c>
      <c r="I94" s="269">
        <v>95000.0</v>
      </c>
      <c r="J94" s="271">
        <v>95000.0</v>
      </c>
      <c r="K94" s="272">
        <f t="shared" si="2"/>
        <v>0</v>
      </c>
      <c r="L94" s="273"/>
      <c r="M94" s="273"/>
      <c r="N94" s="273"/>
    </row>
    <row r="95" ht="26.25" customHeight="1">
      <c r="A95" s="274"/>
      <c r="B95" s="264">
        <v>45686.0</v>
      </c>
      <c r="C95" s="265" t="s">
        <v>965</v>
      </c>
      <c r="D95" s="266" t="s">
        <v>57</v>
      </c>
      <c r="E95" s="267" t="s">
        <v>1092</v>
      </c>
      <c r="F95" s="268"/>
      <c r="G95" s="269">
        <v>60000.0</v>
      </c>
      <c r="H95" s="270">
        <v>0.0</v>
      </c>
      <c r="I95" s="269">
        <v>60000.0</v>
      </c>
      <c r="J95" s="271">
        <v>60000.0</v>
      </c>
      <c r="K95" s="272">
        <f t="shared" si="2"/>
        <v>0</v>
      </c>
      <c r="L95" s="273"/>
      <c r="M95" s="273"/>
      <c r="N95" s="273"/>
    </row>
    <row r="96" ht="26.25" customHeight="1">
      <c r="A96" s="268"/>
      <c r="B96" s="264">
        <v>45686.0</v>
      </c>
      <c r="C96" s="265" t="s">
        <v>965</v>
      </c>
      <c r="D96" s="266" t="s">
        <v>57</v>
      </c>
      <c r="E96" s="267" t="s">
        <v>734</v>
      </c>
      <c r="F96" s="268"/>
      <c r="G96" s="269">
        <v>55000.0</v>
      </c>
      <c r="H96" s="270">
        <v>0.0</v>
      </c>
      <c r="I96" s="269">
        <v>55000.0</v>
      </c>
      <c r="J96" s="271">
        <v>55000.0</v>
      </c>
      <c r="K96" s="272">
        <f t="shared" si="2"/>
        <v>0</v>
      </c>
      <c r="L96" s="273"/>
      <c r="M96" s="273"/>
      <c r="N96" s="273"/>
    </row>
    <row r="97" ht="26.25" customHeight="1">
      <c r="A97" s="274"/>
      <c r="B97" s="264">
        <v>45686.0</v>
      </c>
      <c r="C97" s="265" t="s">
        <v>974</v>
      </c>
      <c r="D97" s="266" t="s">
        <v>57</v>
      </c>
      <c r="E97" s="267" t="s">
        <v>1093</v>
      </c>
      <c r="F97" s="268"/>
      <c r="G97" s="269">
        <v>25000.0</v>
      </c>
      <c r="H97" s="270">
        <v>0.0</v>
      </c>
      <c r="I97" s="269">
        <v>25000.0</v>
      </c>
      <c r="J97" s="271">
        <v>25000.0</v>
      </c>
      <c r="K97" s="272">
        <f t="shared" si="2"/>
        <v>0</v>
      </c>
      <c r="L97" s="273"/>
      <c r="M97" s="273"/>
      <c r="N97" s="273"/>
    </row>
    <row r="98" ht="26.25" customHeight="1">
      <c r="A98" s="274"/>
      <c r="B98" s="264">
        <v>45686.0</v>
      </c>
      <c r="C98" s="265" t="s">
        <v>974</v>
      </c>
      <c r="D98" s="266" t="s">
        <v>57</v>
      </c>
      <c r="E98" s="267" t="s">
        <v>1094</v>
      </c>
      <c r="F98" s="268"/>
      <c r="G98" s="269">
        <v>10000.0</v>
      </c>
      <c r="H98" s="270">
        <v>0.0</v>
      </c>
      <c r="I98" s="269">
        <v>10000.0</v>
      </c>
      <c r="J98" s="271">
        <v>10000.0</v>
      </c>
      <c r="K98" s="272">
        <f t="shared" si="2"/>
        <v>0</v>
      </c>
      <c r="L98" s="273"/>
      <c r="M98" s="273"/>
      <c r="N98" s="273"/>
    </row>
    <row r="99" ht="26.25" customHeight="1">
      <c r="A99" s="268"/>
      <c r="B99" s="264">
        <v>45686.0</v>
      </c>
      <c r="C99" s="275" t="s">
        <v>974</v>
      </c>
      <c r="D99" s="266" t="s">
        <v>57</v>
      </c>
      <c r="E99" s="267" t="s">
        <v>1094</v>
      </c>
      <c r="F99" s="268"/>
      <c r="G99" s="269">
        <v>10000.0</v>
      </c>
      <c r="H99" s="270">
        <v>0.0</v>
      </c>
      <c r="I99" s="269">
        <v>10000.0</v>
      </c>
      <c r="J99" s="271">
        <v>10000.0</v>
      </c>
      <c r="K99" s="272">
        <f t="shared" si="2"/>
        <v>0</v>
      </c>
      <c r="L99" s="273"/>
      <c r="M99" s="273"/>
      <c r="N99" s="273"/>
    </row>
    <row r="100" ht="26.25" customHeight="1">
      <c r="A100" s="263" t="s">
        <v>1095</v>
      </c>
      <c r="B100" s="264">
        <v>45687.0</v>
      </c>
      <c r="C100" s="275" t="s">
        <v>972</v>
      </c>
      <c r="D100" s="266" t="s">
        <v>57</v>
      </c>
      <c r="E100" s="267" t="s">
        <v>1018</v>
      </c>
      <c r="F100" s="268"/>
      <c r="G100" s="269">
        <v>424000.0</v>
      </c>
      <c r="H100" s="270">
        <v>0.0</v>
      </c>
      <c r="I100" s="269">
        <v>424000.0</v>
      </c>
      <c r="J100" s="271">
        <v>424000.0</v>
      </c>
      <c r="K100" s="272">
        <f t="shared" si="2"/>
        <v>0</v>
      </c>
      <c r="L100" s="273"/>
      <c r="M100" s="273"/>
      <c r="N100" s="273"/>
    </row>
    <row r="101" ht="26.25" customHeight="1">
      <c r="A101" s="268"/>
      <c r="B101" s="264">
        <v>45687.0</v>
      </c>
      <c r="C101" s="275" t="s">
        <v>957</v>
      </c>
      <c r="D101" s="266" t="s">
        <v>57</v>
      </c>
      <c r="E101" s="267" t="s">
        <v>1096</v>
      </c>
      <c r="F101" s="268"/>
      <c r="G101" s="269">
        <v>32000.0</v>
      </c>
      <c r="H101" s="270">
        <v>0.0</v>
      </c>
      <c r="I101" s="269">
        <v>32000.0</v>
      </c>
      <c r="J101" s="271">
        <v>32000.0</v>
      </c>
      <c r="K101" s="272">
        <f t="shared" si="2"/>
        <v>0</v>
      </c>
      <c r="L101" s="273"/>
      <c r="M101" s="273"/>
      <c r="N101" s="273"/>
    </row>
    <row r="102" ht="26.25" customHeight="1">
      <c r="A102" s="263" t="s">
        <v>1097</v>
      </c>
      <c r="B102" s="264">
        <v>45687.0</v>
      </c>
      <c r="C102" s="275" t="s">
        <v>1098</v>
      </c>
      <c r="D102" s="266" t="s">
        <v>57</v>
      </c>
      <c r="E102" s="267" t="s">
        <v>1099</v>
      </c>
      <c r="F102" s="268"/>
      <c r="G102" s="269">
        <v>15000.0</v>
      </c>
      <c r="H102" s="270">
        <v>0.0</v>
      </c>
      <c r="I102" s="269">
        <v>15000.0</v>
      </c>
      <c r="J102" s="271">
        <v>15000.0</v>
      </c>
      <c r="K102" s="272">
        <f t="shared" si="2"/>
        <v>0</v>
      </c>
      <c r="L102" s="273"/>
      <c r="M102" s="273"/>
      <c r="N102" s="273"/>
    </row>
    <row r="103" ht="26.25" customHeight="1">
      <c r="A103" s="268"/>
      <c r="B103" s="264">
        <v>45687.0</v>
      </c>
      <c r="C103" s="275" t="s">
        <v>974</v>
      </c>
      <c r="D103" s="266" t="s">
        <v>57</v>
      </c>
      <c r="E103" s="267" t="s">
        <v>1100</v>
      </c>
      <c r="F103" s="268"/>
      <c r="G103" s="269">
        <v>5000.0</v>
      </c>
      <c r="H103" s="270">
        <v>0.0</v>
      </c>
      <c r="I103" s="269">
        <v>5000.0</v>
      </c>
      <c r="J103" s="271">
        <v>5000.0</v>
      </c>
      <c r="K103" s="272">
        <f t="shared" si="2"/>
        <v>0</v>
      </c>
      <c r="L103" s="273"/>
      <c r="M103" s="273"/>
      <c r="N103" s="273"/>
    </row>
    <row r="104" ht="26.25" customHeight="1">
      <c r="A104" s="277" t="s">
        <v>1101</v>
      </c>
      <c r="B104" s="264">
        <v>45688.0</v>
      </c>
      <c r="C104" s="265" t="s">
        <v>960</v>
      </c>
      <c r="D104" s="266" t="s">
        <v>1029</v>
      </c>
      <c r="E104" s="267" t="s">
        <v>1102</v>
      </c>
      <c r="F104" s="268"/>
      <c r="G104" s="269">
        <v>180000.0</v>
      </c>
      <c r="H104" s="270">
        <v>0.0</v>
      </c>
      <c r="I104" s="269">
        <v>180000.0</v>
      </c>
      <c r="J104" s="271">
        <v>180000.0</v>
      </c>
      <c r="K104" s="272">
        <f t="shared" si="2"/>
        <v>0</v>
      </c>
      <c r="L104" s="273"/>
      <c r="M104" s="273"/>
      <c r="N104" s="273"/>
    </row>
    <row r="105" ht="26.25" customHeight="1">
      <c r="A105" s="277" t="s">
        <v>1103</v>
      </c>
      <c r="B105" s="264">
        <v>45688.0</v>
      </c>
      <c r="C105" s="265" t="s">
        <v>995</v>
      </c>
      <c r="D105" s="266" t="s">
        <v>57</v>
      </c>
      <c r="E105" s="267" t="s">
        <v>1104</v>
      </c>
      <c r="F105" s="268"/>
      <c r="G105" s="269">
        <v>70000.0</v>
      </c>
      <c r="H105" s="270">
        <v>0.0</v>
      </c>
      <c r="I105" s="269">
        <v>70000.0</v>
      </c>
      <c r="J105" s="271">
        <v>70000.0</v>
      </c>
      <c r="K105" s="272">
        <f t="shared" si="2"/>
        <v>0</v>
      </c>
      <c r="L105" s="273"/>
      <c r="M105" s="273"/>
      <c r="N105" s="273"/>
    </row>
    <row r="106" ht="26.25" customHeight="1">
      <c r="A106" s="268"/>
      <c r="B106" s="264">
        <v>45689.0</v>
      </c>
      <c r="C106" s="265" t="s">
        <v>965</v>
      </c>
      <c r="D106" s="266" t="s">
        <v>57</v>
      </c>
      <c r="E106" s="267" t="s">
        <v>1105</v>
      </c>
      <c r="F106" s="268"/>
      <c r="G106" s="269">
        <v>70000.0</v>
      </c>
      <c r="H106" s="270">
        <v>0.0</v>
      </c>
      <c r="I106" s="269">
        <v>70000.0</v>
      </c>
      <c r="J106" s="271">
        <v>70000.0</v>
      </c>
      <c r="K106" s="272">
        <f t="shared" si="2"/>
        <v>0</v>
      </c>
      <c r="L106" s="273"/>
      <c r="M106" s="273"/>
      <c r="N106" s="273"/>
    </row>
    <row r="107" ht="26.25" customHeight="1">
      <c r="A107" s="277" t="s">
        <v>1106</v>
      </c>
      <c r="B107" s="264">
        <v>45689.0</v>
      </c>
      <c r="C107" s="265" t="s">
        <v>1035</v>
      </c>
      <c r="D107" s="266" t="s">
        <v>57</v>
      </c>
      <c r="E107" s="267" t="s">
        <v>1107</v>
      </c>
      <c r="F107" s="268"/>
      <c r="G107" s="269">
        <v>38000.0</v>
      </c>
      <c r="H107" s="270">
        <v>0.0</v>
      </c>
      <c r="I107" s="269">
        <v>38000.0</v>
      </c>
      <c r="J107" s="271">
        <v>38000.0</v>
      </c>
      <c r="K107" s="272">
        <f t="shared" si="2"/>
        <v>0</v>
      </c>
      <c r="L107" s="273"/>
      <c r="M107" s="273"/>
      <c r="N107" s="273"/>
    </row>
    <row r="108" ht="26.25" customHeight="1">
      <c r="A108" s="263" t="s">
        <v>1108</v>
      </c>
      <c r="B108" s="264">
        <v>45689.0</v>
      </c>
      <c r="C108" s="265" t="s">
        <v>1035</v>
      </c>
      <c r="D108" s="266" t="s">
        <v>57</v>
      </c>
      <c r="E108" s="267" t="s">
        <v>1109</v>
      </c>
      <c r="F108" s="268"/>
      <c r="G108" s="269">
        <v>35000.0</v>
      </c>
      <c r="H108" s="270">
        <v>0.0</v>
      </c>
      <c r="I108" s="269">
        <v>35000.0</v>
      </c>
      <c r="J108" s="271">
        <v>35000.0</v>
      </c>
      <c r="K108" s="272">
        <f t="shared" si="2"/>
        <v>0</v>
      </c>
      <c r="L108" s="273"/>
      <c r="M108" s="273"/>
      <c r="N108" s="273"/>
    </row>
    <row r="109" ht="26.25" customHeight="1">
      <c r="A109" s="268"/>
      <c r="B109" s="264">
        <v>45689.0</v>
      </c>
      <c r="C109" s="265" t="s">
        <v>995</v>
      </c>
      <c r="D109" s="266" t="s">
        <v>57</v>
      </c>
      <c r="E109" s="267" t="s">
        <v>1110</v>
      </c>
      <c r="F109" s="268"/>
      <c r="G109" s="269">
        <v>8000.0</v>
      </c>
      <c r="H109" s="270">
        <v>0.0</v>
      </c>
      <c r="I109" s="269">
        <v>8000.0</v>
      </c>
      <c r="J109" s="271">
        <v>8000.0</v>
      </c>
      <c r="K109" s="272">
        <f t="shared" si="2"/>
        <v>0</v>
      </c>
      <c r="L109" s="273"/>
      <c r="M109" s="273"/>
      <c r="N109" s="273"/>
    </row>
    <row r="110" ht="26.25" customHeight="1">
      <c r="A110" s="268"/>
      <c r="B110" s="264">
        <v>45689.0</v>
      </c>
      <c r="C110" s="280"/>
      <c r="D110" s="266" t="s">
        <v>57</v>
      </c>
      <c r="E110" s="267" t="s">
        <v>1094</v>
      </c>
      <c r="F110" s="268"/>
      <c r="G110" s="269">
        <v>6000.0</v>
      </c>
      <c r="H110" s="270">
        <v>0.0</v>
      </c>
      <c r="I110" s="269">
        <v>6000.0</v>
      </c>
      <c r="J110" s="271">
        <v>6000.0</v>
      </c>
      <c r="K110" s="272">
        <f t="shared" si="2"/>
        <v>0</v>
      </c>
      <c r="L110" s="273"/>
      <c r="M110" s="273"/>
      <c r="N110" s="273"/>
    </row>
    <row r="111" ht="26.25" customHeight="1">
      <c r="A111" s="268"/>
      <c r="B111" s="264">
        <v>45690.0</v>
      </c>
      <c r="C111" s="265" t="s">
        <v>974</v>
      </c>
      <c r="D111" s="266" t="s">
        <v>57</v>
      </c>
      <c r="E111" s="267" t="s">
        <v>1111</v>
      </c>
      <c r="F111" s="268"/>
      <c r="G111" s="269">
        <v>75000.0</v>
      </c>
      <c r="H111" s="270">
        <v>0.0</v>
      </c>
      <c r="I111" s="269">
        <v>75000.0</v>
      </c>
      <c r="J111" s="271">
        <v>75000.0</v>
      </c>
      <c r="K111" s="272">
        <f t="shared" si="2"/>
        <v>0</v>
      </c>
      <c r="L111" s="273"/>
      <c r="M111" s="273"/>
      <c r="N111" s="273"/>
    </row>
    <row r="112" ht="26.25" customHeight="1">
      <c r="A112" s="274"/>
      <c r="B112" s="264">
        <v>45690.0</v>
      </c>
      <c r="C112" s="280"/>
      <c r="D112" s="266" t="s">
        <v>57</v>
      </c>
      <c r="E112" s="267" t="s">
        <v>1112</v>
      </c>
      <c r="F112" s="268"/>
      <c r="G112" s="269">
        <v>38000.0</v>
      </c>
      <c r="H112" s="270">
        <v>0.0</v>
      </c>
      <c r="I112" s="269">
        <v>38000.0</v>
      </c>
      <c r="J112" s="271">
        <v>38000.0</v>
      </c>
      <c r="K112" s="272">
        <f t="shared" si="2"/>
        <v>0</v>
      </c>
      <c r="L112" s="273"/>
      <c r="M112" s="273"/>
      <c r="N112" s="273"/>
    </row>
    <row r="113" ht="26.25" customHeight="1">
      <c r="A113" s="268"/>
      <c r="B113" s="264">
        <v>45690.0</v>
      </c>
      <c r="C113" s="265" t="s">
        <v>965</v>
      </c>
      <c r="D113" s="266" t="s">
        <v>57</v>
      </c>
      <c r="E113" s="267" t="s">
        <v>201</v>
      </c>
      <c r="F113" s="268"/>
      <c r="G113" s="269">
        <v>25000.0</v>
      </c>
      <c r="H113" s="270">
        <v>0.0</v>
      </c>
      <c r="I113" s="269">
        <v>25000.0</v>
      </c>
      <c r="J113" s="271">
        <v>25000.0</v>
      </c>
      <c r="K113" s="272">
        <f t="shared" si="2"/>
        <v>0</v>
      </c>
      <c r="L113" s="273"/>
      <c r="M113" s="273"/>
      <c r="N113" s="273"/>
    </row>
    <row r="114" ht="26.25" customHeight="1">
      <c r="A114" s="277" t="s">
        <v>1113</v>
      </c>
      <c r="B114" s="264">
        <v>45690.0</v>
      </c>
      <c r="C114" s="265" t="s">
        <v>972</v>
      </c>
      <c r="D114" s="266" t="s">
        <v>57</v>
      </c>
      <c r="E114" s="267" t="s">
        <v>980</v>
      </c>
      <c r="F114" s="268"/>
      <c r="G114" s="269">
        <v>20000.0</v>
      </c>
      <c r="H114" s="270">
        <v>0.0</v>
      </c>
      <c r="I114" s="269">
        <v>20000.0</v>
      </c>
      <c r="J114" s="271">
        <v>20000.0</v>
      </c>
      <c r="K114" s="272">
        <f t="shared" si="2"/>
        <v>0</v>
      </c>
      <c r="L114" s="273"/>
      <c r="M114" s="273"/>
      <c r="N114" s="273"/>
    </row>
    <row r="115" ht="26.25" customHeight="1">
      <c r="A115" s="263" t="s">
        <v>1114</v>
      </c>
      <c r="B115" s="264">
        <v>45690.0</v>
      </c>
      <c r="C115" s="275"/>
      <c r="D115" s="266" t="s">
        <v>57</v>
      </c>
      <c r="E115" s="267" t="s">
        <v>1115</v>
      </c>
      <c r="F115" s="268"/>
      <c r="G115" s="269">
        <v>14000.0</v>
      </c>
      <c r="H115" s="270">
        <v>0.0</v>
      </c>
      <c r="I115" s="269">
        <v>14000.0</v>
      </c>
      <c r="J115" s="271">
        <v>14000.0</v>
      </c>
      <c r="K115" s="272">
        <f t="shared" si="2"/>
        <v>0</v>
      </c>
      <c r="L115" s="273"/>
      <c r="M115" s="273"/>
      <c r="N115" s="273"/>
    </row>
    <row r="116" ht="26.25" customHeight="1">
      <c r="A116" s="274"/>
      <c r="B116" s="264">
        <v>45690.0</v>
      </c>
      <c r="C116" s="275" t="s">
        <v>974</v>
      </c>
      <c r="D116" s="266" t="s">
        <v>57</v>
      </c>
      <c r="E116" s="267" t="s">
        <v>1116</v>
      </c>
      <c r="F116" s="268"/>
      <c r="G116" s="269">
        <v>10000.0</v>
      </c>
      <c r="H116" s="270">
        <v>0.0</v>
      </c>
      <c r="I116" s="269">
        <v>10000.0</v>
      </c>
      <c r="J116" s="271">
        <v>10000.0</v>
      </c>
      <c r="K116" s="272">
        <f t="shared" si="2"/>
        <v>0</v>
      </c>
      <c r="L116" s="273"/>
      <c r="M116" s="273"/>
      <c r="N116" s="273"/>
    </row>
    <row r="117" ht="26.25" customHeight="1">
      <c r="A117" s="274"/>
      <c r="B117" s="264">
        <v>45690.0</v>
      </c>
      <c r="C117" s="275" t="s">
        <v>1035</v>
      </c>
      <c r="D117" s="266" t="s">
        <v>57</v>
      </c>
      <c r="E117" s="267" t="s">
        <v>1117</v>
      </c>
      <c r="F117" s="268"/>
      <c r="G117" s="269">
        <v>2000.0</v>
      </c>
      <c r="H117" s="270">
        <v>0.0</v>
      </c>
      <c r="I117" s="269">
        <v>2000.0</v>
      </c>
      <c r="J117" s="271">
        <v>2000.0</v>
      </c>
      <c r="K117" s="272">
        <f t="shared" si="2"/>
        <v>0</v>
      </c>
      <c r="L117" s="273"/>
      <c r="M117" s="273"/>
      <c r="N117" s="273"/>
    </row>
    <row r="118" ht="26.25" customHeight="1">
      <c r="A118" s="277" t="s">
        <v>1118</v>
      </c>
      <c r="B118" s="264">
        <v>45691.0</v>
      </c>
      <c r="C118" s="265" t="s">
        <v>965</v>
      </c>
      <c r="D118" s="266" t="s">
        <v>57</v>
      </c>
      <c r="E118" s="267" t="s">
        <v>980</v>
      </c>
      <c r="F118" s="268"/>
      <c r="G118" s="269">
        <v>532000.0</v>
      </c>
      <c r="H118" s="270">
        <v>0.0</v>
      </c>
      <c r="I118" s="269">
        <v>532000.0</v>
      </c>
      <c r="J118" s="271">
        <v>532000.0</v>
      </c>
      <c r="K118" s="272">
        <f t="shared" si="2"/>
        <v>0</v>
      </c>
      <c r="L118" s="273"/>
      <c r="M118" s="273"/>
      <c r="N118" s="273"/>
    </row>
    <row r="119" ht="26.25" customHeight="1">
      <c r="A119" s="263" t="s">
        <v>1119</v>
      </c>
      <c r="B119" s="264">
        <v>45691.0</v>
      </c>
      <c r="C119" s="265" t="s">
        <v>965</v>
      </c>
      <c r="D119" s="266" t="s">
        <v>57</v>
      </c>
      <c r="E119" s="267" t="s">
        <v>980</v>
      </c>
      <c r="F119" s="268"/>
      <c r="G119" s="269">
        <v>373000.0</v>
      </c>
      <c r="H119" s="270">
        <v>0.0</v>
      </c>
      <c r="I119" s="269">
        <v>373000.0</v>
      </c>
      <c r="J119" s="271">
        <v>373000.0</v>
      </c>
      <c r="K119" s="272">
        <f t="shared" si="2"/>
        <v>0</v>
      </c>
      <c r="L119" s="273"/>
      <c r="M119" s="273"/>
      <c r="N119" s="273"/>
    </row>
    <row r="120" ht="26.25" customHeight="1">
      <c r="A120" s="274"/>
      <c r="B120" s="264">
        <v>45691.0</v>
      </c>
      <c r="C120" s="265" t="s">
        <v>960</v>
      </c>
      <c r="D120" s="266" t="s">
        <v>57</v>
      </c>
      <c r="E120" s="267" t="s">
        <v>1120</v>
      </c>
      <c r="F120" s="268"/>
      <c r="G120" s="269">
        <v>175000.0</v>
      </c>
      <c r="H120" s="270">
        <v>0.0</v>
      </c>
      <c r="I120" s="269">
        <v>175000.0</v>
      </c>
      <c r="J120" s="271">
        <v>175000.0</v>
      </c>
      <c r="K120" s="272">
        <f t="shared" si="2"/>
        <v>0</v>
      </c>
      <c r="L120" s="273"/>
      <c r="M120" s="273"/>
      <c r="N120" s="273"/>
    </row>
    <row r="121" ht="26.25" customHeight="1">
      <c r="A121" s="277" t="s">
        <v>1121</v>
      </c>
      <c r="B121" s="264">
        <v>45691.0</v>
      </c>
      <c r="C121" s="265" t="s">
        <v>968</v>
      </c>
      <c r="D121" s="266" t="s">
        <v>1122</v>
      </c>
      <c r="E121" s="267" t="s">
        <v>1123</v>
      </c>
      <c r="F121" s="268"/>
      <c r="G121" s="269">
        <v>110000.0</v>
      </c>
      <c r="H121" s="270">
        <v>0.0</v>
      </c>
      <c r="I121" s="269">
        <v>110000.0</v>
      </c>
      <c r="J121" s="271">
        <v>110000.0</v>
      </c>
      <c r="K121" s="272">
        <f t="shared" si="2"/>
        <v>0</v>
      </c>
      <c r="L121" s="273"/>
      <c r="M121" s="273"/>
      <c r="N121" s="273"/>
    </row>
    <row r="122" ht="26.25" customHeight="1">
      <c r="A122" s="263" t="s">
        <v>1124</v>
      </c>
      <c r="B122" s="264">
        <v>45691.0</v>
      </c>
      <c r="C122" s="275" t="s">
        <v>965</v>
      </c>
      <c r="D122" s="266" t="s">
        <v>57</v>
      </c>
      <c r="E122" s="267" t="s">
        <v>980</v>
      </c>
      <c r="F122" s="268"/>
      <c r="G122" s="269">
        <v>80000.0</v>
      </c>
      <c r="H122" s="270">
        <v>0.0</v>
      </c>
      <c r="I122" s="269">
        <v>80000.0</v>
      </c>
      <c r="J122" s="271">
        <v>80000.0</v>
      </c>
      <c r="K122" s="272">
        <f t="shared" si="2"/>
        <v>0</v>
      </c>
      <c r="L122" s="273"/>
      <c r="M122" s="273"/>
      <c r="N122" s="273"/>
    </row>
    <row r="123" ht="26.25" customHeight="1">
      <c r="A123" s="281" t="s">
        <v>1125</v>
      </c>
      <c r="B123" s="264">
        <v>45691.0</v>
      </c>
      <c r="C123" s="275" t="s">
        <v>965</v>
      </c>
      <c r="D123" s="266" t="s">
        <v>57</v>
      </c>
      <c r="E123" s="267" t="s">
        <v>980</v>
      </c>
      <c r="F123" s="268"/>
      <c r="G123" s="269">
        <v>75000.0</v>
      </c>
      <c r="H123" s="270">
        <v>0.0</v>
      </c>
      <c r="I123" s="269">
        <v>75000.0</v>
      </c>
      <c r="J123" s="271">
        <v>75000.0</v>
      </c>
      <c r="K123" s="272">
        <f t="shared" si="2"/>
        <v>0</v>
      </c>
      <c r="L123" s="273"/>
      <c r="M123" s="273"/>
      <c r="N123" s="273"/>
    </row>
    <row r="124" ht="26.25" customHeight="1">
      <c r="A124" s="281" t="s">
        <v>1126</v>
      </c>
      <c r="B124" s="264">
        <v>45691.0</v>
      </c>
      <c r="C124" s="265" t="s">
        <v>965</v>
      </c>
      <c r="D124" s="266" t="s">
        <v>57</v>
      </c>
      <c r="E124" s="267" t="s">
        <v>1127</v>
      </c>
      <c r="F124" s="268"/>
      <c r="G124" s="269">
        <v>58000.0</v>
      </c>
      <c r="H124" s="270">
        <v>0.0</v>
      </c>
      <c r="I124" s="269">
        <v>58000.0</v>
      </c>
      <c r="J124" s="271">
        <v>58000.0</v>
      </c>
      <c r="K124" s="272">
        <f t="shared" si="2"/>
        <v>0</v>
      </c>
      <c r="L124" s="273"/>
      <c r="M124" s="273"/>
      <c r="N124" s="273"/>
    </row>
    <row r="125" ht="26.25" customHeight="1">
      <c r="A125" s="263" t="s">
        <v>1128</v>
      </c>
      <c r="B125" s="264">
        <v>45691.0</v>
      </c>
      <c r="C125" s="265" t="s">
        <v>965</v>
      </c>
      <c r="D125" s="266" t="s">
        <v>1129</v>
      </c>
      <c r="E125" s="267" t="s">
        <v>1130</v>
      </c>
      <c r="F125" s="268"/>
      <c r="G125" s="269">
        <v>52000.0</v>
      </c>
      <c r="H125" s="270">
        <v>0.0</v>
      </c>
      <c r="I125" s="269">
        <v>52000.0</v>
      </c>
      <c r="J125" s="271">
        <v>52000.0</v>
      </c>
      <c r="K125" s="272">
        <f t="shared" si="2"/>
        <v>0</v>
      </c>
      <c r="L125" s="273"/>
      <c r="M125" s="273"/>
      <c r="N125" s="273"/>
    </row>
    <row r="126" ht="26.25" customHeight="1">
      <c r="A126" s="274"/>
      <c r="B126" s="264">
        <v>45691.0</v>
      </c>
      <c r="C126" s="265" t="s">
        <v>965</v>
      </c>
      <c r="D126" s="266" t="s">
        <v>57</v>
      </c>
      <c r="E126" s="267" t="s">
        <v>1131</v>
      </c>
      <c r="F126" s="268"/>
      <c r="G126" s="269">
        <v>35000.0</v>
      </c>
      <c r="H126" s="270">
        <v>0.0</v>
      </c>
      <c r="I126" s="269">
        <v>35000.0</v>
      </c>
      <c r="J126" s="271">
        <v>35000.0</v>
      </c>
      <c r="K126" s="272">
        <f t="shared" si="2"/>
        <v>0</v>
      </c>
      <c r="L126" s="273"/>
      <c r="M126" s="273"/>
      <c r="N126" s="273"/>
    </row>
    <row r="127" ht="26.25" customHeight="1">
      <c r="A127" s="273"/>
      <c r="B127" s="264">
        <v>45691.0</v>
      </c>
      <c r="C127" s="275" t="s">
        <v>965</v>
      </c>
      <c r="D127" s="282"/>
      <c r="E127" s="267" t="s">
        <v>1132</v>
      </c>
      <c r="F127" s="268"/>
      <c r="G127" s="269">
        <v>35000.0</v>
      </c>
      <c r="H127" s="270">
        <v>0.0</v>
      </c>
      <c r="I127" s="269">
        <v>35000.0</v>
      </c>
      <c r="J127" s="271">
        <v>35000.0</v>
      </c>
      <c r="K127" s="272">
        <f t="shared" si="2"/>
        <v>0</v>
      </c>
      <c r="L127" s="273"/>
      <c r="M127" s="273"/>
      <c r="N127" s="273"/>
    </row>
    <row r="128" ht="26.25" customHeight="1">
      <c r="A128" s="273"/>
      <c r="B128" s="264">
        <v>45691.0</v>
      </c>
      <c r="C128" s="275" t="s">
        <v>974</v>
      </c>
      <c r="D128" s="266" t="s">
        <v>930</v>
      </c>
      <c r="E128" s="267" t="s">
        <v>910</v>
      </c>
      <c r="F128" s="268"/>
      <c r="G128" s="269">
        <v>30000.0</v>
      </c>
      <c r="H128" s="270">
        <v>0.0</v>
      </c>
      <c r="I128" s="269">
        <v>30000.0</v>
      </c>
      <c r="J128" s="271">
        <v>30000.0</v>
      </c>
      <c r="K128" s="272">
        <f t="shared" si="2"/>
        <v>0</v>
      </c>
      <c r="L128" s="273"/>
      <c r="M128" s="273"/>
      <c r="N128" s="273"/>
    </row>
    <row r="129" ht="26.25" customHeight="1">
      <c r="A129" s="281" t="s">
        <v>1133</v>
      </c>
      <c r="B129" s="264">
        <v>45691.0</v>
      </c>
      <c r="C129" s="265" t="s">
        <v>960</v>
      </c>
      <c r="D129" s="282"/>
      <c r="E129" s="267" t="s">
        <v>1134</v>
      </c>
      <c r="F129" s="268"/>
      <c r="G129" s="269">
        <v>25000.0</v>
      </c>
      <c r="H129" s="270">
        <v>0.0</v>
      </c>
      <c r="I129" s="269">
        <v>25000.0</v>
      </c>
      <c r="J129" s="271">
        <v>25000.0</v>
      </c>
      <c r="K129" s="272">
        <f t="shared" si="2"/>
        <v>0</v>
      </c>
      <c r="L129" s="273"/>
      <c r="M129" s="273"/>
      <c r="N129" s="273"/>
    </row>
    <row r="130" ht="26.25" customHeight="1">
      <c r="A130" s="274"/>
      <c r="B130" s="264">
        <v>45691.0</v>
      </c>
      <c r="C130" s="265" t="s">
        <v>960</v>
      </c>
      <c r="D130" s="282"/>
      <c r="E130" s="267" t="s">
        <v>1134</v>
      </c>
      <c r="F130" s="268"/>
      <c r="G130" s="269">
        <v>25000.0</v>
      </c>
      <c r="H130" s="270">
        <v>0.0</v>
      </c>
      <c r="I130" s="269">
        <v>25000.0</v>
      </c>
      <c r="J130" s="271">
        <v>25000.0</v>
      </c>
      <c r="K130" s="272">
        <f t="shared" si="2"/>
        <v>0</v>
      </c>
      <c r="L130" s="273"/>
      <c r="M130" s="273"/>
      <c r="N130" s="273"/>
    </row>
    <row r="131" ht="26.25" customHeight="1">
      <c r="A131" s="277" t="s">
        <v>1135</v>
      </c>
      <c r="B131" s="264">
        <v>45691.0</v>
      </c>
      <c r="C131" s="265" t="s">
        <v>965</v>
      </c>
      <c r="D131" s="266" t="s">
        <v>57</v>
      </c>
      <c r="E131" s="267" t="s">
        <v>980</v>
      </c>
      <c r="F131" s="268"/>
      <c r="G131" s="269">
        <v>19000.0</v>
      </c>
      <c r="H131" s="270">
        <v>0.0</v>
      </c>
      <c r="I131" s="269">
        <v>19000.0</v>
      </c>
      <c r="J131" s="271">
        <v>19000.0</v>
      </c>
      <c r="K131" s="272">
        <f t="shared" si="2"/>
        <v>0</v>
      </c>
      <c r="L131" s="273"/>
      <c r="M131" s="273"/>
      <c r="N131" s="273"/>
    </row>
    <row r="132" ht="26.25" customHeight="1">
      <c r="A132" s="273"/>
      <c r="B132" s="264">
        <v>45691.0</v>
      </c>
      <c r="C132" s="265" t="s">
        <v>974</v>
      </c>
      <c r="D132" s="266" t="s">
        <v>57</v>
      </c>
      <c r="E132" s="267" t="s">
        <v>1094</v>
      </c>
      <c r="F132" s="268"/>
      <c r="G132" s="269">
        <v>19000.0</v>
      </c>
      <c r="H132" s="270">
        <v>0.0</v>
      </c>
      <c r="I132" s="269">
        <v>19000.0</v>
      </c>
      <c r="J132" s="271">
        <v>19000.0</v>
      </c>
      <c r="K132" s="272">
        <f t="shared" si="2"/>
        <v>0</v>
      </c>
      <c r="L132" s="273"/>
      <c r="M132" s="273"/>
      <c r="N132" s="273"/>
    </row>
    <row r="133" ht="26.25" customHeight="1">
      <c r="A133" s="281" t="s">
        <v>1136</v>
      </c>
      <c r="B133" s="264">
        <v>45691.0</v>
      </c>
      <c r="C133" s="265" t="s">
        <v>965</v>
      </c>
      <c r="D133" s="266" t="s">
        <v>1011</v>
      </c>
      <c r="E133" s="267" t="s">
        <v>1137</v>
      </c>
      <c r="F133" s="268"/>
      <c r="G133" s="269">
        <v>15000.0</v>
      </c>
      <c r="H133" s="270">
        <v>0.0</v>
      </c>
      <c r="I133" s="269">
        <v>15000.0</v>
      </c>
      <c r="J133" s="271">
        <v>15000.0</v>
      </c>
      <c r="K133" s="272">
        <f t="shared" si="2"/>
        <v>0</v>
      </c>
      <c r="L133" s="273"/>
      <c r="M133" s="273"/>
      <c r="N133" s="273"/>
    </row>
    <row r="134" ht="26.25" customHeight="1">
      <c r="A134" s="281" t="s">
        <v>1138</v>
      </c>
      <c r="B134" s="264">
        <v>45691.0</v>
      </c>
      <c r="C134" s="265" t="s">
        <v>965</v>
      </c>
      <c r="D134" s="266" t="s">
        <v>1139</v>
      </c>
      <c r="E134" s="283" t="s">
        <v>1140</v>
      </c>
      <c r="F134" s="268"/>
      <c r="G134" s="269">
        <v>15000.0</v>
      </c>
      <c r="H134" s="270">
        <v>0.0</v>
      </c>
      <c r="I134" s="269">
        <v>15000.0</v>
      </c>
      <c r="J134" s="271">
        <v>15000.0</v>
      </c>
      <c r="K134" s="272">
        <f t="shared" si="2"/>
        <v>0</v>
      </c>
      <c r="L134" s="273"/>
      <c r="M134" s="273"/>
      <c r="N134" s="273"/>
    </row>
    <row r="135" ht="26.25" customHeight="1">
      <c r="A135" s="281" t="s">
        <v>1141</v>
      </c>
      <c r="B135" s="264">
        <v>45691.0</v>
      </c>
      <c r="C135" s="280"/>
      <c r="D135" s="266" t="s">
        <v>1139</v>
      </c>
      <c r="E135" s="283" t="s">
        <v>1142</v>
      </c>
      <c r="F135" s="268"/>
      <c r="G135" s="269">
        <v>15000.0</v>
      </c>
      <c r="H135" s="270">
        <v>0.0</v>
      </c>
      <c r="I135" s="269">
        <v>15000.0</v>
      </c>
      <c r="J135" s="271">
        <v>15000.0</v>
      </c>
      <c r="K135" s="272">
        <f t="shared" si="2"/>
        <v>0</v>
      </c>
      <c r="L135" s="273"/>
      <c r="M135" s="273"/>
      <c r="N135" s="273"/>
    </row>
    <row r="136" ht="26.25" customHeight="1">
      <c r="A136" s="273"/>
      <c r="B136" s="264">
        <v>45691.0</v>
      </c>
      <c r="C136" s="265" t="s">
        <v>960</v>
      </c>
      <c r="D136" s="282"/>
      <c r="E136" s="283" t="s">
        <v>1143</v>
      </c>
      <c r="F136" s="268"/>
      <c r="G136" s="269">
        <v>12000.0</v>
      </c>
      <c r="H136" s="270">
        <v>0.0</v>
      </c>
      <c r="I136" s="269">
        <v>12000.0</v>
      </c>
      <c r="J136" s="271">
        <v>12000.0</v>
      </c>
      <c r="K136" s="272">
        <f t="shared" si="2"/>
        <v>0</v>
      </c>
      <c r="L136" s="273"/>
      <c r="M136" s="273"/>
      <c r="N136" s="273"/>
    </row>
    <row r="137" ht="26.25" customHeight="1">
      <c r="A137" s="273"/>
      <c r="B137" s="264">
        <v>45691.0</v>
      </c>
      <c r="C137" s="275" t="s">
        <v>960</v>
      </c>
      <c r="D137" s="282"/>
      <c r="E137" s="267" t="s">
        <v>1144</v>
      </c>
      <c r="F137" s="268"/>
      <c r="G137" s="269">
        <v>10000.0</v>
      </c>
      <c r="H137" s="270">
        <v>0.0</v>
      </c>
      <c r="I137" s="269">
        <v>10000.0</v>
      </c>
      <c r="J137" s="271">
        <v>10000.0</v>
      </c>
      <c r="K137" s="272">
        <f t="shared" si="2"/>
        <v>0</v>
      </c>
      <c r="L137" s="273"/>
      <c r="M137" s="273"/>
      <c r="N137" s="273"/>
    </row>
    <row r="138" ht="26.25" customHeight="1">
      <c r="A138" s="273"/>
      <c r="B138" s="264">
        <v>45691.0</v>
      </c>
      <c r="C138" s="275" t="s">
        <v>960</v>
      </c>
      <c r="D138" s="282"/>
      <c r="E138" s="283" t="s">
        <v>1145</v>
      </c>
      <c r="F138" s="268"/>
      <c r="G138" s="269">
        <v>5000.0</v>
      </c>
      <c r="H138" s="270">
        <v>0.0</v>
      </c>
      <c r="I138" s="269">
        <v>5000.0</v>
      </c>
      <c r="J138" s="271">
        <v>5000.0</v>
      </c>
      <c r="K138" s="272">
        <f t="shared" si="2"/>
        <v>0</v>
      </c>
      <c r="L138" s="273"/>
      <c r="M138" s="273"/>
      <c r="N138" s="273"/>
    </row>
    <row r="139" ht="26.25" customHeight="1">
      <c r="A139" s="273"/>
      <c r="B139" s="264">
        <v>45691.0</v>
      </c>
      <c r="C139" s="275" t="s">
        <v>968</v>
      </c>
      <c r="D139" s="282"/>
      <c r="E139" s="283" t="s">
        <v>1146</v>
      </c>
      <c r="F139" s="268"/>
      <c r="G139" s="269">
        <v>3000.0</v>
      </c>
      <c r="H139" s="270">
        <v>0.0</v>
      </c>
      <c r="I139" s="269">
        <v>3000.0</v>
      </c>
      <c r="J139" s="271">
        <v>3000.0</v>
      </c>
      <c r="K139" s="272">
        <f t="shared" si="2"/>
        <v>0</v>
      </c>
      <c r="L139" s="273"/>
      <c r="M139" s="273"/>
      <c r="N139" s="273"/>
    </row>
    <row r="140" ht="26.25" customHeight="1">
      <c r="A140" s="281" t="s">
        <v>1147</v>
      </c>
      <c r="B140" s="264">
        <v>45692.0</v>
      </c>
      <c r="C140" s="265" t="s">
        <v>965</v>
      </c>
      <c r="D140" s="266" t="s">
        <v>57</v>
      </c>
      <c r="E140" s="283" t="s">
        <v>1038</v>
      </c>
      <c r="F140" s="268"/>
      <c r="G140" s="269">
        <v>140000.0</v>
      </c>
      <c r="H140" s="270">
        <v>0.0</v>
      </c>
      <c r="I140" s="269">
        <v>140000.0</v>
      </c>
      <c r="J140" s="271">
        <v>140000.0</v>
      </c>
      <c r="K140" s="272">
        <f t="shared" si="2"/>
        <v>0</v>
      </c>
      <c r="L140" s="273"/>
      <c r="M140" s="273"/>
      <c r="N140" s="273"/>
    </row>
    <row r="141" ht="26.25" customHeight="1">
      <c r="A141" s="277" t="s">
        <v>1148</v>
      </c>
      <c r="B141" s="264">
        <v>45692.0</v>
      </c>
      <c r="C141" s="265" t="s">
        <v>965</v>
      </c>
      <c r="D141" s="266" t="s">
        <v>57</v>
      </c>
      <c r="E141" s="283" t="s">
        <v>980</v>
      </c>
      <c r="F141" s="268"/>
      <c r="G141" s="269">
        <v>105000.0</v>
      </c>
      <c r="H141" s="270">
        <v>0.0</v>
      </c>
      <c r="I141" s="269">
        <v>105000.0</v>
      </c>
      <c r="J141" s="271">
        <v>105000.0</v>
      </c>
      <c r="K141" s="272">
        <f t="shared" si="2"/>
        <v>0</v>
      </c>
      <c r="L141" s="273"/>
      <c r="M141" s="273"/>
      <c r="N141" s="273"/>
    </row>
    <row r="142" ht="26.25" customHeight="1">
      <c r="A142" s="273"/>
      <c r="B142" s="264">
        <v>45692.0</v>
      </c>
      <c r="C142" s="265" t="s">
        <v>965</v>
      </c>
      <c r="D142" s="266" t="s">
        <v>57</v>
      </c>
      <c r="E142" s="283" t="s">
        <v>734</v>
      </c>
      <c r="F142" s="268"/>
      <c r="G142" s="269">
        <v>55000.0</v>
      </c>
      <c r="H142" s="270">
        <v>0.0</v>
      </c>
      <c r="I142" s="269">
        <v>55000.0</v>
      </c>
      <c r="J142" s="271">
        <v>55000.0</v>
      </c>
      <c r="K142" s="272">
        <f t="shared" si="2"/>
        <v>0</v>
      </c>
      <c r="L142" s="273"/>
      <c r="M142" s="273"/>
      <c r="N142" s="273"/>
    </row>
    <row r="143" ht="26.25" customHeight="1">
      <c r="A143" s="277" t="s">
        <v>1149</v>
      </c>
      <c r="B143" s="264">
        <v>45692.0</v>
      </c>
      <c r="C143" s="265" t="s">
        <v>968</v>
      </c>
      <c r="D143" s="266" t="s">
        <v>57</v>
      </c>
      <c r="E143" s="283" t="s">
        <v>1150</v>
      </c>
      <c r="F143" s="268"/>
      <c r="G143" s="269">
        <v>55000.0</v>
      </c>
      <c r="H143" s="270">
        <v>0.0</v>
      </c>
      <c r="I143" s="269">
        <v>55000.0</v>
      </c>
      <c r="J143" s="271">
        <v>55000.0</v>
      </c>
      <c r="K143" s="272">
        <f t="shared" si="2"/>
        <v>0</v>
      </c>
      <c r="L143" s="273"/>
      <c r="M143" s="273"/>
      <c r="N143" s="273"/>
    </row>
    <row r="144" ht="26.25" customHeight="1">
      <c r="A144" s="281" t="s">
        <v>1151</v>
      </c>
      <c r="B144" s="264">
        <v>45692.0</v>
      </c>
      <c r="C144" s="275" t="s">
        <v>960</v>
      </c>
      <c r="D144" s="266" t="s">
        <v>1011</v>
      </c>
      <c r="E144" s="283" t="s">
        <v>993</v>
      </c>
      <c r="F144" s="268"/>
      <c r="G144" s="269">
        <v>40000.0</v>
      </c>
      <c r="H144" s="270">
        <v>0.0</v>
      </c>
      <c r="I144" s="269">
        <v>40000.0</v>
      </c>
      <c r="J144" s="271">
        <v>40000.0</v>
      </c>
      <c r="K144" s="272">
        <f t="shared" si="2"/>
        <v>0</v>
      </c>
      <c r="L144" s="273"/>
      <c r="M144" s="273"/>
      <c r="N144" s="273"/>
    </row>
    <row r="145" ht="26.25" customHeight="1">
      <c r="A145" s="274"/>
      <c r="B145" s="264">
        <v>45692.0</v>
      </c>
      <c r="C145" s="265" t="s">
        <v>965</v>
      </c>
      <c r="D145" s="266" t="s">
        <v>57</v>
      </c>
      <c r="E145" s="283" t="s">
        <v>1112</v>
      </c>
      <c r="F145" s="268"/>
      <c r="G145" s="269">
        <v>35000.0</v>
      </c>
      <c r="H145" s="270">
        <v>0.0</v>
      </c>
      <c r="I145" s="269">
        <v>35000.0</v>
      </c>
      <c r="J145" s="271">
        <v>35000.0</v>
      </c>
      <c r="K145" s="272">
        <f t="shared" si="2"/>
        <v>0</v>
      </c>
      <c r="L145" s="273"/>
      <c r="M145" s="273"/>
      <c r="N145" s="273"/>
    </row>
    <row r="146" ht="26.25" customHeight="1">
      <c r="A146" s="274"/>
      <c r="B146" s="264">
        <v>45692.0</v>
      </c>
      <c r="C146" s="265" t="s">
        <v>968</v>
      </c>
      <c r="D146" s="266" t="s">
        <v>57</v>
      </c>
      <c r="E146" s="283" t="s">
        <v>1152</v>
      </c>
      <c r="F146" s="268"/>
      <c r="G146" s="269">
        <v>20000.0</v>
      </c>
      <c r="H146" s="270">
        <v>0.0</v>
      </c>
      <c r="I146" s="269">
        <v>20000.0</v>
      </c>
      <c r="J146" s="271">
        <v>20000.0</v>
      </c>
      <c r="K146" s="272">
        <f t="shared" si="2"/>
        <v>0</v>
      </c>
      <c r="L146" s="273"/>
      <c r="M146" s="273"/>
      <c r="N146" s="273"/>
    </row>
    <row r="147" ht="26.25" customHeight="1">
      <c r="A147" s="281" t="s">
        <v>1153</v>
      </c>
      <c r="B147" s="264">
        <v>45692.0</v>
      </c>
      <c r="C147" s="265" t="s">
        <v>960</v>
      </c>
      <c r="D147" s="266" t="s">
        <v>1154</v>
      </c>
      <c r="E147" s="283" t="s">
        <v>1154</v>
      </c>
      <c r="F147" s="268"/>
      <c r="G147" s="269">
        <v>14000.0</v>
      </c>
      <c r="H147" s="270">
        <v>0.0</v>
      </c>
      <c r="I147" s="269">
        <v>14000.0</v>
      </c>
      <c r="J147" s="271">
        <v>14000.0</v>
      </c>
      <c r="K147" s="272">
        <f t="shared" si="2"/>
        <v>0</v>
      </c>
      <c r="L147" s="273"/>
      <c r="M147" s="273"/>
      <c r="N147" s="273"/>
    </row>
    <row r="148" ht="26.25" customHeight="1">
      <c r="A148" s="274"/>
      <c r="B148" s="264">
        <v>45693.0</v>
      </c>
      <c r="C148" s="265" t="s">
        <v>965</v>
      </c>
      <c r="D148" s="266" t="s">
        <v>57</v>
      </c>
      <c r="E148" s="283" t="s">
        <v>1155</v>
      </c>
      <c r="F148" s="268"/>
      <c r="G148" s="269">
        <v>500000.0</v>
      </c>
      <c r="H148" s="270">
        <v>0.0</v>
      </c>
      <c r="I148" s="269">
        <v>500000.0</v>
      </c>
      <c r="J148" s="271">
        <v>500000.0</v>
      </c>
      <c r="K148" s="272">
        <f t="shared" si="2"/>
        <v>0</v>
      </c>
      <c r="L148" s="273"/>
      <c r="M148" s="273"/>
      <c r="N148" s="273"/>
    </row>
    <row r="149" ht="26.25" customHeight="1">
      <c r="A149" s="274"/>
      <c r="B149" s="264">
        <v>45693.0</v>
      </c>
      <c r="C149" s="265" t="s">
        <v>1035</v>
      </c>
      <c r="D149" s="266" t="s">
        <v>57</v>
      </c>
      <c r="E149" s="283" t="s">
        <v>1156</v>
      </c>
      <c r="F149" s="268"/>
      <c r="G149" s="269">
        <v>50000.0</v>
      </c>
      <c r="H149" s="270">
        <v>0.0</v>
      </c>
      <c r="I149" s="269">
        <v>50000.0</v>
      </c>
      <c r="J149" s="271">
        <v>50000.0</v>
      </c>
      <c r="K149" s="272">
        <f t="shared" si="2"/>
        <v>0</v>
      </c>
      <c r="L149" s="273"/>
      <c r="M149" s="273"/>
      <c r="N149" s="273"/>
    </row>
    <row r="150" ht="26.25" customHeight="1">
      <c r="A150" s="273"/>
      <c r="B150" s="264">
        <v>45693.0</v>
      </c>
      <c r="C150" s="265" t="s">
        <v>968</v>
      </c>
      <c r="D150" s="266" t="s">
        <v>57</v>
      </c>
      <c r="E150" s="267" t="s">
        <v>1157</v>
      </c>
      <c r="F150" s="268"/>
      <c r="G150" s="269">
        <v>37000.0</v>
      </c>
      <c r="H150" s="270">
        <v>0.0</v>
      </c>
      <c r="I150" s="269">
        <v>37000.0</v>
      </c>
      <c r="J150" s="271">
        <v>37000.0</v>
      </c>
      <c r="K150" s="272">
        <f t="shared" si="2"/>
        <v>0</v>
      </c>
      <c r="L150" s="273"/>
      <c r="M150" s="273"/>
      <c r="N150" s="273"/>
    </row>
    <row r="151" ht="26.25" customHeight="1">
      <c r="A151" s="273"/>
      <c r="B151" s="264">
        <v>45693.0</v>
      </c>
      <c r="C151" s="284" t="s">
        <v>965</v>
      </c>
      <c r="D151" s="266" t="s">
        <v>57</v>
      </c>
      <c r="E151" s="267" t="s">
        <v>1158</v>
      </c>
      <c r="F151" s="268"/>
      <c r="G151" s="269">
        <v>10000.0</v>
      </c>
      <c r="H151" s="270">
        <v>0.0</v>
      </c>
      <c r="I151" s="269">
        <v>10000.0</v>
      </c>
      <c r="J151" s="271">
        <v>10000.0</v>
      </c>
      <c r="K151" s="272">
        <f t="shared" si="2"/>
        <v>0</v>
      </c>
      <c r="L151" s="273"/>
      <c r="M151" s="273"/>
      <c r="N151" s="273"/>
    </row>
    <row r="152" ht="26.25" customHeight="1">
      <c r="A152" s="281" t="s">
        <v>1159</v>
      </c>
      <c r="B152" s="264">
        <v>45693.0</v>
      </c>
      <c r="C152" s="275"/>
      <c r="D152" s="266" t="s">
        <v>57</v>
      </c>
      <c r="E152" s="283" t="s">
        <v>1011</v>
      </c>
      <c r="F152" s="268"/>
      <c r="G152" s="269">
        <v>10000.0</v>
      </c>
      <c r="H152" s="270">
        <v>0.0</v>
      </c>
      <c r="I152" s="269">
        <v>10000.0</v>
      </c>
      <c r="J152" s="271">
        <v>10000.0</v>
      </c>
      <c r="K152" s="272">
        <f t="shared" si="2"/>
        <v>0</v>
      </c>
      <c r="L152" s="273"/>
      <c r="M152" s="273"/>
      <c r="N152" s="273"/>
    </row>
    <row r="153" ht="26.25" customHeight="1">
      <c r="A153" s="273"/>
      <c r="B153" s="264">
        <v>45693.0</v>
      </c>
      <c r="C153" s="275" t="s">
        <v>965</v>
      </c>
      <c r="D153" s="266" t="s">
        <v>57</v>
      </c>
      <c r="E153" s="267" t="s">
        <v>1160</v>
      </c>
      <c r="F153" s="268"/>
      <c r="G153" s="269">
        <v>5000.0</v>
      </c>
      <c r="H153" s="270">
        <v>0.0</v>
      </c>
      <c r="I153" s="269">
        <v>5000.0</v>
      </c>
      <c r="J153" s="271">
        <v>5000.0</v>
      </c>
      <c r="K153" s="272">
        <f t="shared" si="2"/>
        <v>0</v>
      </c>
      <c r="L153" s="273"/>
      <c r="M153" s="273"/>
      <c r="N153" s="273"/>
    </row>
    <row r="154" ht="26.25" customHeight="1">
      <c r="A154" s="281" t="s">
        <v>1161</v>
      </c>
      <c r="B154" s="264">
        <v>45694.0</v>
      </c>
      <c r="C154" s="275" t="s">
        <v>965</v>
      </c>
      <c r="D154" s="266" t="s">
        <v>57</v>
      </c>
      <c r="E154" s="267" t="s">
        <v>1162</v>
      </c>
      <c r="F154" s="268"/>
      <c r="G154" s="269">
        <v>285000.0</v>
      </c>
      <c r="H154" s="270">
        <v>0.0</v>
      </c>
      <c r="I154" s="269">
        <v>285000.0</v>
      </c>
      <c r="J154" s="271">
        <v>285000.0</v>
      </c>
      <c r="K154" s="272">
        <f t="shared" si="2"/>
        <v>0</v>
      </c>
      <c r="L154" s="273"/>
      <c r="M154" s="273"/>
      <c r="N154" s="273"/>
    </row>
    <row r="155" ht="26.25" customHeight="1">
      <c r="A155" s="273"/>
      <c r="B155" s="264">
        <v>45694.0</v>
      </c>
      <c r="C155" s="275" t="s">
        <v>960</v>
      </c>
      <c r="D155" s="266" t="s">
        <v>57</v>
      </c>
      <c r="E155" s="267" t="s">
        <v>1163</v>
      </c>
      <c r="F155" s="268"/>
      <c r="G155" s="269">
        <v>200000.0</v>
      </c>
      <c r="H155" s="270">
        <v>0.0</v>
      </c>
      <c r="I155" s="269">
        <v>200000.0</v>
      </c>
      <c r="J155" s="271">
        <v>200000.0</v>
      </c>
      <c r="K155" s="272">
        <f t="shared" si="2"/>
        <v>0</v>
      </c>
      <c r="L155" s="273"/>
      <c r="M155" s="273"/>
      <c r="N155" s="273"/>
    </row>
    <row r="156" ht="26.25" customHeight="1">
      <c r="A156" s="281" t="s">
        <v>1164</v>
      </c>
      <c r="B156" s="264">
        <v>45694.0</v>
      </c>
      <c r="C156" s="275" t="s">
        <v>965</v>
      </c>
      <c r="D156" s="266" t="s">
        <v>57</v>
      </c>
      <c r="E156" s="267" t="s">
        <v>1165</v>
      </c>
      <c r="F156" s="268"/>
      <c r="G156" s="269">
        <v>155000.0</v>
      </c>
      <c r="H156" s="270">
        <v>0.0</v>
      </c>
      <c r="I156" s="269">
        <v>155000.0</v>
      </c>
      <c r="J156" s="271">
        <v>155000.0</v>
      </c>
      <c r="K156" s="272">
        <f t="shared" si="2"/>
        <v>0</v>
      </c>
      <c r="L156" s="273"/>
      <c r="M156" s="273"/>
      <c r="N156" s="273"/>
    </row>
    <row r="157" ht="26.25" customHeight="1">
      <c r="A157" s="281" t="s">
        <v>1166</v>
      </c>
      <c r="B157" s="264">
        <v>45694.0</v>
      </c>
      <c r="C157" s="275" t="s">
        <v>965</v>
      </c>
      <c r="D157" s="266" t="s">
        <v>57</v>
      </c>
      <c r="E157" s="267" t="s">
        <v>1167</v>
      </c>
      <c r="F157" s="268"/>
      <c r="G157" s="269">
        <v>63000.0</v>
      </c>
      <c r="H157" s="270">
        <v>0.0</v>
      </c>
      <c r="I157" s="269">
        <v>63000.0</v>
      </c>
      <c r="J157" s="271">
        <v>63000.0</v>
      </c>
      <c r="K157" s="272">
        <f t="shared" si="2"/>
        <v>0</v>
      </c>
      <c r="L157" s="273"/>
      <c r="M157" s="273"/>
      <c r="N157" s="273"/>
    </row>
    <row r="158" ht="26.25" customHeight="1">
      <c r="A158" s="281" t="s">
        <v>1168</v>
      </c>
      <c r="B158" s="264">
        <v>45694.0</v>
      </c>
      <c r="C158" s="265" t="s">
        <v>965</v>
      </c>
      <c r="D158" s="266" t="s">
        <v>57</v>
      </c>
      <c r="E158" s="267" t="s">
        <v>1169</v>
      </c>
      <c r="F158" s="268"/>
      <c r="G158" s="269">
        <v>34000.0</v>
      </c>
      <c r="H158" s="270">
        <v>0.0</v>
      </c>
      <c r="I158" s="269">
        <v>34000.0</v>
      </c>
      <c r="J158" s="271">
        <v>34000.0</v>
      </c>
      <c r="K158" s="272">
        <f t="shared" si="2"/>
        <v>0</v>
      </c>
      <c r="L158" s="273"/>
      <c r="M158" s="273"/>
      <c r="N158" s="273"/>
    </row>
    <row r="159" ht="26.25" customHeight="1">
      <c r="A159" s="273"/>
      <c r="B159" s="264">
        <v>45694.0</v>
      </c>
      <c r="C159" s="265" t="s">
        <v>995</v>
      </c>
      <c r="D159" s="266" t="s">
        <v>57</v>
      </c>
      <c r="E159" s="267" t="s">
        <v>995</v>
      </c>
      <c r="F159" s="268"/>
      <c r="G159" s="269">
        <v>33500.0</v>
      </c>
      <c r="H159" s="270">
        <v>0.0</v>
      </c>
      <c r="I159" s="269">
        <v>33500.0</v>
      </c>
      <c r="J159" s="271">
        <v>33500.0</v>
      </c>
      <c r="K159" s="272">
        <f t="shared" si="2"/>
        <v>0</v>
      </c>
      <c r="L159" s="273"/>
      <c r="M159" s="273"/>
      <c r="N159" s="273"/>
    </row>
    <row r="160" ht="26.25" customHeight="1">
      <c r="A160" s="281" t="s">
        <v>1170</v>
      </c>
      <c r="B160" s="264">
        <v>45694.0</v>
      </c>
      <c r="C160" s="265" t="s">
        <v>965</v>
      </c>
      <c r="D160" s="266" t="s">
        <v>57</v>
      </c>
      <c r="E160" s="267" t="s">
        <v>1171</v>
      </c>
      <c r="F160" s="268"/>
      <c r="G160" s="269">
        <v>30000.0</v>
      </c>
      <c r="H160" s="270">
        <v>0.0</v>
      </c>
      <c r="I160" s="269">
        <v>30000.0</v>
      </c>
      <c r="J160" s="271">
        <v>30000.0</v>
      </c>
      <c r="K160" s="272">
        <f t="shared" si="2"/>
        <v>0</v>
      </c>
      <c r="L160" s="273"/>
      <c r="M160" s="273"/>
      <c r="N160" s="273"/>
    </row>
    <row r="161" ht="26.25" customHeight="1">
      <c r="A161" s="281" t="s">
        <v>1172</v>
      </c>
      <c r="B161" s="264">
        <v>45694.0</v>
      </c>
      <c r="C161" s="265" t="s">
        <v>957</v>
      </c>
      <c r="D161" s="266" t="s">
        <v>57</v>
      </c>
      <c r="E161" s="267" t="s">
        <v>1173</v>
      </c>
      <c r="F161" s="268"/>
      <c r="G161" s="269">
        <v>29000.0</v>
      </c>
      <c r="H161" s="270">
        <v>0.0</v>
      </c>
      <c r="I161" s="269">
        <v>29000.0</v>
      </c>
      <c r="J161" s="271">
        <v>29000.0</v>
      </c>
      <c r="K161" s="272">
        <f t="shared" si="2"/>
        <v>0</v>
      </c>
      <c r="L161" s="273"/>
      <c r="M161" s="273"/>
      <c r="N161" s="273"/>
    </row>
    <row r="162" ht="26.25" customHeight="1">
      <c r="A162" s="277" t="s">
        <v>1174</v>
      </c>
      <c r="B162" s="264">
        <v>45694.0</v>
      </c>
      <c r="C162" s="265" t="s">
        <v>965</v>
      </c>
      <c r="D162" s="266" t="s">
        <v>57</v>
      </c>
      <c r="E162" s="267" t="s">
        <v>1175</v>
      </c>
      <c r="F162" s="268"/>
      <c r="G162" s="269">
        <v>20000.0</v>
      </c>
      <c r="H162" s="270">
        <v>0.0</v>
      </c>
      <c r="I162" s="269">
        <v>20000.0</v>
      </c>
      <c r="J162" s="271">
        <v>20000.0</v>
      </c>
      <c r="K162" s="272">
        <f t="shared" si="2"/>
        <v>0</v>
      </c>
      <c r="L162" s="273"/>
      <c r="M162" s="273"/>
      <c r="N162" s="273"/>
    </row>
    <row r="163" ht="26.25" customHeight="1">
      <c r="A163" s="281" t="s">
        <v>1176</v>
      </c>
      <c r="B163" s="264">
        <v>45694.0</v>
      </c>
      <c r="C163" s="284" t="s">
        <v>965</v>
      </c>
      <c r="D163" s="266" t="s">
        <v>57</v>
      </c>
      <c r="E163" s="267" t="s">
        <v>1177</v>
      </c>
      <c r="F163" s="268"/>
      <c r="G163" s="269">
        <v>15000.0</v>
      </c>
      <c r="H163" s="270">
        <v>0.0</v>
      </c>
      <c r="I163" s="269">
        <v>15000.0</v>
      </c>
      <c r="J163" s="271">
        <v>15000.0</v>
      </c>
      <c r="K163" s="272">
        <f t="shared" si="2"/>
        <v>0</v>
      </c>
      <c r="L163" s="273"/>
      <c r="M163" s="273"/>
      <c r="N163" s="273"/>
    </row>
    <row r="164" ht="26.25" customHeight="1">
      <c r="A164" s="274"/>
      <c r="B164" s="264">
        <v>45694.0</v>
      </c>
      <c r="C164" s="284" t="s">
        <v>965</v>
      </c>
      <c r="D164" s="266" t="s">
        <v>57</v>
      </c>
      <c r="E164" s="267" t="s">
        <v>1178</v>
      </c>
      <c r="F164" s="268"/>
      <c r="G164" s="269">
        <v>13000.0</v>
      </c>
      <c r="H164" s="270">
        <v>0.0</v>
      </c>
      <c r="I164" s="269">
        <v>13000.0</v>
      </c>
      <c r="J164" s="271">
        <v>13000.0</v>
      </c>
      <c r="K164" s="272">
        <f t="shared" si="2"/>
        <v>0</v>
      </c>
      <c r="L164" s="273"/>
      <c r="M164" s="273"/>
      <c r="N164" s="273"/>
    </row>
    <row r="165" ht="26.25" customHeight="1">
      <c r="A165" s="281" t="s">
        <v>1179</v>
      </c>
      <c r="B165" s="264">
        <v>45694.0</v>
      </c>
      <c r="C165" s="275" t="s">
        <v>965</v>
      </c>
      <c r="D165" s="266" t="s">
        <v>57</v>
      </c>
      <c r="E165" s="267" t="s">
        <v>1180</v>
      </c>
      <c r="F165" s="268"/>
      <c r="G165" s="269">
        <v>13000.0</v>
      </c>
      <c r="H165" s="270">
        <v>0.0</v>
      </c>
      <c r="I165" s="269">
        <v>13000.0</v>
      </c>
      <c r="J165" s="271">
        <v>13000.0</v>
      </c>
      <c r="K165" s="272">
        <f t="shared" si="2"/>
        <v>0</v>
      </c>
      <c r="L165" s="273"/>
      <c r="M165" s="273"/>
      <c r="N165" s="273"/>
    </row>
    <row r="166" ht="26.25" customHeight="1">
      <c r="A166" s="273"/>
      <c r="B166" s="264">
        <v>45694.0</v>
      </c>
      <c r="C166" s="275" t="s">
        <v>965</v>
      </c>
      <c r="D166" s="266" t="s">
        <v>57</v>
      </c>
      <c r="E166" s="267" t="s">
        <v>1181</v>
      </c>
      <c r="F166" s="268"/>
      <c r="G166" s="269">
        <v>12000.0</v>
      </c>
      <c r="H166" s="270">
        <v>0.0</v>
      </c>
      <c r="I166" s="269">
        <v>12000.0</v>
      </c>
      <c r="J166" s="271">
        <v>12000.0</v>
      </c>
      <c r="K166" s="272">
        <f t="shared" si="2"/>
        <v>0</v>
      </c>
      <c r="L166" s="273"/>
      <c r="M166" s="273"/>
      <c r="N166" s="273"/>
    </row>
    <row r="167" ht="26.25" customHeight="1">
      <c r="A167" s="281" t="s">
        <v>1182</v>
      </c>
      <c r="B167" s="264">
        <v>45694.0</v>
      </c>
      <c r="C167" s="275" t="s">
        <v>965</v>
      </c>
      <c r="D167" s="266" t="s">
        <v>57</v>
      </c>
      <c r="E167" s="267" t="s">
        <v>1183</v>
      </c>
      <c r="F167" s="268"/>
      <c r="G167" s="269">
        <v>10000.0</v>
      </c>
      <c r="H167" s="270">
        <v>0.0</v>
      </c>
      <c r="I167" s="269">
        <v>10000.0</v>
      </c>
      <c r="J167" s="271">
        <v>10000.0</v>
      </c>
      <c r="K167" s="272">
        <f t="shared" si="2"/>
        <v>0</v>
      </c>
      <c r="L167" s="273"/>
      <c r="M167" s="273"/>
      <c r="N167" s="273"/>
    </row>
    <row r="168" ht="26.25" customHeight="1">
      <c r="A168" s="273"/>
      <c r="B168" s="264">
        <v>45694.0</v>
      </c>
      <c r="C168" s="275" t="s">
        <v>965</v>
      </c>
      <c r="D168" s="266" t="s">
        <v>57</v>
      </c>
      <c r="E168" s="267" t="s">
        <v>1034</v>
      </c>
      <c r="F168" s="268"/>
      <c r="G168" s="269">
        <v>8000.0</v>
      </c>
      <c r="H168" s="270">
        <v>0.0</v>
      </c>
      <c r="I168" s="269">
        <v>8000.0</v>
      </c>
      <c r="J168" s="271">
        <v>8000.0</v>
      </c>
      <c r="K168" s="272">
        <f t="shared" si="2"/>
        <v>0</v>
      </c>
      <c r="L168" s="273"/>
      <c r="M168" s="273"/>
      <c r="N168" s="273"/>
    </row>
    <row r="169" ht="26.25" customHeight="1">
      <c r="A169" s="273"/>
      <c r="B169" s="264">
        <v>45694.0</v>
      </c>
      <c r="C169" s="265" t="s">
        <v>965</v>
      </c>
      <c r="D169" s="266" t="s">
        <v>57</v>
      </c>
      <c r="E169" s="267" t="s">
        <v>1184</v>
      </c>
      <c r="F169" s="268"/>
      <c r="G169" s="269">
        <v>8000.0</v>
      </c>
      <c r="H169" s="270">
        <v>0.0</v>
      </c>
      <c r="I169" s="269">
        <v>8000.0</v>
      </c>
      <c r="J169" s="271">
        <v>8000.0</v>
      </c>
      <c r="K169" s="272">
        <f t="shared" si="2"/>
        <v>0</v>
      </c>
      <c r="L169" s="273"/>
      <c r="M169" s="273"/>
      <c r="N169" s="273"/>
    </row>
    <row r="170" ht="26.25" customHeight="1">
      <c r="A170" s="274"/>
      <c r="B170" s="264">
        <v>45694.0</v>
      </c>
      <c r="C170" s="265" t="s">
        <v>965</v>
      </c>
      <c r="D170" s="285" t="s">
        <v>57</v>
      </c>
      <c r="E170" s="267" t="s">
        <v>1185</v>
      </c>
      <c r="F170" s="268"/>
      <c r="G170" s="269">
        <v>5000.0</v>
      </c>
      <c r="H170" s="270">
        <v>0.0</v>
      </c>
      <c r="I170" s="269">
        <v>5000.0</v>
      </c>
      <c r="J170" s="271">
        <v>5000.0</v>
      </c>
      <c r="K170" s="272">
        <f t="shared" si="2"/>
        <v>0</v>
      </c>
      <c r="L170" s="273"/>
      <c r="M170" s="273"/>
      <c r="N170" s="273"/>
    </row>
    <row r="171" ht="26.25" customHeight="1">
      <c r="A171" s="281" t="s">
        <v>1186</v>
      </c>
      <c r="B171" s="264">
        <v>45695.0</v>
      </c>
      <c r="C171" s="265" t="s">
        <v>965</v>
      </c>
      <c r="D171" s="286"/>
      <c r="E171" s="267" t="s">
        <v>1187</v>
      </c>
      <c r="F171" s="268"/>
      <c r="G171" s="269">
        <v>338000.0</v>
      </c>
      <c r="H171" s="270">
        <v>0.0</v>
      </c>
      <c r="I171" s="269">
        <v>338000.0</v>
      </c>
      <c r="J171" s="271">
        <v>338000.0</v>
      </c>
      <c r="K171" s="272">
        <f t="shared" si="2"/>
        <v>0</v>
      </c>
      <c r="L171" s="273"/>
      <c r="M171" s="273"/>
      <c r="N171" s="273"/>
    </row>
    <row r="172" ht="26.25" customHeight="1">
      <c r="A172" s="273"/>
      <c r="B172" s="264">
        <v>45695.0</v>
      </c>
      <c r="C172" s="265" t="s">
        <v>1035</v>
      </c>
      <c r="D172" s="285" t="s">
        <v>57</v>
      </c>
      <c r="E172" s="267" t="s">
        <v>1171</v>
      </c>
      <c r="F172" s="268"/>
      <c r="G172" s="269">
        <v>50000.0</v>
      </c>
      <c r="H172" s="270">
        <v>0.0</v>
      </c>
      <c r="I172" s="269">
        <v>50000.0</v>
      </c>
      <c r="J172" s="271">
        <v>50000.0</v>
      </c>
      <c r="K172" s="272">
        <f t="shared" si="2"/>
        <v>0</v>
      </c>
      <c r="L172" s="273"/>
      <c r="M172" s="273"/>
      <c r="N172" s="273"/>
    </row>
    <row r="173" ht="26.25" customHeight="1">
      <c r="A173" s="273"/>
      <c r="B173" s="264">
        <v>45696.0</v>
      </c>
      <c r="C173" s="265" t="s">
        <v>974</v>
      </c>
      <c r="D173" s="285" t="s">
        <v>57</v>
      </c>
      <c r="E173" s="267" t="s">
        <v>1188</v>
      </c>
      <c r="F173" s="268"/>
      <c r="G173" s="269">
        <v>150000.0</v>
      </c>
      <c r="H173" s="270">
        <v>0.0</v>
      </c>
      <c r="I173" s="269">
        <v>150000.0</v>
      </c>
      <c r="J173" s="271">
        <v>150000.0</v>
      </c>
      <c r="K173" s="272">
        <f t="shared" si="2"/>
        <v>0</v>
      </c>
      <c r="L173" s="273"/>
      <c r="M173" s="273"/>
      <c r="N173" s="273"/>
    </row>
    <row r="174" ht="26.25" customHeight="1">
      <c r="A174" s="273"/>
      <c r="B174" s="264">
        <v>45697.0</v>
      </c>
      <c r="C174" s="265" t="s">
        <v>965</v>
      </c>
      <c r="D174" s="285" t="s">
        <v>57</v>
      </c>
      <c r="E174" s="267" t="s">
        <v>1189</v>
      </c>
      <c r="F174" s="268"/>
      <c r="G174" s="269">
        <v>170000.0</v>
      </c>
      <c r="H174" s="270">
        <v>0.0</v>
      </c>
      <c r="I174" s="269">
        <v>170000.0</v>
      </c>
      <c r="J174" s="271">
        <v>170000.0</v>
      </c>
      <c r="K174" s="272">
        <f t="shared" si="2"/>
        <v>0</v>
      </c>
      <c r="L174" s="273"/>
      <c r="M174" s="273"/>
      <c r="N174" s="273"/>
    </row>
    <row r="175" ht="26.25" customHeight="1">
      <c r="A175" s="277" t="s">
        <v>1190</v>
      </c>
      <c r="B175" s="264">
        <v>45697.0</v>
      </c>
      <c r="C175" s="265" t="s">
        <v>1035</v>
      </c>
      <c r="D175" s="266" t="s">
        <v>57</v>
      </c>
      <c r="E175" s="267" t="s">
        <v>1191</v>
      </c>
      <c r="F175" s="268"/>
      <c r="G175" s="269">
        <v>104000.0</v>
      </c>
      <c r="H175" s="270">
        <v>0.0</v>
      </c>
      <c r="I175" s="269">
        <v>104000.0</v>
      </c>
      <c r="J175" s="271">
        <v>104000.0</v>
      </c>
      <c r="K175" s="272">
        <f t="shared" si="2"/>
        <v>0</v>
      </c>
      <c r="L175" s="273"/>
      <c r="M175" s="273"/>
      <c r="N175" s="273"/>
    </row>
    <row r="176" ht="26.25" customHeight="1">
      <c r="A176" s="274"/>
      <c r="B176" s="264">
        <v>45697.0</v>
      </c>
      <c r="C176" s="265" t="s">
        <v>965</v>
      </c>
      <c r="D176" s="266" t="s">
        <v>57</v>
      </c>
      <c r="E176" s="267" t="s">
        <v>1192</v>
      </c>
      <c r="F176" s="268"/>
      <c r="G176" s="269">
        <v>50000.0</v>
      </c>
      <c r="H176" s="270">
        <v>0.0</v>
      </c>
      <c r="I176" s="269">
        <v>50000.0</v>
      </c>
      <c r="J176" s="271">
        <v>50000.0</v>
      </c>
      <c r="K176" s="272">
        <f t="shared" si="2"/>
        <v>0</v>
      </c>
      <c r="L176" s="273"/>
      <c r="M176" s="273"/>
      <c r="N176" s="273"/>
    </row>
    <row r="177" ht="26.25" customHeight="1">
      <c r="A177" s="277" t="s">
        <v>1193</v>
      </c>
      <c r="B177" s="264">
        <v>45697.0</v>
      </c>
      <c r="C177" s="265" t="s">
        <v>965</v>
      </c>
      <c r="D177" s="266" t="s">
        <v>57</v>
      </c>
      <c r="E177" s="267" t="s">
        <v>1194</v>
      </c>
      <c r="F177" s="268"/>
      <c r="G177" s="269">
        <v>50000.0</v>
      </c>
      <c r="H177" s="270">
        <v>0.0</v>
      </c>
      <c r="I177" s="269">
        <v>50000.0</v>
      </c>
      <c r="J177" s="271">
        <v>50000.0</v>
      </c>
      <c r="K177" s="272">
        <f t="shared" si="2"/>
        <v>0</v>
      </c>
      <c r="L177" s="273"/>
      <c r="M177" s="273"/>
      <c r="N177" s="273"/>
    </row>
    <row r="178" ht="26.25" customHeight="1">
      <c r="A178" s="277" t="s">
        <v>1195</v>
      </c>
      <c r="B178" s="264">
        <v>45697.0</v>
      </c>
      <c r="C178" s="265" t="s">
        <v>1035</v>
      </c>
      <c r="D178" s="266" t="s">
        <v>57</v>
      </c>
      <c r="E178" s="287" t="s">
        <v>1196</v>
      </c>
      <c r="F178" s="268"/>
      <c r="G178" s="269">
        <v>50000.0</v>
      </c>
      <c r="H178" s="270">
        <v>0.0</v>
      </c>
      <c r="I178" s="269">
        <v>50000.0</v>
      </c>
      <c r="J178" s="271">
        <v>50000.0</v>
      </c>
      <c r="K178" s="272">
        <f t="shared" si="2"/>
        <v>0</v>
      </c>
      <c r="L178" s="273"/>
      <c r="M178" s="273"/>
      <c r="N178" s="273"/>
    </row>
    <row r="179" ht="26.25" customHeight="1">
      <c r="A179" s="281" t="s">
        <v>1197</v>
      </c>
      <c r="B179" s="264">
        <v>45697.0</v>
      </c>
      <c r="C179" s="280"/>
      <c r="D179" s="266" t="s">
        <v>57</v>
      </c>
      <c r="E179" s="267" t="s">
        <v>1198</v>
      </c>
      <c r="F179" s="268"/>
      <c r="G179" s="269">
        <v>17000.0</v>
      </c>
      <c r="H179" s="270">
        <v>0.0</v>
      </c>
      <c r="I179" s="269">
        <v>17000.0</v>
      </c>
      <c r="J179" s="271">
        <v>17000.0</v>
      </c>
      <c r="K179" s="272">
        <f t="shared" si="2"/>
        <v>0</v>
      </c>
      <c r="L179" s="273"/>
      <c r="M179" s="273"/>
      <c r="N179" s="273"/>
    </row>
    <row r="180" ht="26.25" customHeight="1">
      <c r="A180" s="277" t="s">
        <v>1199</v>
      </c>
      <c r="B180" s="264">
        <v>45697.0</v>
      </c>
      <c r="C180" s="265" t="s">
        <v>957</v>
      </c>
      <c r="D180" s="266" t="s">
        <v>1200</v>
      </c>
      <c r="E180" s="267" t="s">
        <v>1201</v>
      </c>
      <c r="F180" s="268"/>
      <c r="G180" s="269">
        <v>15000.0</v>
      </c>
      <c r="H180" s="270">
        <v>0.0</v>
      </c>
      <c r="I180" s="269">
        <v>15000.0</v>
      </c>
      <c r="J180" s="271">
        <v>15000.0</v>
      </c>
      <c r="K180" s="272">
        <f t="shared" si="2"/>
        <v>0</v>
      </c>
      <c r="L180" s="273"/>
      <c r="M180" s="273"/>
      <c r="N180" s="273"/>
    </row>
    <row r="181" ht="26.25" customHeight="1">
      <c r="A181" s="274"/>
      <c r="B181" s="264">
        <v>45697.0</v>
      </c>
      <c r="C181" s="265" t="s">
        <v>1098</v>
      </c>
      <c r="D181" s="266" t="s">
        <v>57</v>
      </c>
      <c r="E181" s="267" t="s">
        <v>1202</v>
      </c>
      <c r="F181" s="268"/>
      <c r="G181" s="269">
        <v>5000.0</v>
      </c>
      <c r="H181" s="270">
        <v>0.0</v>
      </c>
      <c r="I181" s="269">
        <v>5000.0</v>
      </c>
      <c r="J181" s="271">
        <v>5000.0</v>
      </c>
      <c r="K181" s="272">
        <f t="shared" si="2"/>
        <v>0</v>
      </c>
      <c r="L181" s="273"/>
      <c r="M181" s="273"/>
      <c r="N181" s="273"/>
    </row>
    <row r="182" ht="26.25" customHeight="1">
      <c r="A182" s="277" t="s">
        <v>1203</v>
      </c>
      <c r="B182" s="264">
        <v>45698.0</v>
      </c>
      <c r="C182" s="265" t="s">
        <v>965</v>
      </c>
      <c r="D182" s="266" t="s">
        <v>57</v>
      </c>
      <c r="E182" s="267" t="s">
        <v>980</v>
      </c>
      <c r="F182" s="268"/>
      <c r="G182" s="269">
        <v>1167000.0</v>
      </c>
      <c r="H182" s="270">
        <v>0.0</v>
      </c>
      <c r="I182" s="269">
        <v>1167000.0</v>
      </c>
      <c r="J182" s="271">
        <v>1167000.0</v>
      </c>
      <c r="K182" s="272">
        <f t="shared" si="2"/>
        <v>0</v>
      </c>
      <c r="L182" s="273"/>
      <c r="M182" s="273"/>
      <c r="N182" s="273"/>
    </row>
    <row r="183" ht="26.25" customHeight="1">
      <c r="A183" s="273"/>
      <c r="B183" s="264">
        <v>45698.0</v>
      </c>
      <c r="C183" s="265" t="s">
        <v>1057</v>
      </c>
      <c r="D183" s="285" t="s">
        <v>1204</v>
      </c>
      <c r="E183" s="267" t="s">
        <v>1205</v>
      </c>
      <c r="F183" s="268"/>
      <c r="G183" s="269">
        <v>260000.0</v>
      </c>
      <c r="H183" s="270">
        <v>0.0</v>
      </c>
      <c r="I183" s="269">
        <v>260000.0</v>
      </c>
      <c r="J183" s="271">
        <v>260000.0</v>
      </c>
      <c r="K183" s="272">
        <f t="shared" si="2"/>
        <v>0</v>
      </c>
      <c r="L183" s="273"/>
      <c r="M183" s="273"/>
      <c r="N183" s="273"/>
    </row>
    <row r="184" ht="26.25" customHeight="1">
      <c r="A184" s="277" t="s">
        <v>1206</v>
      </c>
      <c r="B184" s="264">
        <v>45698.0</v>
      </c>
      <c r="C184" s="265" t="s">
        <v>965</v>
      </c>
      <c r="D184" s="266" t="s">
        <v>57</v>
      </c>
      <c r="E184" s="267" t="s">
        <v>1132</v>
      </c>
      <c r="F184" s="268"/>
      <c r="G184" s="269">
        <v>250000.0</v>
      </c>
      <c r="H184" s="270">
        <v>0.0</v>
      </c>
      <c r="I184" s="269">
        <v>250000.0</v>
      </c>
      <c r="J184" s="271">
        <v>250000.0</v>
      </c>
      <c r="K184" s="272">
        <f t="shared" si="2"/>
        <v>0</v>
      </c>
      <c r="L184" s="273"/>
      <c r="M184" s="273"/>
      <c r="N184" s="273"/>
    </row>
    <row r="185" ht="26.25" customHeight="1">
      <c r="A185" s="274"/>
      <c r="B185" s="264">
        <v>45698.0</v>
      </c>
      <c r="C185" s="265" t="s">
        <v>965</v>
      </c>
      <c r="D185" s="266" t="s">
        <v>57</v>
      </c>
      <c r="E185" s="267" t="s">
        <v>1112</v>
      </c>
      <c r="F185" s="268"/>
      <c r="G185" s="269">
        <v>35000.0</v>
      </c>
      <c r="H185" s="270">
        <v>0.0</v>
      </c>
      <c r="I185" s="269">
        <v>35000.0</v>
      </c>
      <c r="J185" s="271">
        <v>35000.0</v>
      </c>
      <c r="K185" s="272">
        <f t="shared" si="2"/>
        <v>0</v>
      </c>
      <c r="L185" s="273"/>
      <c r="M185" s="273"/>
      <c r="N185" s="273"/>
    </row>
    <row r="186" ht="26.25" customHeight="1">
      <c r="A186" s="273"/>
      <c r="B186" s="264">
        <v>45698.0</v>
      </c>
      <c r="C186" s="265" t="s">
        <v>965</v>
      </c>
      <c r="D186" s="266" t="s">
        <v>57</v>
      </c>
      <c r="E186" s="267" t="s">
        <v>1207</v>
      </c>
      <c r="F186" s="268"/>
      <c r="G186" s="269">
        <v>10000.0</v>
      </c>
      <c r="H186" s="270">
        <v>0.0</v>
      </c>
      <c r="I186" s="269">
        <v>10000.0</v>
      </c>
      <c r="J186" s="271">
        <v>10000.0</v>
      </c>
      <c r="K186" s="272">
        <f t="shared" si="2"/>
        <v>0</v>
      </c>
      <c r="L186" s="273"/>
      <c r="M186" s="273"/>
      <c r="N186" s="273"/>
    </row>
    <row r="187" ht="26.25" customHeight="1">
      <c r="A187" s="273"/>
      <c r="B187" s="264">
        <v>45698.0</v>
      </c>
      <c r="C187" s="265" t="s">
        <v>974</v>
      </c>
      <c r="D187" s="266" t="s">
        <v>57</v>
      </c>
      <c r="E187" s="267" t="s">
        <v>1208</v>
      </c>
      <c r="F187" s="268"/>
      <c r="G187" s="269">
        <v>10000.0</v>
      </c>
      <c r="H187" s="270">
        <v>0.0</v>
      </c>
      <c r="I187" s="269">
        <v>10000.0</v>
      </c>
      <c r="J187" s="271">
        <v>10000.0</v>
      </c>
      <c r="K187" s="272">
        <f t="shared" si="2"/>
        <v>0</v>
      </c>
      <c r="L187" s="273"/>
      <c r="M187" s="273"/>
      <c r="N187" s="273"/>
    </row>
    <row r="188" ht="26.25" customHeight="1">
      <c r="A188" s="274"/>
      <c r="B188" s="264">
        <v>45698.0</v>
      </c>
      <c r="C188" s="265" t="s">
        <v>995</v>
      </c>
      <c r="D188" s="266" t="s">
        <v>57</v>
      </c>
      <c r="E188" s="267" t="s">
        <v>1209</v>
      </c>
      <c r="F188" s="268"/>
      <c r="G188" s="269">
        <v>8000.0</v>
      </c>
      <c r="H188" s="270">
        <v>0.0</v>
      </c>
      <c r="I188" s="269">
        <v>8000.0</v>
      </c>
      <c r="J188" s="271">
        <v>8000.0</v>
      </c>
      <c r="K188" s="272">
        <f t="shared" si="2"/>
        <v>0</v>
      </c>
      <c r="L188" s="273"/>
      <c r="M188" s="273"/>
      <c r="N188" s="273"/>
    </row>
    <row r="189" ht="26.25" customHeight="1">
      <c r="A189" s="273"/>
      <c r="B189" s="264">
        <v>45698.0</v>
      </c>
      <c r="C189" s="265" t="s">
        <v>960</v>
      </c>
      <c r="D189" s="285" t="s">
        <v>57</v>
      </c>
      <c r="E189" s="267" t="s">
        <v>1210</v>
      </c>
      <c r="F189" s="268"/>
      <c r="G189" s="269">
        <v>5000.0</v>
      </c>
      <c r="H189" s="270">
        <v>0.0</v>
      </c>
      <c r="I189" s="269">
        <v>5000.0</v>
      </c>
      <c r="J189" s="271">
        <v>5000.0</v>
      </c>
      <c r="K189" s="272">
        <f t="shared" si="2"/>
        <v>0</v>
      </c>
      <c r="L189" s="273"/>
      <c r="M189" s="273"/>
      <c r="N189" s="273"/>
    </row>
    <row r="190" ht="26.25" customHeight="1">
      <c r="A190" s="277" t="s">
        <v>1211</v>
      </c>
      <c r="B190" s="264">
        <v>45699.0</v>
      </c>
      <c r="C190" s="284" t="s">
        <v>965</v>
      </c>
      <c r="D190" s="266" t="s">
        <v>1167</v>
      </c>
      <c r="E190" s="267" t="s">
        <v>1212</v>
      </c>
      <c r="F190" s="268"/>
      <c r="G190" s="269">
        <v>20000.0</v>
      </c>
      <c r="H190" s="270">
        <v>0.0</v>
      </c>
      <c r="I190" s="269">
        <v>20000.0</v>
      </c>
      <c r="J190" s="271">
        <v>20000.0</v>
      </c>
      <c r="K190" s="272">
        <f t="shared" si="2"/>
        <v>0</v>
      </c>
      <c r="L190" s="273"/>
      <c r="M190" s="273"/>
      <c r="N190" s="273"/>
    </row>
    <row r="191" ht="26.25" customHeight="1">
      <c r="A191" s="273"/>
      <c r="B191" s="264">
        <v>45699.0</v>
      </c>
      <c r="C191" s="275" t="s">
        <v>1035</v>
      </c>
      <c r="D191" s="266" t="s">
        <v>57</v>
      </c>
      <c r="E191" s="267" t="s">
        <v>1171</v>
      </c>
      <c r="F191" s="268"/>
      <c r="G191" s="269">
        <v>15000.0</v>
      </c>
      <c r="H191" s="270">
        <v>0.0</v>
      </c>
      <c r="I191" s="269">
        <v>15000.0</v>
      </c>
      <c r="J191" s="271">
        <v>15000.0</v>
      </c>
      <c r="K191" s="272">
        <f t="shared" si="2"/>
        <v>0</v>
      </c>
      <c r="L191" s="273"/>
      <c r="M191" s="273"/>
      <c r="N191" s="273"/>
    </row>
    <row r="192" ht="26.25" customHeight="1">
      <c r="A192" s="281" t="s">
        <v>1213</v>
      </c>
      <c r="B192" s="264">
        <v>45700.0</v>
      </c>
      <c r="C192" s="275" t="s">
        <v>974</v>
      </c>
      <c r="D192" s="266" t="s">
        <v>57</v>
      </c>
      <c r="E192" s="267" t="s">
        <v>1214</v>
      </c>
      <c r="F192" s="268"/>
      <c r="G192" s="269">
        <v>276000.0</v>
      </c>
      <c r="H192" s="270">
        <v>0.0</v>
      </c>
      <c r="I192" s="269">
        <v>276000.0</v>
      </c>
      <c r="J192" s="271">
        <v>276000.0</v>
      </c>
      <c r="K192" s="272">
        <f t="shared" si="2"/>
        <v>0</v>
      </c>
      <c r="L192" s="273"/>
      <c r="M192" s="273"/>
      <c r="N192" s="273"/>
    </row>
    <row r="193" ht="26.25" customHeight="1">
      <c r="A193" s="281" t="s">
        <v>1215</v>
      </c>
      <c r="B193" s="264">
        <v>45700.0</v>
      </c>
      <c r="C193" s="275" t="s">
        <v>960</v>
      </c>
      <c r="D193" s="266" t="s">
        <v>57</v>
      </c>
      <c r="E193" s="267" t="s">
        <v>1111</v>
      </c>
      <c r="F193" s="268"/>
      <c r="G193" s="269">
        <v>150000.0</v>
      </c>
      <c r="H193" s="270">
        <v>0.0</v>
      </c>
      <c r="I193" s="269">
        <v>150000.0</v>
      </c>
      <c r="J193" s="271">
        <v>150000.0</v>
      </c>
      <c r="K193" s="272">
        <f t="shared" si="2"/>
        <v>0</v>
      </c>
      <c r="L193" s="273"/>
      <c r="M193" s="273"/>
      <c r="N193" s="273"/>
    </row>
    <row r="194" ht="26.25" customHeight="1">
      <c r="A194" s="281" t="s">
        <v>1216</v>
      </c>
      <c r="B194" s="264">
        <v>45700.0</v>
      </c>
      <c r="C194" s="275" t="s">
        <v>965</v>
      </c>
      <c r="D194" s="266" t="s">
        <v>1217</v>
      </c>
      <c r="E194" s="267" t="s">
        <v>1218</v>
      </c>
      <c r="F194" s="268"/>
      <c r="G194" s="269">
        <v>137000.0</v>
      </c>
      <c r="H194" s="270">
        <v>0.0</v>
      </c>
      <c r="I194" s="269">
        <v>137000.0</v>
      </c>
      <c r="J194" s="271">
        <v>137000.0</v>
      </c>
      <c r="K194" s="272">
        <f t="shared" si="2"/>
        <v>0</v>
      </c>
      <c r="L194" s="273"/>
      <c r="M194" s="273"/>
      <c r="N194" s="273"/>
    </row>
    <row r="195" ht="26.25" customHeight="1">
      <c r="A195" s="274"/>
      <c r="B195" s="264">
        <v>45700.0</v>
      </c>
      <c r="C195" s="265" t="s">
        <v>960</v>
      </c>
      <c r="D195" s="266" t="s">
        <v>57</v>
      </c>
      <c r="E195" s="267" t="s">
        <v>1219</v>
      </c>
      <c r="F195" s="268"/>
      <c r="G195" s="269">
        <v>30000.0</v>
      </c>
      <c r="H195" s="270">
        <v>0.0</v>
      </c>
      <c r="I195" s="269">
        <v>30000.0</v>
      </c>
      <c r="J195" s="271">
        <v>30000.0</v>
      </c>
      <c r="K195" s="272">
        <f t="shared" si="2"/>
        <v>0</v>
      </c>
      <c r="L195" s="273"/>
      <c r="M195" s="273"/>
      <c r="N195" s="273"/>
    </row>
    <row r="196" ht="26.25" customHeight="1">
      <c r="A196" s="277" t="s">
        <v>1220</v>
      </c>
      <c r="B196" s="264">
        <v>45701.0</v>
      </c>
      <c r="C196" s="265" t="s">
        <v>972</v>
      </c>
      <c r="D196" s="266" t="s">
        <v>1221</v>
      </c>
      <c r="E196" s="267" t="s">
        <v>1222</v>
      </c>
      <c r="F196" s="268"/>
      <c r="G196" s="269">
        <v>390000.0</v>
      </c>
      <c r="H196" s="270">
        <v>0.0</v>
      </c>
      <c r="I196" s="269">
        <v>390000.0</v>
      </c>
      <c r="J196" s="271">
        <v>390000.0</v>
      </c>
      <c r="K196" s="272">
        <f t="shared" si="2"/>
        <v>0</v>
      </c>
      <c r="L196" s="273"/>
      <c r="M196" s="273"/>
      <c r="N196" s="273"/>
    </row>
    <row r="197" ht="26.25" customHeight="1">
      <c r="A197" s="274"/>
      <c r="B197" s="264">
        <v>45701.0</v>
      </c>
      <c r="C197" s="265" t="s">
        <v>960</v>
      </c>
      <c r="D197" s="266" t="s">
        <v>57</v>
      </c>
      <c r="E197" s="267" t="s">
        <v>1223</v>
      </c>
      <c r="F197" s="268"/>
      <c r="G197" s="269">
        <v>21000.0</v>
      </c>
      <c r="H197" s="270">
        <v>0.0</v>
      </c>
      <c r="I197" s="269">
        <v>21000.0</v>
      </c>
      <c r="J197" s="271">
        <v>21000.0</v>
      </c>
      <c r="K197" s="272">
        <f t="shared" si="2"/>
        <v>0</v>
      </c>
      <c r="L197" s="273"/>
      <c r="M197" s="273"/>
      <c r="N197" s="273"/>
    </row>
    <row r="198" ht="26.25" customHeight="1">
      <c r="A198" s="274"/>
      <c r="B198" s="264">
        <v>45701.0</v>
      </c>
      <c r="C198" s="265" t="s">
        <v>960</v>
      </c>
      <c r="D198" s="266" t="s">
        <v>57</v>
      </c>
      <c r="E198" s="267" t="s">
        <v>1224</v>
      </c>
      <c r="F198" s="268"/>
      <c r="G198" s="269">
        <v>10000.0</v>
      </c>
      <c r="H198" s="270">
        <v>0.0</v>
      </c>
      <c r="I198" s="269">
        <v>10000.0</v>
      </c>
      <c r="J198" s="271">
        <v>10000.0</v>
      </c>
      <c r="K198" s="272">
        <f t="shared" si="2"/>
        <v>0</v>
      </c>
      <c r="L198" s="273"/>
      <c r="M198" s="273"/>
      <c r="N198" s="273"/>
    </row>
    <row r="199" ht="26.25" customHeight="1">
      <c r="A199" s="281" t="s">
        <v>1225</v>
      </c>
      <c r="B199" s="264">
        <v>45703.0</v>
      </c>
      <c r="C199" s="265" t="s">
        <v>965</v>
      </c>
      <c r="D199" s="266" t="s">
        <v>57</v>
      </c>
      <c r="E199" s="267" t="s">
        <v>980</v>
      </c>
      <c r="F199" s="268"/>
      <c r="G199" s="269">
        <v>358000.0</v>
      </c>
      <c r="H199" s="270">
        <v>0.0</v>
      </c>
      <c r="I199" s="269">
        <v>358000.0</v>
      </c>
      <c r="J199" s="271">
        <v>358000.0</v>
      </c>
      <c r="K199" s="272">
        <f t="shared" si="2"/>
        <v>0</v>
      </c>
      <c r="L199" s="273"/>
      <c r="M199" s="273"/>
      <c r="N199" s="273"/>
    </row>
    <row r="200" ht="26.25" customHeight="1">
      <c r="A200" s="273"/>
      <c r="B200" s="264">
        <v>45703.0</v>
      </c>
      <c r="C200" s="265" t="s">
        <v>960</v>
      </c>
      <c r="D200" s="266" t="s">
        <v>57</v>
      </c>
      <c r="E200" s="267" t="s">
        <v>1226</v>
      </c>
      <c r="F200" s="268"/>
      <c r="G200" s="269">
        <v>25000.0</v>
      </c>
      <c r="H200" s="270">
        <v>0.0</v>
      </c>
      <c r="I200" s="269">
        <v>25000.0</v>
      </c>
      <c r="J200" s="271">
        <v>25000.0</v>
      </c>
      <c r="K200" s="272">
        <f t="shared" si="2"/>
        <v>0</v>
      </c>
      <c r="L200" s="273"/>
      <c r="M200" s="273"/>
      <c r="N200" s="273"/>
    </row>
    <row r="201" ht="26.25" customHeight="1">
      <c r="A201" s="274"/>
      <c r="B201" s="264">
        <v>45703.0</v>
      </c>
      <c r="C201" s="265" t="s">
        <v>960</v>
      </c>
      <c r="D201" s="266" t="s">
        <v>57</v>
      </c>
      <c r="E201" s="267" t="s">
        <v>201</v>
      </c>
      <c r="F201" s="268"/>
      <c r="G201" s="269">
        <v>10000.0</v>
      </c>
      <c r="H201" s="270">
        <v>0.0</v>
      </c>
      <c r="I201" s="269">
        <v>10000.0</v>
      </c>
      <c r="J201" s="271">
        <v>10000.0</v>
      </c>
      <c r="K201" s="272">
        <f t="shared" si="2"/>
        <v>0</v>
      </c>
      <c r="L201" s="273"/>
      <c r="M201" s="273"/>
      <c r="N201" s="273"/>
    </row>
    <row r="202" ht="26.25" customHeight="1">
      <c r="A202" s="273"/>
      <c r="B202" s="264">
        <v>45703.0</v>
      </c>
      <c r="C202" s="265" t="s">
        <v>960</v>
      </c>
      <c r="D202" s="266" t="s">
        <v>57</v>
      </c>
      <c r="E202" s="267" t="s">
        <v>1227</v>
      </c>
      <c r="F202" s="268"/>
      <c r="G202" s="269">
        <v>10000.0</v>
      </c>
      <c r="H202" s="270">
        <v>0.0</v>
      </c>
      <c r="I202" s="269">
        <v>10000.0</v>
      </c>
      <c r="J202" s="271">
        <v>10000.0</v>
      </c>
      <c r="K202" s="272">
        <f t="shared" si="2"/>
        <v>0</v>
      </c>
      <c r="L202" s="273"/>
      <c r="M202" s="273"/>
      <c r="N202" s="273"/>
    </row>
    <row r="203" ht="26.25" customHeight="1">
      <c r="A203" s="281" t="s">
        <v>1228</v>
      </c>
      <c r="B203" s="264">
        <v>45704.0</v>
      </c>
      <c r="C203" s="275" t="s">
        <v>960</v>
      </c>
      <c r="D203" s="266" t="s">
        <v>57</v>
      </c>
      <c r="E203" s="267" t="s">
        <v>1229</v>
      </c>
      <c r="F203" s="268"/>
      <c r="G203" s="269">
        <v>12500.0</v>
      </c>
      <c r="H203" s="270">
        <v>0.0</v>
      </c>
      <c r="I203" s="269">
        <v>12500.0</v>
      </c>
      <c r="J203" s="271">
        <v>12500.0</v>
      </c>
      <c r="K203" s="272">
        <f t="shared" si="2"/>
        <v>0</v>
      </c>
      <c r="L203" s="273"/>
      <c r="M203" s="273"/>
      <c r="N203" s="273"/>
    </row>
    <row r="204" ht="26.25" customHeight="1">
      <c r="A204" s="273"/>
      <c r="B204" s="264">
        <v>45705.0</v>
      </c>
      <c r="C204" s="275" t="s">
        <v>1098</v>
      </c>
      <c r="D204" s="266" t="s">
        <v>57</v>
      </c>
      <c r="E204" s="267" t="s">
        <v>326</v>
      </c>
      <c r="F204" s="268"/>
      <c r="G204" s="269">
        <v>160000.0</v>
      </c>
      <c r="H204" s="270">
        <v>0.0</v>
      </c>
      <c r="I204" s="269">
        <v>160000.0</v>
      </c>
      <c r="J204" s="271">
        <v>160000.0</v>
      </c>
      <c r="K204" s="272">
        <f t="shared" si="2"/>
        <v>0</v>
      </c>
      <c r="L204" s="273"/>
      <c r="M204" s="273"/>
      <c r="N204" s="273"/>
    </row>
    <row r="205" ht="26.25" customHeight="1">
      <c r="A205" s="273"/>
      <c r="B205" s="264">
        <v>45705.0</v>
      </c>
      <c r="C205" s="275" t="s">
        <v>960</v>
      </c>
      <c r="D205" s="266" t="s">
        <v>57</v>
      </c>
      <c r="E205" s="267" t="s">
        <v>1230</v>
      </c>
      <c r="F205" s="268"/>
      <c r="G205" s="269">
        <v>122000.0</v>
      </c>
      <c r="H205" s="270">
        <v>0.0</v>
      </c>
      <c r="I205" s="269">
        <v>122000.0</v>
      </c>
      <c r="J205" s="271">
        <v>122000.0</v>
      </c>
      <c r="K205" s="272">
        <f t="shared" si="2"/>
        <v>0</v>
      </c>
      <c r="L205" s="273"/>
      <c r="M205" s="273"/>
      <c r="N205" s="273"/>
    </row>
    <row r="206" ht="26.25" customHeight="1">
      <c r="A206" s="268"/>
      <c r="B206" s="264">
        <v>45705.0</v>
      </c>
      <c r="C206" s="275" t="s">
        <v>974</v>
      </c>
      <c r="D206" s="266" t="s">
        <v>57</v>
      </c>
      <c r="E206" s="267" t="s">
        <v>1231</v>
      </c>
      <c r="F206" s="268"/>
      <c r="G206" s="269">
        <v>65000.0</v>
      </c>
      <c r="H206" s="270">
        <v>0.0</v>
      </c>
      <c r="I206" s="269">
        <v>65000.0</v>
      </c>
      <c r="J206" s="271">
        <v>65000.0</v>
      </c>
      <c r="K206" s="272">
        <f t="shared" si="2"/>
        <v>0</v>
      </c>
      <c r="L206" s="273"/>
      <c r="M206" s="273"/>
      <c r="N206" s="273"/>
    </row>
    <row r="207" ht="26.25" customHeight="1">
      <c r="A207" s="273"/>
      <c r="B207" s="264">
        <v>45705.0</v>
      </c>
      <c r="C207" s="275" t="s">
        <v>960</v>
      </c>
      <c r="D207" s="266" t="s">
        <v>57</v>
      </c>
      <c r="E207" s="267" t="s">
        <v>1171</v>
      </c>
      <c r="F207" s="268"/>
      <c r="G207" s="269">
        <v>15000.0</v>
      </c>
      <c r="H207" s="270">
        <v>0.0</v>
      </c>
      <c r="I207" s="269">
        <v>15000.0</v>
      </c>
      <c r="J207" s="271">
        <v>15000.0</v>
      </c>
      <c r="K207" s="272">
        <f t="shared" si="2"/>
        <v>0</v>
      </c>
      <c r="L207" s="273"/>
      <c r="M207" s="273"/>
      <c r="N207" s="273"/>
    </row>
    <row r="208" ht="26.25" customHeight="1">
      <c r="A208" s="273"/>
      <c r="B208" s="264">
        <v>45705.0</v>
      </c>
      <c r="C208" s="275" t="s">
        <v>995</v>
      </c>
      <c r="D208" s="266" t="s">
        <v>57</v>
      </c>
      <c r="E208" s="267" t="s">
        <v>1232</v>
      </c>
      <c r="F208" s="268"/>
      <c r="G208" s="269">
        <v>5000.0</v>
      </c>
      <c r="H208" s="270">
        <v>0.0</v>
      </c>
      <c r="I208" s="269">
        <v>5000.0</v>
      </c>
      <c r="J208" s="271">
        <v>5000.0</v>
      </c>
      <c r="K208" s="272">
        <f t="shared" si="2"/>
        <v>0</v>
      </c>
      <c r="L208" s="273"/>
      <c r="M208" s="273"/>
      <c r="N208" s="273"/>
    </row>
    <row r="209" ht="26.25" customHeight="1">
      <c r="A209" s="273"/>
      <c r="B209" s="264">
        <v>45705.0</v>
      </c>
      <c r="C209" s="265" t="s">
        <v>995</v>
      </c>
      <c r="D209" s="266" t="s">
        <v>57</v>
      </c>
      <c r="E209" s="267" t="s">
        <v>1207</v>
      </c>
      <c r="F209" s="268"/>
      <c r="G209" s="269">
        <v>5000.0</v>
      </c>
      <c r="H209" s="270">
        <v>0.0</v>
      </c>
      <c r="I209" s="269">
        <v>5000.0</v>
      </c>
      <c r="J209" s="271">
        <v>5000.0</v>
      </c>
      <c r="K209" s="272">
        <f t="shared" si="2"/>
        <v>0</v>
      </c>
      <c r="L209" s="273"/>
      <c r="M209" s="273"/>
      <c r="N209" s="273"/>
    </row>
    <row r="210" ht="26.25" customHeight="1">
      <c r="A210" s="281" t="s">
        <v>1233</v>
      </c>
      <c r="B210" s="264">
        <v>45706.0</v>
      </c>
      <c r="C210" s="265" t="s">
        <v>960</v>
      </c>
      <c r="D210" s="266" t="s">
        <v>57</v>
      </c>
      <c r="E210" s="267" t="s">
        <v>1234</v>
      </c>
      <c r="F210" s="268"/>
      <c r="G210" s="269">
        <v>252000.0</v>
      </c>
      <c r="H210" s="270">
        <v>0.0</v>
      </c>
      <c r="I210" s="269">
        <v>252000.0</v>
      </c>
      <c r="J210" s="271">
        <v>252000.0</v>
      </c>
      <c r="K210" s="272">
        <f t="shared" si="2"/>
        <v>0</v>
      </c>
      <c r="L210" s="273"/>
      <c r="M210" s="273"/>
      <c r="N210" s="273"/>
    </row>
    <row r="211" ht="26.25" customHeight="1">
      <c r="A211" s="273"/>
      <c r="B211" s="264">
        <v>45706.0</v>
      </c>
      <c r="C211" s="265" t="s">
        <v>965</v>
      </c>
      <c r="D211" s="266" t="s">
        <v>57</v>
      </c>
      <c r="E211" s="267" t="s">
        <v>1004</v>
      </c>
      <c r="F211" s="268"/>
      <c r="G211" s="269">
        <v>77000.0</v>
      </c>
      <c r="H211" s="270">
        <v>0.0</v>
      </c>
      <c r="I211" s="269">
        <v>77000.0</v>
      </c>
      <c r="J211" s="271">
        <v>77000.0</v>
      </c>
      <c r="K211" s="272">
        <f t="shared" si="2"/>
        <v>0</v>
      </c>
      <c r="L211" s="273"/>
      <c r="M211" s="273"/>
      <c r="N211" s="273"/>
    </row>
    <row r="212" ht="26.25" customHeight="1">
      <c r="A212" s="273"/>
      <c r="B212" s="264">
        <v>45706.0</v>
      </c>
      <c r="C212" s="265" t="s">
        <v>1098</v>
      </c>
      <c r="D212" s="266" t="s">
        <v>57</v>
      </c>
      <c r="E212" s="267" t="s">
        <v>1235</v>
      </c>
      <c r="F212" s="268"/>
      <c r="G212" s="269">
        <v>55000.0</v>
      </c>
      <c r="H212" s="270">
        <v>0.0</v>
      </c>
      <c r="I212" s="269">
        <v>55000.0</v>
      </c>
      <c r="J212" s="271">
        <v>55000.0</v>
      </c>
      <c r="K212" s="272">
        <f t="shared" si="2"/>
        <v>0</v>
      </c>
      <c r="L212" s="273"/>
      <c r="M212" s="273"/>
      <c r="N212" s="273"/>
    </row>
    <row r="213" ht="26.25" customHeight="1">
      <c r="A213" s="273"/>
      <c r="B213" s="264">
        <v>45706.0</v>
      </c>
      <c r="C213" s="265" t="s">
        <v>995</v>
      </c>
      <c r="D213" s="266" t="s">
        <v>57</v>
      </c>
      <c r="E213" s="267" t="s">
        <v>1236</v>
      </c>
      <c r="F213" s="268"/>
      <c r="G213" s="269">
        <v>25000.0</v>
      </c>
      <c r="H213" s="270">
        <v>0.0</v>
      </c>
      <c r="I213" s="269">
        <v>25000.0</v>
      </c>
      <c r="J213" s="271">
        <v>25000.0</v>
      </c>
      <c r="K213" s="272">
        <f t="shared" si="2"/>
        <v>0</v>
      </c>
      <c r="L213" s="273"/>
      <c r="M213" s="273"/>
      <c r="N213" s="273"/>
    </row>
    <row r="214" ht="26.25" customHeight="1">
      <c r="A214" s="277" t="s">
        <v>1237</v>
      </c>
      <c r="B214" s="264">
        <v>45707.0</v>
      </c>
      <c r="C214" s="284" t="s">
        <v>965</v>
      </c>
      <c r="D214" s="266" t="s">
        <v>57</v>
      </c>
      <c r="E214" s="267" t="s">
        <v>980</v>
      </c>
      <c r="F214" s="268"/>
      <c r="G214" s="269">
        <v>670000.0</v>
      </c>
      <c r="H214" s="270">
        <v>0.0</v>
      </c>
      <c r="I214" s="269">
        <v>670000.0</v>
      </c>
      <c r="J214" s="271">
        <v>670000.0</v>
      </c>
      <c r="K214" s="272">
        <f t="shared" si="2"/>
        <v>0</v>
      </c>
      <c r="L214" s="273"/>
      <c r="M214" s="273"/>
      <c r="N214" s="273"/>
    </row>
    <row r="215" ht="26.25" customHeight="1">
      <c r="A215" s="281" t="s">
        <v>1238</v>
      </c>
      <c r="B215" s="264">
        <v>45707.0</v>
      </c>
      <c r="C215" s="275" t="s">
        <v>965</v>
      </c>
      <c r="D215" s="266" t="s">
        <v>57</v>
      </c>
      <c r="E215" s="267" t="s">
        <v>980</v>
      </c>
      <c r="F215" s="268"/>
      <c r="G215" s="269">
        <v>377000.0</v>
      </c>
      <c r="H215" s="270">
        <v>0.0</v>
      </c>
      <c r="I215" s="269">
        <v>377000.0</v>
      </c>
      <c r="J215" s="271">
        <v>377000.0</v>
      </c>
      <c r="K215" s="272">
        <f t="shared" si="2"/>
        <v>0</v>
      </c>
      <c r="L215" s="273"/>
      <c r="M215" s="273"/>
      <c r="N215" s="273"/>
    </row>
    <row r="216" ht="26.25" customHeight="1">
      <c r="A216" s="263" t="s">
        <v>1239</v>
      </c>
      <c r="B216" s="264">
        <v>45707.0</v>
      </c>
      <c r="C216" s="275" t="s">
        <v>960</v>
      </c>
      <c r="D216" s="266" t="s">
        <v>57</v>
      </c>
      <c r="E216" s="267" t="s">
        <v>1240</v>
      </c>
      <c r="F216" s="268"/>
      <c r="G216" s="269">
        <v>92000.0</v>
      </c>
      <c r="H216" s="270">
        <v>0.0</v>
      </c>
      <c r="I216" s="269">
        <v>92000.0</v>
      </c>
      <c r="J216" s="271">
        <v>92000.0</v>
      </c>
      <c r="K216" s="272">
        <f t="shared" si="2"/>
        <v>0</v>
      </c>
      <c r="L216" s="273"/>
      <c r="M216" s="273"/>
      <c r="N216" s="273"/>
    </row>
    <row r="217" ht="26.25" customHeight="1">
      <c r="A217" s="273"/>
      <c r="B217" s="264">
        <v>45707.0</v>
      </c>
      <c r="C217" s="275" t="s">
        <v>965</v>
      </c>
      <c r="D217" s="266" t="s">
        <v>57</v>
      </c>
      <c r="E217" s="267" t="s">
        <v>1241</v>
      </c>
      <c r="F217" s="268"/>
      <c r="G217" s="269">
        <v>55000.0</v>
      </c>
      <c r="H217" s="270">
        <v>0.0</v>
      </c>
      <c r="I217" s="269">
        <v>55000.0</v>
      </c>
      <c r="J217" s="271">
        <v>55000.0</v>
      </c>
      <c r="K217" s="272">
        <f t="shared" si="2"/>
        <v>0</v>
      </c>
      <c r="L217" s="273"/>
      <c r="M217" s="273"/>
      <c r="N217" s="273"/>
    </row>
    <row r="218" ht="26.25" customHeight="1">
      <c r="A218" s="281" t="s">
        <v>1242</v>
      </c>
      <c r="B218" s="264">
        <v>45707.0</v>
      </c>
      <c r="C218" s="275" t="s">
        <v>1243</v>
      </c>
      <c r="D218" s="266" t="s">
        <v>57</v>
      </c>
      <c r="E218" s="267" t="s">
        <v>1244</v>
      </c>
      <c r="F218" s="268"/>
      <c r="G218" s="269">
        <v>50000.0</v>
      </c>
      <c r="H218" s="270">
        <v>0.0</v>
      </c>
      <c r="I218" s="269">
        <v>50000.0</v>
      </c>
      <c r="J218" s="271">
        <v>50000.0</v>
      </c>
      <c r="K218" s="272">
        <f t="shared" si="2"/>
        <v>0</v>
      </c>
      <c r="L218" s="273"/>
      <c r="M218" s="273"/>
      <c r="N218" s="273"/>
    </row>
    <row r="219" ht="26.25" customHeight="1">
      <c r="A219" s="274"/>
      <c r="B219" s="264">
        <v>45707.0</v>
      </c>
      <c r="C219" s="265" t="s">
        <v>960</v>
      </c>
      <c r="D219" s="266" t="s">
        <v>57</v>
      </c>
      <c r="E219" s="267" t="s">
        <v>1245</v>
      </c>
      <c r="F219" s="268"/>
      <c r="G219" s="269">
        <v>45000.0</v>
      </c>
      <c r="H219" s="270">
        <v>0.0</v>
      </c>
      <c r="I219" s="269">
        <v>45000.0</v>
      </c>
      <c r="J219" s="271">
        <v>45000.0</v>
      </c>
      <c r="K219" s="272">
        <f t="shared" si="2"/>
        <v>0</v>
      </c>
      <c r="L219" s="273"/>
      <c r="M219" s="273"/>
      <c r="N219" s="273"/>
    </row>
    <row r="220" ht="26.25" customHeight="1">
      <c r="A220" s="274"/>
      <c r="B220" s="264">
        <v>45707.0</v>
      </c>
      <c r="C220" s="265" t="s">
        <v>1035</v>
      </c>
      <c r="D220" s="266" t="s">
        <v>57</v>
      </c>
      <c r="E220" s="267" t="s">
        <v>1229</v>
      </c>
      <c r="F220" s="268"/>
      <c r="G220" s="269">
        <v>40000.0</v>
      </c>
      <c r="H220" s="270">
        <v>0.0</v>
      </c>
      <c r="I220" s="269">
        <v>40000.0</v>
      </c>
      <c r="J220" s="271">
        <v>40000.0</v>
      </c>
      <c r="K220" s="272">
        <f t="shared" si="2"/>
        <v>0</v>
      </c>
      <c r="L220" s="273"/>
      <c r="M220" s="273"/>
      <c r="N220" s="273"/>
    </row>
    <row r="221" ht="26.25" customHeight="1">
      <c r="A221" s="277" t="s">
        <v>1246</v>
      </c>
      <c r="B221" s="264">
        <v>45707.0</v>
      </c>
      <c r="C221" s="265" t="s">
        <v>965</v>
      </c>
      <c r="D221" s="266" t="s">
        <v>57</v>
      </c>
      <c r="E221" s="267" t="s">
        <v>1038</v>
      </c>
      <c r="F221" s="268"/>
      <c r="G221" s="269">
        <v>30000.0</v>
      </c>
      <c r="H221" s="270">
        <v>0.0</v>
      </c>
      <c r="I221" s="269">
        <v>30000.0</v>
      </c>
      <c r="J221" s="271">
        <v>30000.0</v>
      </c>
      <c r="K221" s="272">
        <f t="shared" si="2"/>
        <v>0</v>
      </c>
      <c r="L221" s="273"/>
      <c r="M221" s="273"/>
      <c r="N221" s="273"/>
    </row>
    <row r="222" ht="26.25" customHeight="1">
      <c r="A222" s="277" t="s">
        <v>1247</v>
      </c>
      <c r="B222" s="264">
        <v>45707.0</v>
      </c>
      <c r="C222" s="265" t="s">
        <v>965</v>
      </c>
      <c r="D222" s="266" t="s">
        <v>57</v>
      </c>
      <c r="E222" s="267" t="s">
        <v>1038</v>
      </c>
      <c r="F222" s="268"/>
      <c r="G222" s="269">
        <v>25000.0</v>
      </c>
      <c r="H222" s="270">
        <v>0.0</v>
      </c>
      <c r="I222" s="269">
        <v>25000.0</v>
      </c>
      <c r="J222" s="271">
        <v>25000.0</v>
      </c>
      <c r="K222" s="272">
        <f t="shared" si="2"/>
        <v>0</v>
      </c>
      <c r="L222" s="273"/>
      <c r="M222" s="273"/>
      <c r="N222" s="273"/>
    </row>
    <row r="223" ht="26.25" customHeight="1">
      <c r="A223" s="274"/>
      <c r="B223" s="264">
        <v>45707.0</v>
      </c>
      <c r="C223" s="265" t="s">
        <v>1035</v>
      </c>
      <c r="D223" s="266" t="s">
        <v>57</v>
      </c>
      <c r="E223" s="267" t="s">
        <v>1248</v>
      </c>
      <c r="F223" s="268"/>
      <c r="G223" s="269">
        <v>20000.0</v>
      </c>
      <c r="H223" s="270">
        <v>0.0</v>
      </c>
      <c r="I223" s="269">
        <v>20000.0</v>
      </c>
      <c r="J223" s="271">
        <v>20000.0</v>
      </c>
      <c r="K223" s="272">
        <f t="shared" si="2"/>
        <v>0</v>
      </c>
      <c r="L223" s="273"/>
      <c r="M223" s="273"/>
      <c r="N223" s="273"/>
    </row>
    <row r="224" ht="26.25" customHeight="1">
      <c r="A224" s="274"/>
      <c r="B224" s="264">
        <v>45707.0</v>
      </c>
      <c r="C224" s="265" t="s">
        <v>960</v>
      </c>
      <c r="D224" s="266" t="s">
        <v>57</v>
      </c>
      <c r="E224" s="267" t="s">
        <v>1249</v>
      </c>
      <c r="F224" s="268"/>
      <c r="G224" s="269">
        <v>15000.0</v>
      </c>
      <c r="H224" s="270">
        <v>0.0</v>
      </c>
      <c r="I224" s="269">
        <v>15000.0</v>
      </c>
      <c r="J224" s="271">
        <v>15000.0</v>
      </c>
      <c r="K224" s="272">
        <f t="shared" si="2"/>
        <v>0</v>
      </c>
      <c r="L224" s="273"/>
      <c r="M224" s="273"/>
      <c r="N224" s="273"/>
    </row>
    <row r="225" ht="26.25" customHeight="1">
      <c r="A225" s="274"/>
      <c r="B225" s="264">
        <v>45707.0</v>
      </c>
      <c r="C225" s="265" t="s">
        <v>1098</v>
      </c>
      <c r="D225" s="266" t="s">
        <v>57</v>
      </c>
      <c r="E225" s="267" t="s">
        <v>1250</v>
      </c>
      <c r="F225" s="268"/>
      <c r="G225" s="269">
        <v>15000.0</v>
      </c>
      <c r="H225" s="270">
        <v>0.0</v>
      </c>
      <c r="I225" s="269">
        <v>15000.0</v>
      </c>
      <c r="J225" s="271">
        <v>15000.0</v>
      </c>
      <c r="K225" s="272">
        <f t="shared" si="2"/>
        <v>0</v>
      </c>
      <c r="L225" s="273"/>
      <c r="M225" s="273"/>
      <c r="N225" s="273"/>
    </row>
    <row r="226" ht="26.25" customHeight="1">
      <c r="A226" s="273"/>
      <c r="B226" s="264">
        <v>45707.0</v>
      </c>
      <c r="C226" s="265" t="s">
        <v>965</v>
      </c>
      <c r="D226" s="266" t="s">
        <v>57</v>
      </c>
      <c r="E226" s="267" t="s">
        <v>1251</v>
      </c>
      <c r="F226" s="268"/>
      <c r="G226" s="269">
        <v>3250.0</v>
      </c>
      <c r="H226" s="270">
        <v>0.0</v>
      </c>
      <c r="I226" s="269">
        <v>3250.0</v>
      </c>
      <c r="J226" s="271">
        <v>3250.0</v>
      </c>
      <c r="K226" s="272">
        <f t="shared" si="2"/>
        <v>0</v>
      </c>
      <c r="L226" s="273"/>
      <c r="M226" s="273"/>
      <c r="N226" s="273"/>
    </row>
    <row r="227" ht="26.25" customHeight="1">
      <c r="A227" s="274"/>
      <c r="B227" s="264">
        <v>45707.0</v>
      </c>
      <c r="C227" s="265" t="s">
        <v>965</v>
      </c>
      <c r="D227" s="266" t="s">
        <v>57</v>
      </c>
      <c r="E227" s="267" t="s">
        <v>1252</v>
      </c>
      <c r="F227" s="268"/>
      <c r="G227" s="269">
        <v>3000.0</v>
      </c>
      <c r="H227" s="270">
        <v>0.0</v>
      </c>
      <c r="I227" s="269">
        <v>3000.0</v>
      </c>
      <c r="J227" s="271">
        <v>3000.0</v>
      </c>
      <c r="K227" s="272">
        <f t="shared" si="2"/>
        <v>0</v>
      </c>
      <c r="L227" s="273"/>
      <c r="M227" s="273"/>
      <c r="N227" s="273"/>
    </row>
    <row r="228" ht="26.25" customHeight="1">
      <c r="A228" s="273"/>
      <c r="B228" s="264">
        <v>45708.0</v>
      </c>
      <c r="C228" s="265" t="s">
        <v>965</v>
      </c>
      <c r="D228" s="266" t="s">
        <v>57</v>
      </c>
      <c r="E228" s="267" t="s">
        <v>1038</v>
      </c>
      <c r="F228" s="268"/>
      <c r="G228" s="269">
        <v>27000.0</v>
      </c>
      <c r="H228" s="270">
        <v>0.0</v>
      </c>
      <c r="I228" s="269">
        <v>27000.0</v>
      </c>
      <c r="J228" s="271">
        <v>27000.0</v>
      </c>
      <c r="K228" s="272">
        <f t="shared" si="2"/>
        <v>0</v>
      </c>
      <c r="L228" s="273"/>
      <c r="M228" s="273"/>
      <c r="N228" s="273"/>
    </row>
    <row r="229" ht="26.25" customHeight="1">
      <c r="A229" s="274"/>
      <c r="B229" s="264">
        <v>45708.0</v>
      </c>
      <c r="C229" s="265" t="s">
        <v>965</v>
      </c>
      <c r="D229" s="266" t="s">
        <v>57</v>
      </c>
      <c r="E229" s="267" t="s">
        <v>326</v>
      </c>
      <c r="F229" s="268"/>
      <c r="G229" s="269">
        <v>25000.0</v>
      </c>
      <c r="H229" s="270">
        <v>0.0</v>
      </c>
      <c r="I229" s="269">
        <v>25000.0</v>
      </c>
      <c r="J229" s="271">
        <v>25000.0</v>
      </c>
      <c r="K229" s="272">
        <f t="shared" si="2"/>
        <v>0</v>
      </c>
      <c r="L229" s="273"/>
      <c r="M229" s="273"/>
      <c r="N229" s="273"/>
    </row>
    <row r="230" ht="26.25" customHeight="1">
      <c r="A230" s="281" t="s">
        <v>1253</v>
      </c>
      <c r="B230" s="264">
        <v>45710.0</v>
      </c>
      <c r="C230" s="265" t="s">
        <v>965</v>
      </c>
      <c r="D230" s="266" t="s">
        <v>57</v>
      </c>
      <c r="E230" s="267" t="s">
        <v>1011</v>
      </c>
      <c r="F230" s="268"/>
      <c r="G230" s="269">
        <v>67000.0</v>
      </c>
      <c r="H230" s="270">
        <v>0.0</v>
      </c>
      <c r="I230" s="269">
        <v>67000.0</v>
      </c>
      <c r="J230" s="271">
        <v>67000.0</v>
      </c>
      <c r="K230" s="272">
        <f t="shared" si="2"/>
        <v>0</v>
      </c>
      <c r="L230" s="273"/>
      <c r="M230" s="273"/>
      <c r="N230" s="273"/>
    </row>
    <row r="231" ht="26.25" customHeight="1">
      <c r="A231" s="273"/>
      <c r="B231" s="264">
        <v>45710.0</v>
      </c>
      <c r="C231" s="265" t="s">
        <v>960</v>
      </c>
      <c r="D231" s="266" t="s">
        <v>57</v>
      </c>
      <c r="E231" s="267" t="s">
        <v>1254</v>
      </c>
      <c r="F231" s="268"/>
      <c r="G231" s="269">
        <v>10000.0</v>
      </c>
      <c r="H231" s="270">
        <v>0.0</v>
      </c>
      <c r="I231" s="269">
        <v>10000.0</v>
      </c>
      <c r="J231" s="271">
        <v>10000.0</v>
      </c>
      <c r="K231" s="272">
        <f t="shared" si="2"/>
        <v>0</v>
      </c>
      <c r="L231" s="273"/>
      <c r="M231" s="273"/>
      <c r="N231" s="273"/>
    </row>
    <row r="232" ht="26.25" customHeight="1">
      <c r="A232" s="273"/>
      <c r="B232" s="264">
        <v>45710.0</v>
      </c>
      <c r="C232" s="265" t="s">
        <v>965</v>
      </c>
      <c r="D232" s="266" t="s">
        <v>57</v>
      </c>
      <c r="E232" s="267" t="s">
        <v>1255</v>
      </c>
      <c r="F232" s="268"/>
      <c r="G232" s="269">
        <v>4000.0</v>
      </c>
      <c r="H232" s="270">
        <v>0.0</v>
      </c>
      <c r="I232" s="269">
        <v>4000.0</v>
      </c>
      <c r="J232" s="271">
        <v>4000.0</v>
      </c>
      <c r="K232" s="272">
        <f t="shared" si="2"/>
        <v>0</v>
      </c>
      <c r="L232" s="273"/>
      <c r="M232" s="273"/>
      <c r="N232" s="273"/>
    </row>
    <row r="233" ht="26.25" customHeight="1">
      <c r="A233" s="281" t="s">
        <v>1256</v>
      </c>
      <c r="B233" s="264">
        <v>45711.0</v>
      </c>
      <c r="C233" s="265" t="s">
        <v>965</v>
      </c>
      <c r="D233" s="266" t="s">
        <v>980</v>
      </c>
      <c r="E233" s="267" t="s">
        <v>1257</v>
      </c>
      <c r="F233" s="268"/>
      <c r="G233" s="269">
        <v>253000.0</v>
      </c>
      <c r="H233" s="270">
        <v>0.0</v>
      </c>
      <c r="I233" s="269">
        <v>253000.0</v>
      </c>
      <c r="J233" s="271">
        <v>253000.0</v>
      </c>
      <c r="K233" s="272">
        <f t="shared" si="2"/>
        <v>0</v>
      </c>
      <c r="L233" s="273"/>
      <c r="M233" s="273"/>
      <c r="N233" s="273"/>
    </row>
    <row r="234" ht="26.25" customHeight="1">
      <c r="A234" s="277" t="s">
        <v>1258</v>
      </c>
      <c r="B234" s="264">
        <v>45711.0</v>
      </c>
      <c r="C234" s="265" t="s">
        <v>960</v>
      </c>
      <c r="D234" s="266" t="s">
        <v>57</v>
      </c>
      <c r="E234" s="267" t="s">
        <v>1259</v>
      </c>
      <c r="F234" s="268"/>
      <c r="G234" s="269">
        <v>243000.0</v>
      </c>
      <c r="H234" s="270">
        <v>0.0</v>
      </c>
      <c r="I234" s="269">
        <v>243000.0</v>
      </c>
      <c r="J234" s="271">
        <v>243000.0</v>
      </c>
      <c r="K234" s="272">
        <f t="shared" si="2"/>
        <v>0</v>
      </c>
      <c r="L234" s="273"/>
      <c r="M234" s="273"/>
      <c r="N234" s="273"/>
    </row>
    <row r="235" ht="26.25" customHeight="1">
      <c r="A235" s="273"/>
      <c r="B235" s="264">
        <v>45711.0</v>
      </c>
      <c r="C235" s="265" t="s">
        <v>974</v>
      </c>
      <c r="D235" s="266" t="s">
        <v>57</v>
      </c>
      <c r="E235" s="267" t="s">
        <v>1111</v>
      </c>
      <c r="F235" s="268"/>
      <c r="G235" s="269">
        <v>150000.0</v>
      </c>
      <c r="H235" s="270">
        <v>0.0</v>
      </c>
      <c r="I235" s="269">
        <v>150000.0</v>
      </c>
      <c r="J235" s="271">
        <v>150000.0</v>
      </c>
      <c r="K235" s="272">
        <f t="shared" si="2"/>
        <v>0</v>
      </c>
      <c r="L235" s="273"/>
      <c r="M235" s="273"/>
      <c r="N235" s="273"/>
    </row>
    <row r="236" ht="26.25" customHeight="1">
      <c r="A236" s="273"/>
      <c r="B236" s="264">
        <v>45711.0</v>
      </c>
      <c r="C236" s="275" t="s">
        <v>965</v>
      </c>
      <c r="D236" s="282"/>
      <c r="E236" s="267" t="s">
        <v>1260</v>
      </c>
      <c r="F236" s="268"/>
      <c r="G236" s="269">
        <v>147000.0</v>
      </c>
      <c r="H236" s="270">
        <v>0.0</v>
      </c>
      <c r="I236" s="269">
        <v>147000.0</v>
      </c>
      <c r="J236" s="271">
        <v>147000.0</v>
      </c>
      <c r="K236" s="272">
        <f t="shared" si="2"/>
        <v>0</v>
      </c>
      <c r="L236" s="273"/>
      <c r="M236" s="273"/>
      <c r="N236" s="273"/>
    </row>
    <row r="237" ht="26.25" customHeight="1">
      <c r="A237" s="281" t="s">
        <v>1261</v>
      </c>
      <c r="B237" s="264">
        <v>45711.0</v>
      </c>
      <c r="C237" s="275" t="s">
        <v>965</v>
      </c>
      <c r="D237" s="266" t="s">
        <v>57</v>
      </c>
      <c r="E237" s="267" t="s">
        <v>980</v>
      </c>
      <c r="F237" s="268"/>
      <c r="G237" s="269">
        <v>96000.0</v>
      </c>
      <c r="H237" s="270">
        <v>0.0</v>
      </c>
      <c r="I237" s="269">
        <v>96000.0</v>
      </c>
      <c r="J237" s="271">
        <v>96000.0</v>
      </c>
      <c r="K237" s="272">
        <f t="shared" si="2"/>
        <v>0</v>
      </c>
      <c r="L237" s="273"/>
      <c r="M237" s="273"/>
      <c r="N237" s="273"/>
    </row>
    <row r="238" ht="26.25" customHeight="1">
      <c r="A238" s="277" t="s">
        <v>1262</v>
      </c>
      <c r="B238" s="264">
        <v>45711.0</v>
      </c>
      <c r="C238" s="265" t="s">
        <v>965</v>
      </c>
      <c r="D238" s="286"/>
      <c r="E238" s="267" t="s">
        <v>1263</v>
      </c>
      <c r="F238" s="268"/>
      <c r="G238" s="269">
        <v>67000.0</v>
      </c>
      <c r="H238" s="270">
        <v>0.0</v>
      </c>
      <c r="I238" s="269">
        <v>67000.0</v>
      </c>
      <c r="J238" s="271">
        <v>67000.0</v>
      </c>
      <c r="K238" s="272">
        <f t="shared" si="2"/>
        <v>0</v>
      </c>
      <c r="L238" s="273"/>
      <c r="M238" s="273"/>
      <c r="N238" s="273"/>
    </row>
    <row r="239" ht="26.25" customHeight="1">
      <c r="A239" s="273"/>
      <c r="B239" s="264">
        <v>45711.0</v>
      </c>
      <c r="C239" s="265" t="s">
        <v>960</v>
      </c>
      <c r="D239" s="266" t="s">
        <v>57</v>
      </c>
      <c r="E239" s="267" t="s">
        <v>1264</v>
      </c>
      <c r="F239" s="268"/>
      <c r="G239" s="269">
        <v>10000.0</v>
      </c>
      <c r="H239" s="270">
        <v>0.0</v>
      </c>
      <c r="I239" s="269">
        <v>10000.0</v>
      </c>
      <c r="J239" s="271">
        <v>10000.0</v>
      </c>
      <c r="K239" s="272">
        <f t="shared" si="2"/>
        <v>0</v>
      </c>
      <c r="L239" s="273"/>
      <c r="M239" s="273"/>
      <c r="N239" s="273"/>
    </row>
    <row r="240" ht="26.25" customHeight="1">
      <c r="A240" s="281" t="s">
        <v>1265</v>
      </c>
      <c r="B240" s="264">
        <v>45712.0</v>
      </c>
      <c r="C240" s="265" t="s">
        <v>972</v>
      </c>
      <c r="D240" s="266" t="s">
        <v>57</v>
      </c>
      <c r="E240" s="267" t="s">
        <v>1266</v>
      </c>
      <c r="F240" s="268"/>
      <c r="G240" s="269">
        <v>157000.0</v>
      </c>
      <c r="H240" s="270">
        <v>0.0</v>
      </c>
      <c r="I240" s="269">
        <v>157000.0</v>
      </c>
      <c r="J240" s="271">
        <v>157000.0</v>
      </c>
      <c r="K240" s="272">
        <f t="shared" si="2"/>
        <v>0</v>
      </c>
      <c r="L240" s="273"/>
      <c r="M240" s="273"/>
      <c r="N240" s="273"/>
    </row>
    <row r="241" ht="26.25" customHeight="1">
      <c r="A241" s="281" t="s">
        <v>1267</v>
      </c>
      <c r="B241" s="264">
        <v>45712.0</v>
      </c>
      <c r="C241" s="265" t="s">
        <v>1035</v>
      </c>
      <c r="D241" s="266" t="s">
        <v>1040</v>
      </c>
      <c r="E241" s="267" t="s">
        <v>1040</v>
      </c>
      <c r="F241" s="268"/>
      <c r="G241" s="269">
        <v>117000.0</v>
      </c>
      <c r="H241" s="270">
        <v>0.0</v>
      </c>
      <c r="I241" s="269">
        <v>117000.0</v>
      </c>
      <c r="J241" s="271">
        <v>117000.0</v>
      </c>
      <c r="K241" s="272">
        <f t="shared" si="2"/>
        <v>0</v>
      </c>
      <c r="L241" s="273"/>
      <c r="M241" s="273"/>
      <c r="N241" s="273"/>
    </row>
    <row r="242" ht="26.25" customHeight="1">
      <c r="A242" s="277" t="s">
        <v>1268</v>
      </c>
      <c r="B242" s="264">
        <v>45712.0</v>
      </c>
      <c r="C242" s="265" t="s">
        <v>965</v>
      </c>
      <c r="D242" s="266" t="s">
        <v>57</v>
      </c>
      <c r="E242" s="267" t="s">
        <v>1269</v>
      </c>
      <c r="F242" s="268"/>
      <c r="G242" s="269">
        <v>95000.0</v>
      </c>
      <c r="H242" s="270">
        <v>0.0</v>
      </c>
      <c r="I242" s="269">
        <v>95000.0</v>
      </c>
      <c r="J242" s="271">
        <v>95000.0</v>
      </c>
      <c r="K242" s="272">
        <f t="shared" si="2"/>
        <v>0</v>
      </c>
      <c r="L242" s="273"/>
      <c r="M242" s="273"/>
      <c r="N242" s="273"/>
    </row>
    <row r="243" ht="26.25" customHeight="1">
      <c r="A243" s="263" t="s">
        <v>1270</v>
      </c>
      <c r="B243" s="264">
        <v>45712.0</v>
      </c>
      <c r="C243" s="265" t="s">
        <v>965</v>
      </c>
      <c r="D243" s="266" t="s">
        <v>57</v>
      </c>
      <c r="E243" s="267" t="s">
        <v>1269</v>
      </c>
      <c r="F243" s="268"/>
      <c r="G243" s="269">
        <v>55000.0</v>
      </c>
      <c r="H243" s="270">
        <v>0.0</v>
      </c>
      <c r="I243" s="269">
        <v>55000.0</v>
      </c>
      <c r="J243" s="271">
        <v>55000.0</v>
      </c>
      <c r="K243" s="272">
        <f t="shared" si="2"/>
        <v>0</v>
      </c>
      <c r="L243" s="273"/>
      <c r="M243" s="273"/>
      <c r="N243" s="273"/>
    </row>
    <row r="244" ht="26.25" customHeight="1">
      <c r="A244" s="274"/>
      <c r="B244" s="264">
        <v>45712.0</v>
      </c>
      <c r="C244" s="265" t="s">
        <v>965</v>
      </c>
      <c r="D244" s="266" t="s">
        <v>57</v>
      </c>
      <c r="E244" s="267" t="s">
        <v>1271</v>
      </c>
      <c r="F244" s="268"/>
      <c r="G244" s="269">
        <v>40000.0</v>
      </c>
      <c r="H244" s="270">
        <v>0.0</v>
      </c>
      <c r="I244" s="269">
        <v>40000.0</v>
      </c>
      <c r="J244" s="271">
        <v>40000.0</v>
      </c>
      <c r="K244" s="272">
        <f t="shared" si="2"/>
        <v>0</v>
      </c>
      <c r="L244" s="273"/>
      <c r="M244" s="273"/>
      <c r="N244" s="273"/>
    </row>
    <row r="245" ht="26.25" customHeight="1">
      <c r="A245" s="274"/>
      <c r="B245" s="264">
        <v>45712.0</v>
      </c>
      <c r="C245" s="265" t="s">
        <v>965</v>
      </c>
      <c r="D245" s="266" t="s">
        <v>57</v>
      </c>
      <c r="E245" s="267" t="s">
        <v>1271</v>
      </c>
      <c r="F245" s="268"/>
      <c r="G245" s="269">
        <v>25000.0</v>
      </c>
      <c r="H245" s="270">
        <v>0.0</v>
      </c>
      <c r="I245" s="269">
        <v>25000.0</v>
      </c>
      <c r="J245" s="271">
        <v>25000.0</v>
      </c>
      <c r="K245" s="272">
        <f t="shared" si="2"/>
        <v>0</v>
      </c>
      <c r="L245" s="273"/>
      <c r="M245" s="273"/>
      <c r="N245" s="273"/>
    </row>
    <row r="246" ht="26.25" customHeight="1">
      <c r="A246" s="277" t="s">
        <v>1272</v>
      </c>
      <c r="B246" s="264">
        <v>45713.0</v>
      </c>
      <c r="C246" s="265" t="s">
        <v>1098</v>
      </c>
      <c r="D246" s="266" t="s">
        <v>57</v>
      </c>
      <c r="E246" s="267" t="s">
        <v>1165</v>
      </c>
      <c r="F246" s="268"/>
      <c r="G246" s="269">
        <v>1000000.0</v>
      </c>
      <c r="H246" s="270">
        <v>0.0</v>
      </c>
      <c r="I246" s="269">
        <v>1000000.0</v>
      </c>
      <c r="J246" s="271">
        <v>1000000.0</v>
      </c>
      <c r="K246" s="272">
        <f t="shared" si="2"/>
        <v>0</v>
      </c>
      <c r="L246" s="273"/>
      <c r="M246" s="273"/>
      <c r="N246" s="273"/>
    </row>
    <row r="247" ht="26.25" customHeight="1">
      <c r="A247" s="281" t="s">
        <v>1273</v>
      </c>
      <c r="B247" s="264">
        <v>45713.0</v>
      </c>
      <c r="C247" s="265" t="s">
        <v>965</v>
      </c>
      <c r="D247" s="266" t="s">
        <v>980</v>
      </c>
      <c r="E247" s="267" t="s">
        <v>1171</v>
      </c>
      <c r="F247" s="268"/>
      <c r="G247" s="269">
        <v>701000.0</v>
      </c>
      <c r="H247" s="270">
        <v>0.0</v>
      </c>
      <c r="I247" s="269">
        <v>701000.0</v>
      </c>
      <c r="J247" s="271">
        <v>701000.0</v>
      </c>
      <c r="K247" s="272">
        <f t="shared" si="2"/>
        <v>0</v>
      </c>
      <c r="L247" s="273"/>
      <c r="M247" s="273"/>
      <c r="N247" s="273"/>
    </row>
    <row r="248" ht="26.25" customHeight="1">
      <c r="A248" s="277" t="s">
        <v>1274</v>
      </c>
      <c r="B248" s="264">
        <v>45713.0</v>
      </c>
      <c r="C248" s="284" t="s">
        <v>965</v>
      </c>
      <c r="D248" s="266" t="s">
        <v>57</v>
      </c>
      <c r="E248" s="267" t="s">
        <v>1038</v>
      </c>
      <c r="F248" s="268"/>
      <c r="G248" s="269">
        <v>491000.0</v>
      </c>
      <c r="H248" s="270">
        <v>0.0</v>
      </c>
      <c r="I248" s="269">
        <v>491000.0</v>
      </c>
      <c r="J248" s="271">
        <v>491000.0</v>
      </c>
      <c r="K248" s="272">
        <f t="shared" si="2"/>
        <v>0</v>
      </c>
      <c r="L248" s="273"/>
      <c r="M248" s="273"/>
      <c r="N248" s="273"/>
    </row>
    <row r="249" ht="26.25" customHeight="1">
      <c r="A249" s="288" t="s">
        <v>1275</v>
      </c>
      <c r="B249" s="264">
        <v>45713.0</v>
      </c>
      <c r="C249" s="265" t="s">
        <v>960</v>
      </c>
      <c r="D249" s="266" t="s">
        <v>57</v>
      </c>
      <c r="E249" s="267" t="s">
        <v>1266</v>
      </c>
      <c r="F249" s="289"/>
      <c r="G249" s="269">
        <v>55000.0</v>
      </c>
      <c r="H249" s="270">
        <v>0.0</v>
      </c>
      <c r="I249" s="269">
        <v>55000.0</v>
      </c>
      <c r="J249" s="271">
        <v>55000.0</v>
      </c>
      <c r="K249" s="272">
        <f t="shared" si="2"/>
        <v>0</v>
      </c>
      <c r="L249" s="290"/>
      <c r="M249" s="290"/>
      <c r="N249" s="290"/>
    </row>
    <row r="250" ht="26.25" customHeight="1">
      <c r="A250" s="273"/>
      <c r="B250" s="264">
        <v>45713.0</v>
      </c>
      <c r="C250" s="265" t="s">
        <v>968</v>
      </c>
      <c r="D250" s="266" t="s">
        <v>1167</v>
      </c>
      <c r="E250" s="267" t="s">
        <v>1167</v>
      </c>
      <c r="F250" s="268"/>
      <c r="G250" s="269">
        <v>21000.0</v>
      </c>
      <c r="H250" s="270">
        <v>0.0</v>
      </c>
      <c r="I250" s="269">
        <v>21000.0</v>
      </c>
      <c r="J250" s="271">
        <v>21000.0</v>
      </c>
      <c r="K250" s="272">
        <f t="shared" si="2"/>
        <v>0</v>
      </c>
      <c r="L250" s="273"/>
      <c r="M250" s="273"/>
      <c r="N250" s="273"/>
    </row>
    <row r="251" ht="26.25" customHeight="1">
      <c r="A251" s="274"/>
      <c r="B251" s="264">
        <v>45713.0</v>
      </c>
      <c r="C251" s="265" t="s">
        <v>960</v>
      </c>
      <c r="D251" s="266" t="s">
        <v>57</v>
      </c>
      <c r="E251" s="267" t="s">
        <v>1011</v>
      </c>
      <c r="F251" s="268"/>
      <c r="G251" s="269">
        <v>5000.0</v>
      </c>
      <c r="H251" s="270">
        <v>0.0</v>
      </c>
      <c r="I251" s="269">
        <v>5000.0</v>
      </c>
      <c r="J251" s="271">
        <v>5000.0</v>
      </c>
      <c r="K251" s="272">
        <f t="shared" si="2"/>
        <v>0</v>
      </c>
      <c r="L251" s="273"/>
      <c r="M251" s="273"/>
      <c r="N251" s="273"/>
    </row>
    <row r="252" ht="26.25" customHeight="1">
      <c r="A252" s="273"/>
      <c r="B252" s="264">
        <v>45713.0</v>
      </c>
      <c r="C252" s="265" t="s">
        <v>960</v>
      </c>
      <c r="D252" s="266" t="s">
        <v>57</v>
      </c>
      <c r="E252" s="267" t="s">
        <v>1276</v>
      </c>
      <c r="F252" s="268"/>
      <c r="G252" s="269">
        <v>5000.0</v>
      </c>
      <c r="H252" s="270">
        <v>0.0</v>
      </c>
      <c r="I252" s="269">
        <v>5000.0</v>
      </c>
      <c r="J252" s="271">
        <v>5000.0</v>
      </c>
      <c r="K252" s="272">
        <f t="shared" si="2"/>
        <v>0</v>
      </c>
      <c r="L252" s="273"/>
      <c r="M252" s="273"/>
      <c r="N252" s="273"/>
    </row>
    <row r="253" ht="26.25" customHeight="1">
      <c r="A253" s="273"/>
      <c r="B253" s="264">
        <v>45713.0</v>
      </c>
      <c r="C253" s="265" t="s">
        <v>960</v>
      </c>
      <c r="D253" s="266" t="s">
        <v>57</v>
      </c>
      <c r="E253" s="267" t="s">
        <v>1140</v>
      </c>
      <c r="F253" s="268"/>
      <c r="G253" s="269">
        <v>4000.0</v>
      </c>
      <c r="H253" s="270">
        <v>0.0</v>
      </c>
      <c r="I253" s="269">
        <v>4000.0</v>
      </c>
      <c r="J253" s="271">
        <v>4000.0</v>
      </c>
      <c r="K253" s="272">
        <f t="shared" si="2"/>
        <v>0</v>
      </c>
      <c r="L253" s="273"/>
      <c r="M253" s="273"/>
      <c r="N253" s="273"/>
    </row>
    <row r="254" ht="26.25" customHeight="1">
      <c r="A254" s="277" t="s">
        <v>1277</v>
      </c>
      <c r="B254" s="264">
        <v>45714.0</v>
      </c>
      <c r="C254" s="265"/>
      <c r="D254" s="266" t="s">
        <v>980</v>
      </c>
      <c r="E254" s="267" t="s">
        <v>1278</v>
      </c>
      <c r="F254" s="268"/>
      <c r="G254" s="269">
        <v>1078000.0</v>
      </c>
      <c r="H254" s="270">
        <v>0.0</v>
      </c>
      <c r="I254" s="269">
        <v>1078000.0</v>
      </c>
      <c r="J254" s="271">
        <v>1078000.0</v>
      </c>
      <c r="K254" s="272">
        <f t="shared" si="2"/>
        <v>0</v>
      </c>
      <c r="L254" s="273"/>
      <c r="M254" s="273"/>
      <c r="N254" s="273"/>
    </row>
    <row r="255" ht="26.25" customHeight="1">
      <c r="A255" s="281" t="s">
        <v>1279</v>
      </c>
      <c r="B255" s="264">
        <v>45714.0</v>
      </c>
      <c r="C255" s="265" t="s">
        <v>965</v>
      </c>
      <c r="D255" s="266" t="s">
        <v>980</v>
      </c>
      <c r="E255" s="267" t="s">
        <v>1280</v>
      </c>
      <c r="F255" s="268"/>
      <c r="G255" s="269">
        <v>705000.0</v>
      </c>
      <c r="H255" s="270">
        <v>0.0</v>
      </c>
      <c r="I255" s="269">
        <v>705000.0</v>
      </c>
      <c r="J255" s="271">
        <v>705000.0</v>
      </c>
      <c r="K255" s="272">
        <f t="shared" si="2"/>
        <v>0</v>
      </c>
      <c r="L255" s="273"/>
      <c r="M255" s="273"/>
      <c r="N255" s="273"/>
    </row>
    <row r="256" ht="26.25" customHeight="1">
      <c r="A256" s="281" t="s">
        <v>1281</v>
      </c>
      <c r="B256" s="264">
        <v>45714.0</v>
      </c>
      <c r="C256" s="265" t="s">
        <v>965</v>
      </c>
      <c r="D256" s="266" t="s">
        <v>1282</v>
      </c>
      <c r="E256" s="267" t="s">
        <v>1283</v>
      </c>
      <c r="F256" s="268"/>
      <c r="G256" s="269">
        <v>300000.0</v>
      </c>
      <c r="H256" s="270">
        <v>0.0</v>
      </c>
      <c r="I256" s="269">
        <v>300000.0</v>
      </c>
      <c r="J256" s="271">
        <v>300000.0</v>
      </c>
      <c r="K256" s="272">
        <f t="shared" si="2"/>
        <v>0</v>
      </c>
      <c r="L256" s="273"/>
      <c r="M256" s="273"/>
      <c r="N256" s="273"/>
    </row>
    <row r="257" ht="26.25" customHeight="1">
      <c r="A257" s="277" t="s">
        <v>1284</v>
      </c>
      <c r="B257" s="264">
        <v>45714.0</v>
      </c>
      <c r="C257" s="265" t="s">
        <v>965</v>
      </c>
      <c r="D257" s="266" t="s">
        <v>57</v>
      </c>
      <c r="E257" s="267" t="s">
        <v>1285</v>
      </c>
      <c r="F257" s="268"/>
      <c r="G257" s="269">
        <v>190000.0</v>
      </c>
      <c r="H257" s="270">
        <v>0.0</v>
      </c>
      <c r="I257" s="269">
        <v>190000.0</v>
      </c>
      <c r="J257" s="271">
        <v>190000.0</v>
      </c>
      <c r="K257" s="272">
        <f t="shared" si="2"/>
        <v>0</v>
      </c>
      <c r="L257" s="273"/>
      <c r="M257" s="273"/>
      <c r="N257" s="273"/>
    </row>
    <row r="258" ht="26.25" customHeight="1">
      <c r="A258" s="281" t="s">
        <v>1286</v>
      </c>
      <c r="B258" s="264">
        <v>45714.0</v>
      </c>
      <c r="C258" s="265" t="s">
        <v>965</v>
      </c>
      <c r="D258" s="266" t="s">
        <v>980</v>
      </c>
      <c r="E258" s="267" t="s">
        <v>1287</v>
      </c>
      <c r="F258" s="268"/>
      <c r="G258" s="269">
        <v>90000.0</v>
      </c>
      <c r="H258" s="270">
        <v>0.0</v>
      </c>
      <c r="I258" s="269">
        <v>90000.0</v>
      </c>
      <c r="J258" s="271">
        <v>90000.0</v>
      </c>
      <c r="K258" s="272">
        <f t="shared" si="2"/>
        <v>0</v>
      </c>
      <c r="L258" s="273"/>
      <c r="M258" s="273"/>
      <c r="N258" s="273"/>
    </row>
    <row r="259" ht="26.25" customHeight="1">
      <c r="A259" s="273"/>
      <c r="B259" s="264">
        <v>45714.0</v>
      </c>
      <c r="C259" s="275" t="s">
        <v>960</v>
      </c>
      <c r="D259" s="266" t="s">
        <v>57</v>
      </c>
      <c r="E259" s="267" t="s">
        <v>1288</v>
      </c>
      <c r="F259" s="268"/>
      <c r="G259" s="269">
        <v>67000.0</v>
      </c>
      <c r="H259" s="270">
        <v>0.0</v>
      </c>
      <c r="I259" s="269">
        <v>67000.0</v>
      </c>
      <c r="J259" s="271">
        <v>67000.0</v>
      </c>
      <c r="K259" s="272">
        <f t="shared" si="2"/>
        <v>0</v>
      </c>
      <c r="L259" s="273"/>
      <c r="M259" s="273"/>
      <c r="N259" s="273"/>
    </row>
    <row r="260" ht="26.25" customHeight="1">
      <c r="A260" s="273"/>
      <c r="B260" s="264">
        <v>45714.0</v>
      </c>
      <c r="C260" s="275" t="s">
        <v>960</v>
      </c>
      <c r="D260" s="266" t="s">
        <v>1289</v>
      </c>
      <c r="E260" s="267" t="s">
        <v>1207</v>
      </c>
      <c r="F260" s="268"/>
      <c r="G260" s="269">
        <v>48000.0</v>
      </c>
      <c r="H260" s="270">
        <v>0.0</v>
      </c>
      <c r="I260" s="269">
        <v>48000.0</v>
      </c>
      <c r="J260" s="271">
        <v>48000.0</v>
      </c>
      <c r="K260" s="272">
        <f t="shared" si="2"/>
        <v>0</v>
      </c>
      <c r="L260" s="273"/>
      <c r="M260" s="273"/>
      <c r="N260" s="273"/>
    </row>
    <row r="261" ht="26.25" customHeight="1">
      <c r="A261" s="273"/>
      <c r="B261" s="264">
        <v>45714.0</v>
      </c>
      <c r="C261" s="275" t="s">
        <v>960</v>
      </c>
      <c r="D261" s="266" t="s">
        <v>57</v>
      </c>
      <c r="E261" s="267" t="s">
        <v>1290</v>
      </c>
      <c r="F261" s="268"/>
      <c r="G261" s="269">
        <v>28000.0</v>
      </c>
      <c r="H261" s="270">
        <v>0.0</v>
      </c>
      <c r="I261" s="269">
        <v>28000.0</v>
      </c>
      <c r="J261" s="271">
        <v>28000.0</v>
      </c>
      <c r="K261" s="272">
        <f t="shared" si="2"/>
        <v>0</v>
      </c>
      <c r="L261" s="273"/>
      <c r="M261" s="273"/>
      <c r="N261" s="273"/>
    </row>
    <row r="262" ht="26.25" customHeight="1">
      <c r="A262" s="273"/>
      <c r="B262" s="264">
        <v>45714.0</v>
      </c>
      <c r="C262" s="275" t="s">
        <v>960</v>
      </c>
      <c r="D262" s="266" t="s">
        <v>1266</v>
      </c>
      <c r="E262" s="267" t="s">
        <v>1291</v>
      </c>
      <c r="F262" s="268"/>
      <c r="G262" s="269">
        <v>5000.0</v>
      </c>
      <c r="H262" s="270">
        <v>0.0</v>
      </c>
      <c r="I262" s="269">
        <v>5000.0</v>
      </c>
      <c r="J262" s="271">
        <v>5000.0</v>
      </c>
      <c r="K262" s="272">
        <f t="shared" si="2"/>
        <v>0</v>
      </c>
      <c r="L262" s="273"/>
      <c r="M262" s="273"/>
      <c r="N262" s="273"/>
    </row>
    <row r="263" ht="26.25" customHeight="1">
      <c r="A263" s="274"/>
      <c r="B263" s="264">
        <v>45714.0</v>
      </c>
      <c r="C263" s="265" t="s">
        <v>965</v>
      </c>
      <c r="D263" s="266" t="s">
        <v>57</v>
      </c>
      <c r="E263" s="267" t="s">
        <v>1292</v>
      </c>
      <c r="F263" s="268"/>
      <c r="G263" s="269">
        <v>5000.0</v>
      </c>
      <c r="H263" s="270">
        <v>0.0</v>
      </c>
      <c r="I263" s="269">
        <v>5000.0</v>
      </c>
      <c r="J263" s="271">
        <v>5000.0</v>
      </c>
      <c r="K263" s="272">
        <f t="shared" si="2"/>
        <v>0</v>
      </c>
      <c r="L263" s="273"/>
      <c r="M263" s="273"/>
      <c r="N263" s="273"/>
    </row>
    <row r="264" ht="26.25" customHeight="1">
      <c r="A264" s="281" t="s">
        <v>1293</v>
      </c>
      <c r="B264" s="264">
        <v>45715.0</v>
      </c>
      <c r="C264" s="265" t="s">
        <v>965</v>
      </c>
      <c r="D264" s="266" t="s">
        <v>980</v>
      </c>
      <c r="E264" s="267" t="s">
        <v>1294</v>
      </c>
      <c r="F264" s="268"/>
      <c r="G264" s="269">
        <v>345000.0</v>
      </c>
      <c r="H264" s="270">
        <v>0.0</v>
      </c>
      <c r="I264" s="269">
        <v>345000.0</v>
      </c>
      <c r="J264" s="271">
        <v>345000.0</v>
      </c>
      <c r="K264" s="272">
        <f t="shared" si="2"/>
        <v>0</v>
      </c>
      <c r="L264" s="273"/>
      <c r="M264" s="273"/>
      <c r="N264" s="273"/>
    </row>
    <row r="265" ht="26.25" customHeight="1">
      <c r="A265" s="277" t="s">
        <v>1213</v>
      </c>
      <c r="B265" s="264">
        <v>45715.0</v>
      </c>
      <c r="C265" s="265" t="s">
        <v>1035</v>
      </c>
      <c r="D265" s="282"/>
      <c r="E265" s="267" t="s">
        <v>1295</v>
      </c>
      <c r="F265" s="268"/>
      <c r="G265" s="269">
        <v>48000.0</v>
      </c>
      <c r="H265" s="270">
        <v>0.0</v>
      </c>
      <c r="I265" s="269">
        <v>48000.0</v>
      </c>
      <c r="J265" s="271">
        <v>48000.0</v>
      </c>
      <c r="K265" s="272">
        <f t="shared" si="2"/>
        <v>0</v>
      </c>
      <c r="L265" s="273"/>
      <c r="M265" s="273"/>
      <c r="N265" s="273"/>
    </row>
    <row r="266" ht="26.25" customHeight="1">
      <c r="A266" s="274"/>
      <c r="B266" s="264">
        <v>45715.0</v>
      </c>
      <c r="C266" s="265" t="s">
        <v>974</v>
      </c>
      <c r="D266" s="266" t="s">
        <v>57</v>
      </c>
      <c r="E266" s="267" t="s">
        <v>1094</v>
      </c>
      <c r="F266" s="268"/>
      <c r="G266" s="269">
        <v>25000.0</v>
      </c>
      <c r="H266" s="270">
        <v>0.0</v>
      </c>
      <c r="I266" s="269">
        <v>25000.0</v>
      </c>
      <c r="J266" s="271">
        <v>25000.0</v>
      </c>
      <c r="K266" s="272">
        <f t="shared" si="2"/>
        <v>0</v>
      </c>
      <c r="L266" s="273"/>
      <c r="M266" s="273"/>
      <c r="N266" s="273"/>
    </row>
    <row r="267" ht="26.25" customHeight="1">
      <c r="A267" s="273"/>
      <c r="B267" s="264">
        <v>45715.0</v>
      </c>
      <c r="C267" s="275" t="s">
        <v>968</v>
      </c>
      <c r="D267" s="266" t="s">
        <v>57</v>
      </c>
      <c r="E267" s="267" t="s">
        <v>1296</v>
      </c>
      <c r="F267" s="268"/>
      <c r="G267" s="269">
        <v>25000.0</v>
      </c>
      <c r="H267" s="270">
        <v>0.0</v>
      </c>
      <c r="I267" s="269">
        <v>25000.0</v>
      </c>
      <c r="J267" s="271">
        <v>25000.0</v>
      </c>
      <c r="K267" s="272">
        <f t="shared" si="2"/>
        <v>0</v>
      </c>
      <c r="L267" s="273"/>
      <c r="M267" s="273"/>
      <c r="N267" s="273"/>
    </row>
    <row r="268" ht="26.25" customHeight="1">
      <c r="A268" s="273"/>
      <c r="B268" s="264">
        <v>45715.0</v>
      </c>
      <c r="C268" s="275"/>
      <c r="D268" s="266" t="s">
        <v>57</v>
      </c>
      <c r="E268" s="267" t="s">
        <v>1094</v>
      </c>
      <c r="F268" s="268"/>
      <c r="G268" s="269">
        <v>5000.0</v>
      </c>
      <c r="H268" s="270">
        <v>0.0</v>
      </c>
      <c r="I268" s="269">
        <v>5000.0</v>
      </c>
      <c r="J268" s="271">
        <v>5000.0</v>
      </c>
      <c r="K268" s="272">
        <f t="shared" si="2"/>
        <v>0</v>
      </c>
      <c r="L268" s="273"/>
      <c r="M268" s="273"/>
      <c r="N268" s="273"/>
    </row>
    <row r="269" ht="26.25" customHeight="1">
      <c r="A269" s="281" t="s">
        <v>1297</v>
      </c>
      <c r="B269" s="264">
        <v>45716.0</v>
      </c>
      <c r="C269" s="265" t="s">
        <v>960</v>
      </c>
      <c r="D269" s="266" t="s">
        <v>57</v>
      </c>
      <c r="E269" s="267" t="s">
        <v>1298</v>
      </c>
      <c r="F269" s="268"/>
      <c r="G269" s="269">
        <v>35000.0</v>
      </c>
      <c r="H269" s="270">
        <v>0.0</v>
      </c>
      <c r="I269" s="269">
        <v>35000.0</v>
      </c>
      <c r="J269" s="271">
        <v>35000.0</v>
      </c>
      <c r="K269" s="272">
        <f t="shared" si="2"/>
        <v>0</v>
      </c>
      <c r="L269" s="273"/>
      <c r="M269" s="273"/>
      <c r="N269" s="273"/>
    </row>
    <row r="270" ht="26.25" customHeight="1">
      <c r="A270" s="273"/>
      <c r="B270" s="264">
        <v>45716.0</v>
      </c>
      <c r="C270" s="265" t="s">
        <v>1035</v>
      </c>
      <c r="D270" s="266" t="s">
        <v>57</v>
      </c>
      <c r="E270" s="267" t="s">
        <v>1229</v>
      </c>
      <c r="F270" s="268"/>
      <c r="G270" s="269">
        <v>30000.0</v>
      </c>
      <c r="H270" s="270">
        <v>0.0</v>
      </c>
      <c r="I270" s="269">
        <v>30000.0</v>
      </c>
      <c r="J270" s="271">
        <v>30000.0</v>
      </c>
      <c r="K270" s="272">
        <f t="shared" si="2"/>
        <v>0</v>
      </c>
      <c r="L270" s="273"/>
      <c r="M270" s="273"/>
      <c r="N270" s="273"/>
    </row>
    <row r="271" ht="26.25" customHeight="1">
      <c r="A271" s="277" t="s">
        <v>1299</v>
      </c>
      <c r="B271" s="264">
        <v>45717.0</v>
      </c>
      <c r="C271" s="265" t="s">
        <v>965</v>
      </c>
      <c r="D271" s="266" t="s">
        <v>980</v>
      </c>
      <c r="E271" s="267" t="s">
        <v>1300</v>
      </c>
      <c r="F271" s="268"/>
      <c r="G271" s="269">
        <v>510000.0</v>
      </c>
      <c r="H271" s="270">
        <v>0.0</v>
      </c>
      <c r="I271" s="269">
        <v>510000.0</v>
      </c>
      <c r="J271" s="271">
        <v>510000.0</v>
      </c>
      <c r="K271" s="272">
        <f t="shared" si="2"/>
        <v>0</v>
      </c>
      <c r="L271" s="273"/>
      <c r="M271" s="273"/>
      <c r="N271" s="273"/>
    </row>
    <row r="272" ht="26.25" customHeight="1">
      <c r="A272" s="281" t="s">
        <v>1301</v>
      </c>
      <c r="B272" s="264">
        <v>45717.0</v>
      </c>
      <c r="C272" s="265" t="s">
        <v>960</v>
      </c>
      <c r="D272" s="266" t="s">
        <v>57</v>
      </c>
      <c r="E272" s="267" t="s">
        <v>1302</v>
      </c>
      <c r="F272" s="268"/>
      <c r="G272" s="269">
        <v>10000.0</v>
      </c>
      <c r="H272" s="270">
        <v>0.0</v>
      </c>
      <c r="I272" s="269">
        <v>10000.0</v>
      </c>
      <c r="J272" s="271">
        <v>10000.0</v>
      </c>
      <c r="K272" s="272">
        <f t="shared" si="2"/>
        <v>0</v>
      </c>
      <c r="L272" s="273"/>
      <c r="M272" s="273"/>
      <c r="N272" s="273"/>
    </row>
    <row r="273" ht="26.25" customHeight="1">
      <c r="A273" s="281" t="s">
        <v>1301</v>
      </c>
      <c r="B273" s="264">
        <v>45717.0</v>
      </c>
      <c r="C273" s="265" t="s">
        <v>985</v>
      </c>
      <c r="D273" s="266" t="s">
        <v>57</v>
      </c>
      <c r="E273" s="267" t="s">
        <v>1303</v>
      </c>
      <c r="F273" s="268"/>
      <c r="G273" s="269">
        <v>5000.0</v>
      </c>
      <c r="H273" s="270">
        <v>0.0</v>
      </c>
      <c r="I273" s="269">
        <v>5000.0</v>
      </c>
      <c r="J273" s="271">
        <v>5000.0</v>
      </c>
      <c r="K273" s="272">
        <f t="shared" si="2"/>
        <v>0</v>
      </c>
      <c r="L273" s="273"/>
      <c r="M273" s="273"/>
      <c r="N273" s="273"/>
    </row>
    <row r="274" ht="26.25" customHeight="1">
      <c r="A274" s="281" t="s">
        <v>1304</v>
      </c>
      <c r="B274" s="264">
        <v>45719.0</v>
      </c>
      <c r="C274" s="265" t="s">
        <v>972</v>
      </c>
      <c r="D274" s="266" t="s">
        <v>980</v>
      </c>
      <c r="E274" s="267" t="s">
        <v>1305</v>
      </c>
      <c r="F274" s="268"/>
      <c r="G274" s="269">
        <v>266000.0</v>
      </c>
      <c r="H274" s="270">
        <v>0.0</v>
      </c>
      <c r="I274" s="269">
        <v>266000.0</v>
      </c>
      <c r="J274" s="271">
        <v>266000.0</v>
      </c>
      <c r="K274" s="272">
        <f t="shared" si="2"/>
        <v>0</v>
      </c>
      <c r="L274" s="273"/>
      <c r="M274" s="273"/>
      <c r="N274" s="273"/>
    </row>
    <row r="275" ht="26.25" customHeight="1">
      <c r="A275" s="281" t="s">
        <v>1306</v>
      </c>
      <c r="B275" s="264">
        <v>45720.0</v>
      </c>
      <c r="C275" s="265" t="s">
        <v>965</v>
      </c>
      <c r="D275" s="266" t="s">
        <v>980</v>
      </c>
      <c r="E275" s="267" t="s">
        <v>1307</v>
      </c>
      <c r="F275" s="268"/>
      <c r="G275" s="269">
        <v>366000.0</v>
      </c>
      <c r="H275" s="270">
        <v>0.0</v>
      </c>
      <c r="I275" s="269">
        <v>366000.0</v>
      </c>
      <c r="J275" s="271">
        <v>366000.0</v>
      </c>
      <c r="K275" s="272">
        <f t="shared" si="2"/>
        <v>0</v>
      </c>
      <c r="L275" s="273"/>
      <c r="M275" s="273"/>
      <c r="N275" s="273"/>
    </row>
    <row r="276" ht="26.25" customHeight="1">
      <c r="A276" s="277" t="s">
        <v>1308</v>
      </c>
      <c r="B276" s="264">
        <v>45720.0</v>
      </c>
      <c r="C276" s="265" t="s">
        <v>965</v>
      </c>
      <c r="D276" s="266" t="s">
        <v>31</v>
      </c>
      <c r="E276" s="267" t="s">
        <v>1309</v>
      </c>
      <c r="F276" s="268"/>
      <c r="G276" s="269">
        <v>35000.0</v>
      </c>
      <c r="H276" s="270">
        <v>0.0</v>
      </c>
      <c r="I276" s="269">
        <v>35000.0</v>
      </c>
      <c r="J276" s="271">
        <v>35000.0</v>
      </c>
      <c r="K276" s="272">
        <f t="shared" si="2"/>
        <v>0</v>
      </c>
      <c r="L276" s="273"/>
      <c r="M276" s="273"/>
      <c r="N276" s="273"/>
    </row>
    <row r="277" ht="26.25" customHeight="1">
      <c r="A277" s="277" t="s">
        <v>1310</v>
      </c>
      <c r="B277" s="264">
        <v>45721.0</v>
      </c>
      <c r="C277" s="265" t="s">
        <v>965</v>
      </c>
      <c r="D277" s="266" t="s">
        <v>980</v>
      </c>
      <c r="E277" s="267" t="s">
        <v>1311</v>
      </c>
      <c r="F277" s="268"/>
      <c r="G277" s="269">
        <v>584000.0</v>
      </c>
      <c r="H277" s="270">
        <v>0.0</v>
      </c>
      <c r="I277" s="269">
        <v>584000.0</v>
      </c>
      <c r="J277" s="271">
        <v>584000.0</v>
      </c>
      <c r="K277" s="272">
        <f t="shared" si="2"/>
        <v>0</v>
      </c>
      <c r="L277" s="273"/>
      <c r="M277" s="273"/>
      <c r="N277" s="273"/>
    </row>
    <row r="278" ht="26.25" customHeight="1">
      <c r="A278" s="281" t="s">
        <v>1308</v>
      </c>
      <c r="B278" s="264">
        <v>45721.0</v>
      </c>
      <c r="C278" s="275" t="s">
        <v>968</v>
      </c>
      <c r="D278" s="266" t="s">
        <v>57</v>
      </c>
      <c r="E278" s="267" t="s">
        <v>1312</v>
      </c>
      <c r="F278" s="268"/>
      <c r="G278" s="269">
        <v>145000.0</v>
      </c>
      <c r="H278" s="270">
        <v>0.0</v>
      </c>
      <c r="I278" s="269">
        <v>145000.0</v>
      </c>
      <c r="J278" s="271">
        <v>145000.0</v>
      </c>
      <c r="K278" s="272">
        <f t="shared" si="2"/>
        <v>0</v>
      </c>
      <c r="L278" s="273"/>
      <c r="M278" s="273"/>
      <c r="N278" s="273"/>
    </row>
    <row r="279" ht="26.25" customHeight="1">
      <c r="A279" s="281" t="s">
        <v>1308</v>
      </c>
      <c r="B279" s="264">
        <v>45721.0</v>
      </c>
      <c r="C279" s="265" t="s">
        <v>960</v>
      </c>
      <c r="D279" s="266" t="s">
        <v>57</v>
      </c>
      <c r="E279" s="267" t="s">
        <v>1313</v>
      </c>
      <c r="F279" s="268"/>
      <c r="G279" s="269">
        <v>75000.0</v>
      </c>
      <c r="H279" s="270">
        <v>0.0</v>
      </c>
      <c r="I279" s="269">
        <v>75000.0</v>
      </c>
      <c r="J279" s="271">
        <v>75000.0</v>
      </c>
      <c r="K279" s="272">
        <f t="shared" si="2"/>
        <v>0</v>
      </c>
      <c r="L279" s="273"/>
      <c r="M279" s="273"/>
      <c r="N279" s="273"/>
    </row>
    <row r="280" ht="26.25" customHeight="1">
      <c r="A280" s="281" t="s">
        <v>1308</v>
      </c>
      <c r="B280" s="264">
        <v>45721.0</v>
      </c>
      <c r="C280" s="265" t="s">
        <v>965</v>
      </c>
      <c r="D280" s="266" t="s">
        <v>57</v>
      </c>
      <c r="E280" s="267" t="s">
        <v>1314</v>
      </c>
      <c r="F280" s="268"/>
      <c r="G280" s="269">
        <v>50000.0</v>
      </c>
      <c r="H280" s="270">
        <v>0.0</v>
      </c>
      <c r="I280" s="269">
        <v>50000.0</v>
      </c>
      <c r="J280" s="271">
        <v>50000.0</v>
      </c>
      <c r="K280" s="272">
        <f t="shared" si="2"/>
        <v>0</v>
      </c>
      <c r="L280" s="273"/>
      <c r="M280" s="273"/>
      <c r="N280" s="273"/>
    </row>
    <row r="281" ht="26.25" customHeight="1">
      <c r="A281" s="281" t="s">
        <v>1308</v>
      </c>
      <c r="B281" s="264">
        <v>45721.0</v>
      </c>
      <c r="C281" s="265" t="s">
        <v>960</v>
      </c>
      <c r="D281" s="266" t="s">
        <v>57</v>
      </c>
      <c r="E281" s="267" t="s">
        <v>1315</v>
      </c>
      <c r="F281" s="268"/>
      <c r="G281" s="269">
        <v>40000.0</v>
      </c>
      <c r="H281" s="270">
        <v>0.0</v>
      </c>
      <c r="I281" s="269">
        <v>40000.0</v>
      </c>
      <c r="J281" s="271">
        <v>40000.0</v>
      </c>
      <c r="K281" s="272">
        <f t="shared" si="2"/>
        <v>0</v>
      </c>
      <c r="L281" s="273"/>
      <c r="M281" s="273"/>
      <c r="N281" s="273"/>
    </row>
    <row r="282" ht="26.25" customHeight="1">
      <c r="A282" s="281" t="s">
        <v>1308</v>
      </c>
      <c r="B282" s="264">
        <v>45721.0</v>
      </c>
      <c r="C282" s="265" t="s">
        <v>960</v>
      </c>
      <c r="D282" s="266" t="s">
        <v>57</v>
      </c>
      <c r="E282" s="267" t="s">
        <v>1316</v>
      </c>
      <c r="F282" s="268"/>
      <c r="G282" s="269">
        <v>25000.0</v>
      </c>
      <c r="H282" s="270">
        <v>0.0</v>
      </c>
      <c r="I282" s="269">
        <v>25000.0</v>
      </c>
      <c r="J282" s="271">
        <v>25000.0</v>
      </c>
      <c r="K282" s="272">
        <f t="shared" si="2"/>
        <v>0</v>
      </c>
      <c r="L282" s="273"/>
      <c r="M282" s="273"/>
      <c r="N282" s="273"/>
    </row>
    <row r="283" ht="26.25" customHeight="1">
      <c r="A283" s="281" t="s">
        <v>1308</v>
      </c>
      <c r="B283" s="264">
        <v>45721.0</v>
      </c>
      <c r="C283" s="265" t="s">
        <v>960</v>
      </c>
      <c r="D283" s="266" t="s">
        <v>57</v>
      </c>
      <c r="E283" s="267" t="s">
        <v>1317</v>
      </c>
      <c r="F283" s="268"/>
      <c r="G283" s="269">
        <v>20000.0</v>
      </c>
      <c r="H283" s="270">
        <v>0.0</v>
      </c>
      <c r="I283" s="269">
        <v>20000.0</v>
      </c>
      <c r="J283" s="271">
        <v>20000.0</v>
      </c>
      <c r="K283" s="272">
        <f t="shared" si="2"/>
        <v>0</v>
      </c>
      <c r="L283" s="273"/>
      <c r="M283" s="273"/>
      <c r="N283" s="273"/>
    </row>
    <row r="284" ht="26.25" customHeight="1">
      <c r="A284" s="273"/>
      <c r="B284" s="264">
        <v>45721.0</v>
      </c>
      <c r="C284" s="265" t="s">
        <v>960</v>
      </c>
      <c r="D284" s="266" t="s">
        <v>980</v>
      </c>
      <c r="E284" s="267" t="s">
        <v>1318</v>
      </c>
      <c r="F284" s="268"/>
      <c r="G284" s="269">
        <v>10000.0</v>
      </c>
      <c r="H284" s="270">
        <v>0.0</v>
      </c>
      <c r="I284" s="269">
        <v>10000.0</v>
      </c>
      <c r="J284" s="271">
        <v>10000.0</v>
      </c>
      <c r="K284" s="272">
        <f t="shared" si="2"/>
        <v>0</v>
      </c>
      <c r="L284" s="273"/>
      <c r="M284" s="273"/>
      <c r="N284" s="273"/>
    </row>
    <row r="285" ht="26.25" customHeight="1">
      <c r="A285" s="281" t="s">
        <v>1308</v>
      </c>
      <c r="B285" s="264">
        <v>45721.0</v>
      </c>
      <c r="C285" s="275" t="s">
        <v>965</v>
      </c>
      <c r="D285" s="266" t="s">
        <v>57</v>
      </c>
      <c r="E285" s="267" t="s">
        <v>1319</v>
      </c>
      <c r="F285" s="268"/>
      <c r="G285" s="269">
        <v>10000.0</v>
      </c>
      <c r="H285" s="270">
        <v>0.0</v>
      </c>
      <c r="I285" s="269">
        <v>10000.0</v>
      </c>
      <c r="J285" s="271">
        <v>10000.0</v>
      </c>
      <c r="K285" s="272">
        <f t="shared" si="2"/>
        <v>0</v>
      </c>
      <c r="L285" s="273"/>
      <c r="M285" s="273"/>
      <c r="N285" s="273"/>
    </row>
    <row r="286" ht="26.25" customHeight="1">
      <c r="A286" s="281" t="s">
        <v>1320</v>
      </c>
      <c r="B286" s="264">
        <v>45722.0</v>
      </c>
      <c r="C286" s="275" t="s">
        <v>965</v>
      </c>
      <c r="D286" s="266" t="s">
        <v>980</v>
      </c>
      <c r="E286" s="267" t="s">
        <v>1321</v>
      </c>
      <c r="F286" s="268"/>
      <c r="G286" s="269">
        <v>460000.0</v>
      </c>
      <c r="H286" s="270">
        <v>0.0</v>
      </c>
      <c r="I286" s="269">
        <v>460000.0</v>
      </c>
      <c r="J286" s="271">
        <v>460000.0</v>
      </c>
      <c r="K286" s="272">
        <f t="shared" si="2"/>
        <v>0</v>
      </c>
      <c r="L286" s="273"/>
      <c r="M286" s="273"/>
      <c r="N286" s="273"/>
    </row>
    <row r="287" ht="26.25" customHeight="1">
      <c r="A287" s="281" t="s">
        <v>1322</v>
      </c>
      <c r="B287" s="264">
        <v>45722.0</v>
      </c>
      <c r="C287" s="265" t="s">
        <v>965</v>
      </c>
      <c r="D287" s="266" t="s">
        <v>1323</v>
      </c>
      <c r="E287" s="267" t="s">
        <v>1324</v>
      </c>
      <c r="F287" s="268"/>
      <c r="G287" s="269">
        <v>290000.0</v>
      </c>
      <c r="H287" s="270">
        <v>0.0</v>
      </c>
      <c r="I287" s="269">
        <v>290000.0</v>
      </c>
      <c r="J287" s="271">
        <v>290000.0</v>
      </c>
      <c r="K287" s="272">
        <f t="shared" si="2"/>
        <v>0</v>
      </c>
      <c r="L287" s="273"/>
      <c r="M287" s="273"/>
      <c r="N287" s="273"/>
    </row>
    <row r="288" ht="26.25" customHeight="1">
      <c r="A288" s="277" t="s">
        <v>1325</v>
      </c>
      <c r="B288" s="264">
        <v>45722.0</v>
      </c>
      <c r="C288" s="265"/>
      <c r="D288" s="266" t="s">
        <v>57</v>
      </c>
      <c r="E288" s="267" t="s">
        <v>1326</v>
      </c>
      <c r="F288" s="268"/>
      <c r="G288" s="269">
        <v>150000.0</v>
      </c>
      <c r="H288" s="270">
        <v>0.0</v>
      </c>
      <c r="I288" s="269">
        <v>150000.0</v>
      </c>
      <c r="J288" s="271">
        <v>150000.0</v>
      </c>
      <c r="K288" s="272">
        <f t="shared" si="2"/>
        <v>0</v>
      </c>
      <c r="L288" s="273"/>
      <c r="M288" s="273"/>
      <c r="N288" s="273"/>
    </row>
    <row r="289" ht="26.25" customHeight="1">
      <c r="A289" s="281" t="s">
        <v>1327</v>
      </c>
      <c r="B289" s="264">
        <v>45722.0</v>
      </c>
      <c r="C289" s="265" t="s">
        <v>960</v>
      </c>
      <c r="D289" s="266" t="s">
        <v>990</v>
      </c>
      <c r="E289" s="267" t="s">
        <v>1328</v>
      </c>
      <c r="F289" s="268"/>
      <c r="G289" s="269">
        <v>60000.0</v>
      </c>
      <c r="H289" s="270">
        <v>0.0</v>
      </c>
      <c r="I289" s="269">
        <v>60000.0</v>
      </c>
      <c r="J289" s="271">
        <v>60000.0</v>
      </c>
      <c r="K289" s="272">
        <f t="shared" si="2"/>
        <v>0</v>
      </c>
      <c r="L289" s="273"/>
      <c r="M289" s="273"/>
      <c r="N289" s="273"/>
    </row>
    <row r="290" ht="26.25" customHeight="1">
      <c r="A290" s="281" t="s">
        <v>1325</v>
      </c>
      <c r="B290" s="264">
        <v>45722.0</v>
      </c>
      <c r="C290" s="265" t="s">
        <v>960</v>
      </c>
      <c r="D290" s="266" t="s">
        <v>57</v>
      </c>
      <c r="E290" s="267" t="s">
        <v>1329</v>
      </c>
      <c r="F290" s="268"/>
      <c r="G290" s="269">
        <v>45000.0</v>
      </c>
      <c r="H290" s="270">
        <v>0.0</v>
      </c>
      <c r="I290" s="269">
        <v>45000.0</v>
      </c>
      <c r="J290" s="271">
        <v>45000.0</v>
      </c>
      <c r="K290" s="272">
        <f t="shared" si="2"/>
        <v>0</v>
      </c>
      <c r="L290" s="273"/>
      <c r="M290" s="273"/>
      <c r="N290" s="273"/>
    </row>
    <row r="291" ht="26.25" customHeight="1">
      <c r="A291" s="281" t="s">
        <v>1325</v>
      </c>
      <c r="B291" s="264">
        <v>45722.0</v>
      </c>
      <c r="C291" s="265" t="s">
        <v>965</v>
      </c>
      <c r="D291" s="266" t="s">
        <v>57</v>
      </c>
      <c r="E291" s="267" t="s">
        <v>1245</v>
      </c>
      <c r="F291" s="268"/>
      <c r="G291" s="269">
        <v>45000.0</v>
      </c>
      <c r="H291" s="270">
        <v>0.0</v>
      </c>
      <c r="I291" s="269">
        <v>45000.0</v>
      </c>
      <c r="J291" s="271">
        <v>45000.0</v>
      </c>
      <c r="K291" s="272">
        <f t="shared" si="2"/>
        <v>0</v>
      </c>
      <c r="L291" s="273"/>
      <c r="M291" s="273"/>
      <c r="N291" s="273"/>
    </row>
    <row r="292" ht="26.25" customHeight="1">
      <c r="A292" s="281" t="s">
        <v>1301</v>
      </c>
      <c r="B292" s="264">
        <v>45722.0</v>
      </c>
      <c r="C292" s="265" t="s">
        <v>960</v>
      </c>
      <c r="D292" s="266" t="s">
        <v>57</v>
      </c>
      <c r="E292" s="267" t="s">
        <v>1330</v>
      </c>
      <c r="F292" s="268"/>
      <c r="G292" s="269">
        <v>30000.0</v>
      </c>
      <c r="H292" s="270">
        <v>0.0</v>
      </c>
      <c r="I292" s="269">
        <v>30000.0</v>
      </c>
      <c r="J292" s="271">
        <v>30000.0</v>
      </c>
      <c r="K292" s="272">
        <f t="shared" si="2"/>
        <v>0</v>
      </c>
      <c r="L292" s="273"/>
      <c r="M292" s="273"/>
      <c r="N292" s="273"/>
    </row>
    <row r="293" ht="26.25" customHeight="1">
      <c r="A293" s="277" t="s">
        <v>1301</v>
      </c>
      <c r="B293" s="264">
        <v>45722.0</v>
      </c>
      <c r="C293" s="265" t="s">
        <v>960</v>
      </c>
      <c r="D293" s="266" t="s">
        <v>57</v>
      </c>
      <c r="E293" s="267" t="s">
        <v>1331</v>
      </c>
      <c r="F293" s="268"/>
      <c r="G293" s="269">
        <v>25000.0</v>
      </c>
      <c r="H293" s="270">
        <v>0.0</v>
      </c>
      <c r="I293" s="269">
        <v>25000.0</v>
      </c>
      <c r="J293" s="271">
        <v>25000.0</v>
      </c>
      <c r="K293" s="272">
        <f t="shared" si="2"/>
        <v>0</v>
      </c>
      <c r="L293" s="273"/>
      <c r="M293" s="273"/>
      <c r="N293" s="273"/>
    </row>
    <row r="294" ht="26.25" customHeight="1">
      <c r="A294" s="281" t="s">
        <v>1332</v>
      </c>
      <c r="B294" s="264">
        <v>45722.0</v>
      </c>
      <c r="C294" s="265" t="s">
        <v>965</v>
      </c>
      <c r="D294" s="266" t="s">
        <v>1333</v>
      </c>
      <c r="E294" s="267" t="s">
        <v>1334</v>
      </c>
      <c r="F294" s="268"/>
      <c r="G294" s="269">
        <v>20000.0</v>
      </c>
      <c r="H294" s="270">
        <v>0.0</v>
      </c>
      <c r="I294" s="269">
        <v>20000.0</v>
      </c>
      <c r="J294" s="271">
        <v>20000.0</v>
      </c>
      <c r="K294" s="272">
        <f t="shared" si="2"/>
        <v>0</v>
      </c>
      <c r="L294" s="273"/>
      <c r="M294" s="273"/>
      <c r="N294" s="273"/>
    </row>
    <row r="295" ht="26.25" customHeight="1">
      <c r="A295" s="277" t="s">
        <v>1335</v>
      </c>
      <c r="B295" s="264">
        <v>45722.0</v>
      </c>
      <c r="C295" s="265" t="s">
        <v>965</v>
      </c>
      <c r="D295" s="266" t="s">
        <v>1333</v>
      </c>
      <c r="E295" s="267" t="s">
        <v>1336</v>
      </c>
      <c r="F295" s="268"/>
      <c r="G295" s="269">
        <v>20000.0</v>
      </c>
      <c r="H295" s="270">
        <v>0.0</v>
      </c>
      <c r="I295" s="269">
        <v>20000.0</v>
      </c>
      <c r="J295" s="271">
        <v>20000.0</v>
      </c>
      <c r="K295" s="272">
        <f t="shared" si="2"/>
        <v>0</v>
      </c>
      <c r="L295" s="273"/>
      <c r="M295" s="273"/>
      <c r="N295" s="273"/>
    </row>
    <row r="296" ht="26.25" customHeight="1">
      <c r="A296" s="274"/>
      <c r="B296" s="264">
        <v>45722.0</v>
      </c>
      <c r="C296" s="265" t="s">
        <v>960</v>
      </c>
      <c r="D296" s="266" t="s">
        <v>57</v>
      </c>
      <c r="E296" s="267" t="s">
        <v>1337</v>
      </c>
      <c r="F296" s="268"/>
      <c r="G296" s="269">
        <v>11000.0</v>
      </c>
      <c r="H296" s="270">
        <v>0.0</v>
      </c>
      <c r="I296" s="269">
        <v>11000.0</v>
      </c>
      <c r="J296" s="271">
        <v>11000.0</v>
      </c>
      <c r="K296" s="272">
        <f t="shared" si="2"/>
        <v>0</v>
      </c>
      <c r="L296" s="273"/>
      <c r="M296" s="273"/>
      <c r="N296" s="273"/>
    </row>
    <row r="297" ht="26.25" customHeight="1">
      <c r="A297" s="273"/>
      <c r="B297" s="264">
        <v>45722.0</v>
      </c>
      <c r="C297" s="265" t="s">
        <v>960</v>
      </c>
      <c r="D297" s="266" t="s">
        <v>57</v>
      </c>
      <c r="E297" s="267" t="s">
        <v>1338</v>
      </c>
      <c r="F297" s="268"/>
      <c r="G297" s="269">
        <v>10000.0</v>
      </c>
      <c r="H297" s="270">
        <v>0.0</v>
      </c>
      <c r="I297" s="269">
        <v>10000.0</v>
      </c>
      <c r="J297" s="271">
        <v>10000.0</v>
      </c>
      <c r="K297" s="272">
        <f t="shared" si="2"/>
        <v>0</v>
      </c>
      <c r="L297" s="273"/>
      <c r="M297" s="273"/>
      <c r="N297" s="273"/>
    </row>
    <row r="298" ht="26.25" customHeight="1">
      <c r="A298" s="273"/>
      <c r="B298" s="264">
        <v>45722.0</v>
      </c>
      <c r="C298" s="265" t="s">
        <v>1339</v>
      </c>
      <c r="D298" s="266" t="s">
        <v>1340</v>
      </c>
      <c r="E298" s="267" t="s">
        <v>1341</v>
      </c>
      <c r="F298" s="268"/>
      <c r="G298" s="269">
        <v>10000.0</v>
      </c>
      <c r="H298" s="270">
        <v>0.0</v>
      </c>
      <c r="I298" s="269">
        <v>10000.0</v>
      </c>
      <c r="J298" s="271">
        <v>10000.0</v>
      </c>
      <c r="K298" s="272">
        <f t="shared" si="2"/>
        <v>0</v>
      </c>
      <c r="L298" s="273"/>
      <c r="M298" s="273"/>
      <c r="N298" s="273"/>
    </row>
    <row r="299" ht="26.25" customHeight="1">
      <c r="A299" s="277" t="s">
        <v>1342</v>
      </c>
      <c r="B299" s="264">
        <v>45722.0</v>
      </c>
      <c r="C299" s="265" t="s">
        <v>965</v>
      </c>
      <c r="D299" s="266" t="s">
        <v>1333</v>
      </c>
      <c r="E299" s="267" t="s">
        <v>1343</v>
      </c>
      <c r="F299" s="268"/>
      <c r="G299" s="269">
        <v>10000.0</v>
      </c>
      <c r="H299" s="270">
        <v>0.0</v>
      </c>
      <c r="I299" s="269">
        <v>10000.0</v>
      </c>
      <c r="J299" s="271">
        <v>10000.0</v>
      </c>
      <c r="K299" s="272">
        <f t="shared" si="2"/>
        <v>0</v>
      </c>
      <c r="L299" s="273"/>
      <c r="M299" s="273"/>
      <c r="N299" s="273"/>
    </row>
    <row r="300" ht="26.25" customHeight="1">
      <c r="A300" s="277" t="s">
        <v>1325</v>
      </c>
      <c r="B300" s="264">
        <v>45722.0</v>
      </c>
      <c r="C300" s="265" t="s">
        <v>965</v>
      </c>
      <c r="D300" s="266" t="s">
        <v>57</v>
      </c>
      <c r="E300" s="267" t="s">
        <v>1344</v>
      </c>
      <c r="F300" s="268"/>
      <c r="G300" s="269">
        <v>10000.0</v>
      </c>
      <c r="H300" s="270">
        <v>0.0</v>
      </c>
      <c r="I300" s="269">
        <v>10000.0</v>
      </c>
      <c r="J300" s="271">
        <v>10000.0</v>
      </c>
      <c r="K300" s="272">
        <f t="shared" si="2"/>
        <v>0</v>
      </c>
      <c r="L300" s="273"/>
      <c r="M300" s="273"/>
      <c r="N300" s="273"/>
    </row>
    <row r="301" ht="26.25" customHeight="1">
      <c r="A301" s="281" t="s">
        <v>1345</v>
      </c>
      <c r="B301" s="264">
        <v>45722.0</v>
      </c>
      <c r="C301" s="265" t="s">
        <v>974</v>
      </c>
      <c r="D301" s="282"/>
      <c r="E301" s="267" t="s">
        <v>1346</v>
      </c>
      <c r="F301" s="268"/>
      <c r="G301" s="269">
        <v>10000.0</v>
      </c>
      <c r="H301" s="270">
        <v>0.0</v>
      </c>
      <c r="I301" s="269">
        <v>10000.0</v>
      </c>
      <c r="J301" s="271">
        <v>10000.0</v>
      </c>
      <c r="K301" s="272">
        <f t="shared" si="2"/>
        <v>0</v>
      </c>
      <c r="L301" s="273"/>
      <c r="M301" s="273"/>
      <c r="N301" s="273"/>
    </row>
    <row r="302" ht="26.25" customHeight="1">
      <c r="A302" s="273"/>
      <c r="B302" s="264">
        <v>45722.0</v>
      </c>
      <c r="C302" s="265"/>
      <c r="D302" s="266" t="s">
        <v>57</v>
      </c>
      <c r="E302" s="267" t="s">
        <v>1347</v>
      </c>
      <c r="F302" s="268"/>
      <c r="G302" s="269">
        <v>10000.0</v>
      </c>
      <c r="H302" s="270">
        <v>0.0</v>
      </c>
      <c r="I302" s="269">
        <v>10000.0</v>
      </c>
      <c r="J302" s="271">
        <v>10000.0</v>
      </c>
      <c r="K302" s="272">
        <f t="shared" si="2"/>
        <v>0</v>
      </c>
      <c r="L302" s="273"/>
      <c r="M302" s="273"/>
      <c r="N302" s="273"/>
    </row>
    <row r="303" ht="26.25" customHeight="1">
      <c r="A303" s="281" t="s">
        <v>1348</v>
      </c>
      <c r="B303" s="264">
        <v>45722.0</v>
      </c>
      <c r="C303" s="265" t="s">
        <v>965</v>
      </c>
      <c r="D303" s="266" t="s">
        <v>1333</v>
      </c>
      <c r="E303" s="267" t="s">
        <v>1349</v>
      </c>
      <c r="F303" s="268"/>
      <c r="G303" s="269">
        <v>6000.0</v>
      </c>
      <c r="H303" s="270">
        <v>0.0</v>
      </c>
      <c r="I303" s="269">
        <v>6000.0</v>
      </c>
      <c r="J303" s="271">
        <v>6000.0</v>
      </c>
      <c r="K303" s="272">
        <f t="shared" si="2"/>
        <v>0</v>
      </c>
      <c r="L303" s="273"/>
      <c r="M303" s="273"/>
      <c r="N303" s="273"/>
    </row>
    <row r="304" ht="26.25" customHeight="1">
      <c r="A304" s="277" t="s">
        <v>1301</v>
      </c>
      <c r="B304" s="264">
        <v>45722.0</v>
      </c>
      <c r="C304" s="265" t="s">
        <v>960</v>
      </c>
      <c r="D304" s="266" t="s">
        <v>57</v>
      </c>
      <c r="E304" s="267" t="s">
        <v>1350</v>
      </c>
      <c r="F304" s="268"/>
      <c r="G304" s="269">
        <v>5000.0</v>
      </c>
      <c r="H304" s="270">
        <v>0.0</v>
      </c>
      <c r="I304" s="269">
        <v>5000.0</v>
      </c>
      <c r="J304" s="271">
        <v>5000.0</v>
      </c>
      <c r="K304" s="272">
        <f t="shared" si="2"/>
        <v>0</v>
      </c>
      <c r="L304" s="273"/>
      <c r="M304" s="273"/>
      <c r="N304" s="273"/>
    </row>
    <row r="305" ht="26.25" customHeight="1">
      <c r="A305" s="281" t="s">
        <v>1301</v>
      </c>
      <c r="B305" s="264">
        <v>45722.0</v>
      </c>
      <c r="C305" s="265" t="s">
        <v>960</v>
      </c>
      <c r="D305" s="266" t="s">
        <v>57</v>
      </c>
      <c r="E305" s="267" t="s">
        <v>1351</v>
      </c>
      <c r="F305" s="268"/>
      <c r="G305" s="269">
        <v>5000.0</v>
      </c>
      <c r="H305" s="270">
        <v>0.0</v>
      </c>
      <c r="I305" s="269">
        <v>5000.0</v>
      </c>
      <c r="J305" s="271">
        <v>5000.0</v>
      </c>
      <c r="K305" s="272">
        <f t="shared" si="2"/>
        <v>0</v>
      </c>
      <c r="L305" s="273"/>
      <c r="M305" s="273"/>
      <c r="N305" s="273"/>
    </row>
    <row r="306" ht="26.25" customHeight="1">
      <c r="A306" s="273"/>
      <c r="B306" s="264">
        <v>45723.0</v>
      </c>
      <c r="C306" s="265" t="s">
        <v>972</v>
      </c>
      <c r="D306" s="266" t="s">
        <v>824</v>
      </c>
      <c r="E306" s="267" t="s">
        <v>1323</v>
      </c>
      <c r="F306" s="268"/>
      <c r="G306" s="269">
        <v>290000.0</v>
      </c>
      <c r="H306" s="270">
        <v>0.0</v>
      </c>
      <c r="I306" s="269">
        <v>290000.0</v>
      </c>
      <c r="J306" s="271">
        <v>290000.0</v>
      </c>
      <c r="K306" s="272">
        <f t="shared" si="2"/>
        <v>0</v>
      </c>
      <c r="L306" s="273"/>
      <c r="M306" s="273"/>
      <c r="N306" s="273"/>
    </row>
    <row r="307" ht="26.25" customHeight="1">
      <c r="A307" s="273"/>
      <c r="B307" s="264">
        <v>45723.0</v>
      </c>
      <c r="C307" s="275" t="s">
        <v>960</v>
      </c>
      <c r="D307" s="266" t="s">
        <v>45</v>
      </c>
      <c r="E307" s="267" t="s">
        <v>1070</v>
      </c>
      <c r="F307" s="268"/>
      <c r="G307" s="269">
        <v>65000.0</v>
      </c>
      <c r="H307" s="270">
        <v>0.0</v>
      </c>
      <c r="I307" s="269">
        <v>65000.0</v>
      </c>
      <c r="J307" s="271">
        <v>65000.0</v>
      </c>
      <c r="K307" s="272">
        <f t="shared" si="2"/>
        <v>0</v>
      </c>
      <c r="L307" s="273"/>
      <c r="M307" s="273"/>
      <c r="N307" s="273"/>
    </row>
    <row r="308" ht="26.25" customHeight="1">
      <c r="A308" s="273"/>
      <c r="B308" s="264">
        <v>45723.0</v>
      </c>
      <c r="C308" s="275" t="s">
        <v>960</v>
      </c>
      <c r="D308" s="266" t="s">
        <v>57</v>
      </c>
      <c r="E308" s="267" t="s">
        <v>1318</v>
      </c>
      <c r="F308" s="268"/>
      <c r="G308" s="269">
        <v>5000.0</v>
      </c>
      <c r="H308" s="270">
        <v>0.0</v>
      </c>
      <c r="I308" s="269">
        <v>5000.0</v>
      </c>
      <c r="J308" s="271">
        <v>5000.0</v>
      </c>
      <c r="K308" s="272">
        <f t="shared" si="2"/>
        <v>0</v>
      </c>
      <c r="L308" s="273"/>
      <c r="M308" s="273"/>
      <c r="N308" s="273"/>
    </row>
    <row r="309" ht="26.25" customHeight="1">
      <c r="A309" s="281" t="s">
        <v>1352</v>
      </c>
      <c r="B309" s="264">
        <v>45724.0</v>
      </c>
      <c r="C309" s="265" t="s">
        <v>965</v>
      </c>
      <c r="D309" s="266" t="s">
        <v>31</v>
      </c>
      <c r="E309" s="267" t="s">
        <v>1353</v>
      </c>
      <c r="F309" s="268"/>
      <c r="G309" s="269">
        <v>85000.0</v>
      </c>
      <c r="H309" s="270">
        <v>0.0</v>
      </c>
      <c r="I309" s="269">
        <v>85000.0</v>
      </c>
      <c r="J309" s="271">
        <v>85000.0</v>
      </c>
      <c r="K309" s="272">
        <f t="shared" si="2"/>
        <v>0</v>
      </c>
      <c r="L309" s="273"/>
      <c r="M309" s="273"/>
      <c r="N309" s="273"/>
    </row>
    <row r="310" ht="26.25" customHeight="1">
      <c r="A310" s="277" t="s">
        <v>1354</v>
      </c>
      <c r="B310" s="264">
        <v>45724.0</v>
      </c>
      <c r="C310" s="265" t="s">
        <v>965</v>
      </c>
      <c r="D310" s="266" t="s">
        <v>31</v>
      </c>
      <c r="E310" s="267" t="s">
        <v>1355</v>
      </c>
      <c r="F310" s="268"/>
      <c r="G310" s="269">
        <v>84000.0</v>
      </c>
      <c r="H310" s="270">
        <v>0.0</v>
      </c>
      <c r="I310" s="269">
        <v>84000.0</v>
      </c>
      <c r="J310" s="271">
        <v>84000.0</v>
      </c>
      <c r="K310" s="272">
        <f t="shared" si="2"/>
        <v>0</v>
      </c>
      <c r="L310" s="273"/>
      <c r="M310" s="273"/>
      <c r="N310" s="273"/>
    </row>
    <row r="311" ht="26.25" customHeight="1">
      <c r="A311" s="273"/>
      <c r="B311" s="264">
        <v>45724.0</v>
      </c>
      <c r="C311" s="265" t="s">
        <v>974</v>
      </c>
      <c r="D311" s="266" t="s">
        <v>31</v>
      </c>
      <c r="E311" s="267" t="s">
        <v>1356</v>
      </c>
      <c r="F311" s="268"/>
      <c r="G311" s="269">
        <v>15000.0</v>
      </c>
      <c r="H311" s="270">
        <v>0.0</v>
      </c>
      <c r="I311" s="269">
        <v>15000.0</v>
      </c>
      <c r="J311" s="271">
        <v>15000.0</v>
      </c>
      <c r="K311" s="272">
        <f t="shared" si="2"/>
        <v>0</v>
      </c>
      <c r="L311" s="273"/>
      <c r="M311" s="273"/>
      <c r="N311" s="273"/>
    </row>
    <row r="312" ht="26.25" customHeight="1">
      <c r="A312" s="273"/>
      <c r="B312" s="264">
        <v>45724.0</v>
      </c>
      <c r="C312" s="275" t="s">
        <v>974</v>
      </c>
      <c r="D312" s="266" t="s">
        <v>31</v>
      </c>
      <c r="E312" s="267" t="s">
        <v>1357</v>
      </c>
      <c r="F312" s="268"/>
      <c r="G312" s="269">
        <v>10000.0</v>
      </c>
      <c r="H312" s="270">
        <v>0.0</v>
      </c>
      <c r="I312" s="269">
        <v>10000.0</v>
      </c>
      <c r="J312" s="271">
        <v>10000.0</v>
      </c>
      <c r="K312" s="272">
        <f t="shared" si="2"/>
        <v>0</v>
      </c>
      <c r="L312" s="273"/>
      <c r="M312" s="273"/>
      <c r="N312" s="273"/>
    </row>
    <row r="313" ht="26.25" customHeight="1">
      <c r="A313" s="273"/>
      <c r="B313" s="264">
        <v>45724.0</v>
      </c>
      <c r="C313" s="275" t="s">
        <v>960</v>
      </c>
      <c r="D313" s="266" t="s">
        <v>31</v>
      </c>
      <c r="E313" s="267" t="s">
        <v>1357</v>
      </c>
      <c r="F313" s="268"/>
      <c r="G313" s="269">
        <v>5000.0</v>
      </c>
      <c r="H313" s="270">
        <v>0.0</v>
      </c>
      <c r="I313" s="269">
        <v>5000.0</v>
      </c>
      <c r="J313" s="271">
        <v>5000.0</v>
      </c>
      <c r="K313" s="272">
        <f t="shared" si="2"/>
        <v>0</v>
      </c>
      <c r="L313" s="273"/>
      <c r="M313" s="273"/>
      <c r="N313" s="273"/>
    </row>
    <row r="314" ht="26.25" customHeight="1">
      <c r="A314" s="273"/>
      <c r="B314" s="264">
        <v>45724.0</v>
      </c>
      <c r="C314" s="265" t="s">
        <v>974</v>
      </c>
      <c r="D314" s="266" t="s">
        <v>31</v>
      </c>
      <c r="E314" s="267" t="s">
        <v>1351</v>
      </c>
      <c r="F314" s="268"/>
      <c r="G314" s="269">
        <v>5000.0</v>
      </c>
      <c r="H314" s="270">
        <v>0.0</v>
      </c>
      <c r="I314" s="269">
        <v>5000.0</v>
      </c>
      <c r="J314" s="271">
        <v>5000.0</v>
      </c>
      <c r="K314" s="272">
        <f t="shared" si="2"/>
        <v>0</v>
      </c>
      <c r="L314" s="273"/>
      <c r="M314" s="273"/>
      <c r="N314" s="273"/>
    </row>
    <row r="315" ht="26.25" customHeight="1">
      <c r="A315" s="277" t="s">
        <v>1358</v>
      </c>
      <c r="B315" s="264">
        <v>45725.0</v>
      </c>
      <c r="C315" s="265" t="s">
        <v>960</v>
      </c>
      <c r="D315" s="266" t="s">
        <v>31</v>
      </c>
      <c r="E315" s="267" t="s">
        <v>1328</v>
      </c>
      <c r="F315" s="268"/>
      <c r="G315" s="269">
        <v>60000.0</v>
      </c>
      <c r="H315" s="270">
        <v>0.0</v>
      </c>
      <c r="I315" s="269">
        <v>60000.0</v>
      </c>
      <c r="J315" s="271">
        <v>60000.0</v>
      </c>
      <c r="K315" s="272">
        <f t="shared" si="2"/>
        <v>0</v>
      </c>
      <c r="L315" s="273"/>
      <c r="M315" s="273"/>
      <c r="N315" s="273"/>
    </row>
    <row r="316" ht="26.25" customHeight="1">
      <c r="A316" s="281" t="s">
        <v>1359</v>
      </c>
      <c r="B316" s="264">
        <v>45725.0</v>
      </c>
      <c r="C316" s="265" t="s">
        <v>974</v>
      </c>
      <c r="D316" s="285" t="s">
        <v>31</v>
      </c>
      <c r="E316" s="267" t="s">
        <v>1360</v>
      </c>
      <c r="F316" s="268"/>
      <c r="G316" s="269">
        <v>50000.0</v>
      </c>
      <c r="H316" s="270">
        <v>0.0</v>
      </c>
      <c r="I316" s="269">
        <v>50000.0</v>
      </c>
      <c r="J316" s="271">
        <v>50000.0</v>
      </c>
      <c r="K316" s="272">
        <f t="shared" si="2"/>
        <v>0</v>
      </c>
      <c r="L316" s="273"/>
      <c r="M316" s="273"/>
      <c r="N316" s="273"/>
    </row>
    <row r="317" ht="26.25" customHeight="1">
      <c r="A317" s="274"/>
      <c r="B317" s="264">
        <v>45725.0</v>
      </c>
      <c r="C317" s="265" t="s">
        <v>968</v>
      </c>
      <c r="D317" s="285" t="s">
        <v>237</v>
      </c>
      <c r="E317" s="267" t="s">
        <v>1361</v>
      </c>
      <c r="F317" s="268"/>
      <c r="G317" s="269">
        <v>20000.0</v>
      </c>
      <c r="H317" s="270">
        <v>0.0</v>
      </c>
      <c r="I317" s="269">
        <v>20000.0</v>
      </c>
      <c r="J317" s="271">
        <v>20000.0</v>
      </c>
      <c r="K317" s="272">
        <f t="shared" si="2"/>
        <v>0</v>
      </c>
      <c r="L317" s="273"/>
      <c r="M317" s="273"/>
      <c r="N317" s="273"/>
    </row>
    <row r="318" ht="26.25" customHeight="1">
      <c r="A318" s="274"/>
      <c r="B318" s="264">
        <v>45725.0</v>
      </c>
      <c r="C318" s="265" t="s">
        <v>960</v>
      </c>
      <c r="D318" s="266" t="s">
        <v>237</v>
      </c>
      <c r="E318" s="267" t="s">
        <v>1362</v>
      </c>
      <c r="F318" s="268"/>
      <c r="G318" s="269">
        <v>10000.0</v>
      </c>
      <c r="H318" s="270">
        <v>0.0</v>
      </c>
      <c r="I318" s="269">
        <v>10000.0</v>
      </c>
      <c r="J318" s="271">
        <v>10000.0</v>
      </c>
      <c r="K318" s="272">
        <f t="shared" si="2"/>
        <v>0</v>
      </c>
      <c r="L318" s="273"/>
      <c r="M318" s="273"/>
      <c r="N318" s="273"/>
    </row>
    <row r="319" ht="26.25" customHeight="1">
      <c r="A319" s="277" t="s">
        <v>1363</v>
      </c>
      <c r="B319" s="264">
        <v>45726.0</v>
      </c>
      <c r="C319" s="265" t="s">
        <v>974</v>
      </c>
      <c r="D319" s="266" t="s">
        <v>237</v>
      </c>
      <c r="E319" s="267" t="s">
        <v>1364</v>
      </c>
      <c r="F319" s="268"/>
      <c r="G319" s="269">
        <v>56000.0</v>
      </c>
      <c r="H319" s="270">
        <v>0.0</v>
      </c>
      <c r="I319" s="269">
        <v>56000.0</v>
      </c>
      <c r="J319" s="271">
        <v>56000.0</v>
      </c>
      <c r="K319" s="272">
        <f t="shared" si="2"/>
        <v>0</v>
      </c>
      <c r="L319" s="273"/>
      <c r="M319" s="273"/>
      <c r="N319" s="273"/>
    </row>
    <row r="320" ht="26.25" customHeight="1">
      <c r="A320" s="281" t="s">
        <v>1365</v>
      </c>
      <c r="B320" s="264">
        <v>45726.0</v>
      </c>
      <c r="C320" s="265" t="s">
        <v>957</v>
      </c>
      <c r="D320" s="266" t="s">
        <v>824</v>
      </c>
      <c r="E320" s="267" t="s">
        <v>1366</v>
      </c>
      <c r="F320" s="268"/>
      <c r="G320" s="269">
        <v>45000.0</v>
      </c>
      <c r="H320" s="270">
        <v>0.0</v>
      </c>
      <c r="I320" s="269">
        <v>45000.0</v>
      </c>
      <c r="J320" s="271">
        <v>45000.0</v>
      </c>
      <c r="K320" s="272">
        <f t="shared" si="2"/>
        <v>0</v>
      </c>
      <c r="L320" s="273"/>
      <c r="M320" s="273"/>
      <c r="N320" s="273"/>
    </row>
    <row r="321" ht="26.25" customHeight="1">
      <c r="A321" s="281" t="s">
        <v>1367</v>
      </c>
      <c r="B321" s="264">
        <v>45726.0</v>
      </c>
      <c r="C321" s="275" t="s">
        <v>965</v>
      </c>
      <c r="D321" s="266" t="s">
        <v>237</v>
      </c>
      <c r="E321" s="267" t="s">
        <v>1368</v>
      </c>
      <c r="F321" s="268"/>
      <c r="G321" s="269">
        <v>44000.0</v>
      </c>
      <c r="H321" s="270">
        <v>0.0</v>
      </c>
      <c r="I321" s="269">
        <v>44000.0</v>
      </c>
      <c r="J321" s="271">
        <v>44000.0</v>
      </c>
      <c r="K321" s="272">
        <f t="shared" si="2"/>
        <v>0</v>
      </c>
      <c r="L321" s="273"/>
      <c r="M321" s="273"/>
      <c r="N321" s="273"/>
    </row>
    <row r="322" ht="26.25" customHeight="1">
      <c r="A322" s="281" t="s">
        <v>1369</v>
      </c>
      <c r="B322" s="264">
        <v>45726.0</v>
      </c>
      <c r="C322" s="265" t="s">
        <v>968</v>
      </c>
      <c r="D322" s="266" t="s">
        <v>237</v>
      </c>
      <c r="E322" s="267" t="s">
        <v>1370</v>
      </c>
      <c r="F322" s="268"/>
      <c r="G322" s="269">
        <v>12000.0</v>
      </c>
      <c r="H322" s="270">
        <v>0.0</v>
      </c>
      <c r="I322" s="269">
        <v>12000.0</v>
      </c>
      <c r="J322" s="271">
        <v>12000.0</v>
      </c>
      <c r="K322" s="272">
        <f t="shared" si="2"/>
        <v>0</v>
      </c>
      <c r="L322" s="273"/>
      <c r="M322" s="273"/>
      <c r="N322" s="273"/>
    </row>
    <row r="323" ht="26.25" customHeight="1">
      <c r="A323" s="274"/>
      <c r="B323" s="264">
        <v>45726.0</v>
      </c>
      <c r="C323" s="265" t="s">
        <v>960</v>
      </c>
      <c r="D323" s="266" t="s">
        <v>237</v>
      </c>
      <c r="E323" s="267" t="s">
        <v>1371</v>
      </c>
      <c r="F323" s="268"/>
      <c r="G323" s="269">
        <v>11000.0</v>
      </c>
      <c r="H323" s="270">
        <v>0.0</v>
      </c>
      <c r="I323" s="269">
        <v>11000.0</v>
      </c>
      <c r="J323" s="271">
        <v>11000.0</v>
      </c>
      <c r="K323" s="272">
        <f t="shared" si="2"/>
        <v>0</v>
      </c>
      <c r="L323" s="273"/>
      <c r="M323" s="273"/>
      <c r="N323" s="273"/>
    </row>
    <row r="324" ht="26.25" customHeight="1">
      <c r="A324" s="277" t="s">
        <v>1372</v>
      </c>
      <c r="B324" s="264">
        <v>45726.0</v>
      </c>
      <c r="C324" s="265" t="s">
        <v>965</v>
      </c>
      <c r="D324" s="266" t="s">
        <v>237</v>
      </c>
      <c r="E324" s="267" t="s">
        <v>1373</v>
      </c>
      <c r="F324" s="268"/>
      <c r="G324" s="269">
        <v>8000.0</v>
      </c>
      <c r="H324" s="270">
        <v>0.0</v>
      </c>
      <c r="I324" s="269">
        <v>8000.0</v>
      </c>
      <c r="J324" s="271">
        <v>8000.0</v>
      </c>
      <c r="K324" s="272">
        <f t="shared" si="2"/>
        <v>0</v>
      </c>
      <c r="L324" s="273"/>
      <c r="M324" s="273"/>
      <c r="N324" s="273"/>
    </row>
    <row r="325" ht="26.25" customHeight="1">
      <c r="A325" s="273"/>
      <c r="B325" s="264">
        <v>45726.0</v>
      </c>
      <c r="C325" s="265" t="s">
        <v>965</v>
      </c>
      <c r="D325" s="266" t="s">
        <v>237</v>
      </c>
      <c r="E325" s="267" t="s">
        <v>1374</v>
      </c>
      <c r="F325" s="268"/>
      <c r="G325" s="269">
        <v>5000.0</v>
      </c>
      <c r="H325" s="270">
        <v>0.0</v>
      </c>
      <c r="I325" s="269">
        <v>5000.0</v>
      </c>
      <c r="J325" s="271">
        <v>5000.0</v>
      </c>
      <c r="K325" s="272">
        <f t="shared" si="2"/>
        <v>0</v>
      </c>
      <c r="L325" s="273"/>
      <c r="M325" s="273"/>
      <c r="N325" s="273"/>
    </row>
    <row r="326" ht="26.25" customHeight="1">
      <c r="A326" s="281" t="s">
        <v>1375</v>
      </c>
      <c r="B326" s="264">
        <v>45727.0</v>
      </c>
      <c r="C326" s="265" t="s">
        <v>972</v>
      </c>
      <c r="D326" s="266" t="s">
        <v>1323</v>
      </c>
      <c r="E326" s="267" t="s">
        <v>1324</v>
      </c>
      <c r="F326" s="268"/>
      <c r="G326" s="269">
        <v>290000.0</v>
      </c>
      <c r="H326" s="270">
        <v>0.0</v>
      </c>
      <c r="I326" s="269">
        <v>290000.0</v>
      </c>
      <c r="J326" s="271">
        <v>290000.0</v>
      </c>
      <c r="K326" s="272">
        <f t="shared" si="2"/>
        <v>0</v>
      </c>
      <c r="L326" s="273"/>
      <c r="M326" s="273"/>
      <c r="N326" s="273"/>
    </row>
    <row r="327" ht="26.25" customHeight="1">
      <c r="A327" s="277" t="s">
        <v>1272</v>
      </c>
      <c r="B327" s="264">
        <v>45727.0</v>
      </c>
      <c r="C327" s="265" t="s">
        <v>974</v>
      </c>
      <c r="D327" s="266" t="s">
        <v>1165</v>
      </c>
      <c r="E327" s="267" t="s">
        <v>1376</v>
      </c>
      <c r="F327" s="268"/>
      <c r="G327" s="269">
        <v>254000.0</v>
      </c>
      <c r="H327" s="270">
        <v>0.0</v>
      </c>
      <c r="I327" s="269">
        <v>254000.0</v>
      </c>
      <c r="J327" s="271">
        <v>254000.0</v>
      </c>
      <c r="K327" s="272">
        <f t="shared" si="2"/>
        <v>0</v>
      </c>
      <c r="L327" s="273"/>
      <c r="M327" s="273"/>
      <c r="N327" s="273"/>
    </row>
    <row r="328" ht="26.25" customHeight="1">
      <c r="A328" s="277" t="s">
        <v>1377</v>
      </c>
      <c r="B328" s="264">
        <v>45727.0</v>
      </c>
      <c r="C328" s="265" t="s">
        <v>960</v>
      </c>
      <c r="D328" s="266" t="s">
        <v>1378</v>
      </c>
      <c r="E328" s="267" t="s">
        <v>1379</v>
      </c>
      <c r="F328" s="268"/>
      <c r="G328" s="269">
        <v>68000.0</v>
      </c>
      <c r="H328" s="270">
        <v>0.0</v>
      </c>
      <c r="I328" s="269">
        <v>68000.0</v>
      </c>
      <c r="J328" s="271">
        <v>68000.0</v>
      </c>
      <c r="K328" s="272">
        <f t="shared" si="2"/>
        <v>0</v>
      </c>
      <c r="L328" s="273"/>
      <c r="M328" s="273"/>
      <c r="N328" s="273"/>
    </row>
    <row r="329" ht="26.25" customHeight="1">
      <c r="A329" s="277" t="s">
        <v>1380</v>
      </c>
      <c r="B329" s="264">
        <v>45727.0</v>
      </c>
      <c r="C329" s="265" t="s">
        <v>972</v>
      </c>
      <c r="D329" s="266" t="s">
        <v>1381</v>
      </c>
      <c r="E329" s="267" t="s">
        <v>1324</v>
      </c>
      <c r="F329" s="268"/>
      <c r="G329" s="269">
        <v>66000.0</v>
      </c>
      <c r="H329" s="270">
        <v>0.0</v>
      </c>
      <c r="I329" s="269">
        <v>66000.0</v>
      </c>
      <c r="J329" s="271">
        <v>66000.0</v>
      </c>
      <c r="K329" s="272">
        <f t="shared" si="2"/>
        <v>0</v>
      </c>
      <c r="L329" s="273"/>
      <c r="M329" s="273"/>
      <c r="N329" s="273"/>
    </row>
    <row r="330" ht="26.25" customHeight="1">
      <c r="A330" s="263" t="s">
        <v>1382</v>
      </c>
      <c r="B330" s="264">
        <v>45727.0</v>
      </c>
      <c r="C330" s="265" t="s">
        <v>965</v>
      </c>
      <c r="D330" s="266" t="s">
        <v>31</v>
      </c>
      <c r="E330" s="267" t="s">
        <v>1383</v>
      </c>
      <c r="F330" s="268"/>
      <c r="G330" s="269">
        <v>40000.0</v>
      </c>
      <c r="H330" s="270">
        <v>0.0</v>
      </c>
      <c r="I330" s="269">
        <v>40000.0</v>
      </c>
      <c r="J330" s="271">
        <v>40000.0</v>
      </c>
      <c r="K330" s="272">
        <f t="shared" si="2"/>
        <v>0</v>
      </c>
      <c r="L330" s="273"/>
      <c r="M330" s="273"/>
      <c r="N330" s="273"/>
    </row>
    <row r="331" ht="26.25" customHeight="1">
      <c r="A331" s="281" t="s">
        <v>1382</v>
      </c>
      <c r="B331" s="264">
        <v>45727.0</v>
      </c>
      <c r="C331" s="265" t="s">
        <v>968</v>
      </c>
      <c r="D331" s="266" t="s">
        <v>31</v>
      </c>
      <c r="E331" s="267" t="s">
        <v>1384</v>
      </c>
      <c r="F331" s="268"/>
      <c r="G331" s="269">
        <v>22000.0</v>
      </c>
      <c r="H331" s="270">
        <v>0.0</v>
      </c>
      <c r="I331" s="269">
        <v>22000.0</v>
      </c>
      <c r="J331" s="271">
        <v>22000.0</v>
      </c>
      <c r="K331" s="272">
        <f t="shared" si="2"/>
        <v>0</v>
      </c>
      <c r="L331" s="273"/>
      <c r="M331" s="273"/>
      <c r="N331" s="273"/>
    </row>
    <row r="332" ht="26.25" customHeight="1">
      <c r="A332" s="281" t="s">
        <v>1385</v>
      </c>
      <c r="B332" s="264">
        <v>45727.0</v>
      </c>
      <c r="C332" s="265" t="s">
        <v>965</v>
      </c>
      <c r="D332" s="266" t="s">
        <v>237</v>
      </c>
      <c r="E332" s="267" t="s">
        <v>1386</v>
      </c>
      <c r="F332" s="268"/>
      <c r="G332" s="269">
        <v>20000.0</v>
      </c>
      <c r="H332" s="270">
        <v>0.0</v>
      </c>
      <c r="I332" s="269">
        <v>20000.0</v>
      </c>
      <c r="J332" s="271">
        <v>20000.0</v>
      </c>
      <c r="K332" s="272">
        <f t="shared" si="2"/>
        <v>0</v>
      </c>
      <c r="L332" s="273"/>
      <c r="M332" s="273"/>
      <c r="N332" s="273"/>
    </row>
    <row r="333" ht="26.25" customHeight="1">
      <c r="A333" s="277" t="s">
        <v>1382</v>
      </c>
      <c r="B333" s="264">
        <v>45727.0</v>
      </c>
      <c r="C333" s="265" t="s">
        <v>965</v>
      </c>
      <c r="D333" s="266" t="s">
        <v>31</v>
      </c>
      <c r="E333" s="267" t="s">
        <v>1387</v>
      </c>
      <c r="F333" s="268"/>
      <c r="G333" s="269">
        <v>15000.0</v>
      </c>
      <c r="H333" s="270">
        <v>0.0</v>
      </c>
      <c r="I333" s="269">
        <v>15000.0</v>
      </c>
      <c r="J333" s="271">
        <v>15000.0</v>
      </c>
      <c r="K333" s="272">
        <f t="shared" si="2"/>
        <v>0</v>
      </c>
      <c r="L333" s="273"/>
      <c r="M333" s="273"/>
      <c r="N333" s="273"/>
    </row>
    <row r="334" ht="26.25" customHeight="1">
      <c r="A334" s="274"/>
      <c r="B334" s="264">
        <v>45727.0</v>
      </c>
      <c r="C334" s="265" t="s">
        <v>960</v>
      </c>
      <c r="D334" s="266" t="s">
        <v>1323</v>
      </c>
      <c r="E334" s="267" t="s">
        <v>1388</v>
      </c>
      <c r="F334" s="268"/>
      <c r="G334" s="269">
        <v>10000.0</v>
      </c>
      <c r="H334" s="270">
        <v>0.0</v>
      </c>
      <c r="I334" s="269">
        <v>10000.0</v>
      </c>
      <c r="J334" s="271">
        <v>10000.0</v>
      </c>
      <c r="K334" s="272">
        <f t="shared" si="2"/>
        <v>0</v>
      </c>
      <c r="L334" s="273"/>
      <c r="M334" s="273"/>
      <c r="N334" s="273"/>
    </row>
    <row r="335" ht="26.25" customHeight="1">
      <c r="A335" s="274"/>
      <c r="B335" s="264">
        <v>45727.0</v>
      </c>
      <c r="C335" s="265" t="s">
        <v>960</v>
      </c>
      <c r="D335" s="266" t="s">
        <v>1381</v>
      </c>
      <c r="E335" s="267" t="s">
        <v>1389</v>
      </c>
      <c r="F335" s="268"/>
      <c r="G335" s="269">
        <v>7500.0</v>
      </c>
      <c r="H335" s="270">
        <v>0.0</v>
      </c>
      <c r="I335" s="269">
        <v>7500.0</v>
      </c>
      <c r="J335" s="271">
        <v>7500.0</v>
      </c>
      <c r="K335" s="272">
        <f t="shared" si="2"/>
        <v>0</v>
      </c>
      <c r="L335" s="273"/>
      <c r="M335" s="273"/>
      <c r="N335" s="273"/>
    </row>
    <row r="336" ht="26.25" customHeight="1">
      <c r="A336" s="281" t="s">
        <v>1382</v>
      </c>
      <c r="B336" s="264">
        <v>45727.0</v>
      </c>
      <c r="C336" s="265" t="s">
        <v>960</v>
      </c>
      <c r="D336" s="266" t="s">
        <v>31</v>
      </c>
      <c r="E336" s="267" t="s">
        <v>1390</v>
      </c>
      <c r="F336" s="268"/>
      <c r="G336" s="269">
        <v>3000.0</v>
      </c>
      <c r="H336" s="270">
        <v>0.0</v>
      </c>
      <c r="I336" s="269">
        <v>3000.0</v>
      </c>
      <c r="J336" s="271">
        <v>3000.0</v>
      </c>
      <c r="K336" s="272">
        <f t="shared" si="2"/>
        <v>0</v>
      </c>
      <c r="L336" s="273"/>
      <c r="M336" s="273"/>
      <c r="N336" s="273"/>
    </row>
    <row r="337" ht="26.25" customHeight="1">
      <c r="A337" s="281" t="s">
        <v>1382</v>
      </c>
      <c r="B337" s="264">
        <v>45727.0</v>
      </c>
      <c r="C337" s="275" t="s">
        <v>965</v>
      </c>
      <c r="D337" s="266" t="s">
        <v>31</v>
      </c>
      <c r="E337" s="267" t="s">
        <v>1391</v>
      </c>
      <c r="F337" s="268"/>
      <c r="G337" s="269">
        <v>2000.0</v>
      </c>
      <c r="H337" s="270">
        <v>0.0</v>
      </c>
      <c r="I337" s="269">
        <v>2000.0</v>
      </c>
      <c r="J337" s="271">
        <v>2000.0</v>
      </c>
      <c r="K337" s="272">
        <f t="shared" si="2"/>
        <v>0</v>
      </c>
      <c r="L337" s="273"/>
      <c r="M337" s="273"/>
      <c r="N337" s="273"/>
    </row>
    <row r="338" ht="26.25" customHeight="1">
      <c r="A338" s="281" t="s">
        <v>1392</v>
      </c>
      <c r="B338" s="264">
        <v>45728.0</v>
      </c>
      <c r="C338" s="275" t="s">
        <v>972</v>
      </c>
      <c r="D338" s="266" t="s">
        <v>824</v>
      </c>
      <c r="E338" s="267" t="s">
        <v>1393</v>
      </c>
      <c r="F338" s="268"/>
      <c r="G338" s="269">
        <v>290000.0</v>
      </c>
      <c r="H338" s="270">
        <v>0.0</v>
      </c>
      <c r="I338" s="269">
        <v>290000.0</v>
      </c>
      <c r="J338" s="271">
        <v>290000.0</v>
      </c>
      <c r="K338" s="272">
        <f t="shared" si="2"/>
        <v>0</v>
      </c>
      <c r="L338" s="273"/>
      <c r="M338" s="273"/>
      <c r="N338" s="273"/>
    </row>
    <row r="339" ht="26.25" customHeight="1">
      <c r="A339" s="281" t="s">
        <v>1394</v>
      </c>
      <c r="B339" s="264">
        <v>45728.0</v>
      </c>
      <c r="C339" s="265" t="s">
        <v>965</v>
      </c>
      <c r="D339" s="266" t="s">
        <v>31</v>
      </c>
      <c r="E339" s="267" t="s">
        <v>1395</v>
      </c>
      <c r="F339" s="268"/>
      <c r="G339" s="269">
        <v>100000.0</v>
      </c>
      <c r="H339" s="270">
        <v>0.0</v>
      </c>
      <c r="I339" s="269">
        <v>100000.0</v>
      </c>
      <c r="J339" s="271">
        <v>100000.0</v>
      </c>
      <c r="K339" s="272">
        <f t="shared" si="2"/>
        <v>0</v>
      </c>
      <c r="L339" s="273"/>
      <c r="M339" s="273"/>
      <c r="N339" s="273"/>
    </row>
    <row r="340" ht="26.25" customHeight="1">
      <c r="A340" s="281" t="s">
        <v>1394</v>
      </c>
      <c r="B340" s="264">
        <v>45728.0</v>
      </c>
      <c r="C340" s="265" t="s">
        <v>1035</v>
      </c>
      <c r="D340" s="266" t="s">
        <v>31</v>
      </c>
      <c r="E340" s="267" t="s">
        <v>1396</v>
      </c>
      <c r="F340" s="268"/>
      <c r="G340" s="269">
        <v>75000.0</v>
      </c>
      <c r="H340" s="270">
        <v>0.0</v>
      </c>
      <c r="I340" s="269">
        <v>75000.0</v>
      </c>
      <c r="J340" s="271">
        <v>75000.0</v>
      </c>
      <c r="K340" s="272">
        <f t="shared" si="2"/>
        <v>0</v>
      </c>
      <c r="L340" s="273"/>
      <c r="M340" s="273"/>
      <c r="N340" s="273"/>
    </row>
    <row r="341" ht="26.25" customHeight="1">
      <c r="A341" s="281" t="s">
        <v>1394</v>
      </c>
      <c r="B341" s="264">
        <v>45728.0</v>
      </c>
      <c r="C341" s="265" t="s">
        <v>960</v>
      </c>
      <c r="D341" s="266" t="s">
        <v>31</v>
      </c>
      <c r="E341" s="267" t="s">
        <v>1397</v>
      </c>
      <c r="F341" s="268"/>
      <c r="G341" s="269">
        <v>69000.0</v>
      </c>
      <c r="H341" s="270">
        <v>0.0</v>
      </c>
      <c r="I341" s="269">
        <v>69000.0</v>
      </c>
      <c r="J341" s="271">
        <v>69000.0</v>
      </c>
      <c r="K341" s="272">
        <f t="shared" si="2"/>
        <v>0</v>
      </c>
      <c r="L341" s="273"/>
      <c r="M341" s="273"/>
      <c r="N341" s="273"/>
    </row>
    <row r="342" ht="26.25" customHeight="1">
      <c r="A342" s="281" t="s">
        <v>1394</v>
      </c>
      <c r="B342" s="264">
        <v>45728.0</v>
      </c>
      <c r="C342" s="265" t="s">
        <v>960</v>
      </c>
      <c r="D342" s="266" t="s">
        <v>31</v>
      </c>
      <c r="E342" s="267" t="s">
        <v>1398</v>
      </c>
      <c r="F342" s="268"/>
      <c r="G342" s="269">
        <v>12000.0</v>
      </c>
      <c r="H342" s="270">
        <v>0.0</v>
      </c>
      <c r="I342" s="269">
        <v>12000.0</v>
      </c>
      <c r="J342" s="271">
        <v>12000.0</v>
      </c>
      <c r="K342" s="272">
        <f t="shared" si="2"/>
        <v>0</v>
      </c>
      <c r="L342" s="273"/>
      <c r="M342" s="273"/>
      <c r="N342" s="273"/>
    </row>
    <row r="343" ht="26.25" customHeight="1">
      <c r="A343" s="274"/>
      <c r="B343" s="264">
        <v>45728.0</v>
      </c>
      <c r="C343" s="265" t="s">
        <v>963</v>
      </c>
      <c r="D343" s="266" t="s">
        <v>1399</v>
      </c>
      <c r="E343" s="267" t="s">
        <v>1400</v>
      </c>
      <c r="F343" s="268"/>
      <c r="G343" s="269">
        <v>12000.0</v>
      </c>
      <c r="H343" s="270">
        <v>0.0</v>
      </c>
      <c r="I343" s="269">
        <v>12000.0</v>
      </c>
      <c r="J343" s="271">
        <v>12000.0</v>
      </c>
      <c r="K343" s="272">
        <f t="shared" si="2"/>
        <v>0</v>
      </c>
      <c r="L343" s="273"/>
      <c r="M343" s="273"/>
      <c r="N343" s="273"/>
    </row>
    <row r="344" ht="26.25" customHeight="1">
      <c r="A344" s="281" t="s">
        <v>1401</v>
      </c>
      <c r="B344" s="264">
        <v>45729.0</v>
      </c>
      <c r="C344" s="265" t="s">
        <v>965</v>
      </c>
      <c r="D344" s="266" t="s">
        <v>938</v>
      </c>
      <c r="E344" s="267" t="s">
        <v>1402</v>
      </c>
      <c r="F344" s="268"/>
      <c r="G344" s="269">
        <v>549000.0</v>
      </c>
      <c r="H344" s="270">
        <v>0.0</v>
      </c>
      <c r="I344" s="269">
        <v>549000.0</v>
      </c>
      <c r="J344" s="271">
        <v>549000.0</v>
      </c>
      <c r="K344" s="272">
        <f t="shared" si="2"/>
        <v>0</v>
      </c>
      <c r="L344" s="273"/>
      <c r="M344" s="273"/>
      <c r="N344" s="273"/>
    </row>
    <row r="345" ht="26.25" customHeight="1">
      <c r="A345" s="274"/>
      <c r="B345" s="264">
        <v>45729.0</v>
      </c>
      <c r="C345" s="265" t="s">
        <v>965</v>
      </c>
      <c r="D345" s="266" t="s">
        <v>824</v>
      </c>
      <c r="E345" s="267" t="s">
        <v>1403</v>
      </c>
      <c r="F345" s="268"/>
      <c r="G345" s="269">
        <v>65000.0</v>
      </c>
      <c r="H345" s="270">
        <v>0.0</v>
      </c>
      <c r="I345" s="269">
        <v>65000.0</v>
      </c>
      <c r="J345" s="271">
        <v>65000.0</v>
      </c>
      <c r="K345" s="272">
        <f t="shared" si="2"/>
        <v>0</v>
      </c>
      <c r="L345" s="273"/>
      <c r="M345" s="273"/>
      <c r="N345" s="273"/>
    </row>
    <row r="346" ht="26.25" customHeight="1">
      <c r="A346" s="277" t="s">
        <v>1404</v>
      </c>
      <c r="B346" s="264">
        <v>45729.0</v>
      </c>
      <c r="C346" s="265" t="s">
        <v>965</v>
      </c>
      <c r="D346" s="266" t="s">
        <v>824</v>
      </c>
      <c r="E346" s="267" t="s">
        <v>1309</v>
      </c>
      <c r="F346" s="268"/>
      <c r="G346" s="269">
        <v>50000.0</v>
      </c>
      <c r="H346" s="270">
        <v>0.0</v>
      </c>
      <c r="I346" s="269">
        <v>50000.0</v>
      </c>
      <c r="J346" s="271">
        <v>50000.0</v>
      </c>
      <c r="K346" s="272">
        <f t="shared" si="2"/>
        <v>0</v>
      </c>
      <c r="L346" s="273"/>
      <c r="M346" s="273"/>
      <c r="N346" s="273"/>
    </row>
    <row r="347" ht="26.25" customHeight="1">
      <c r="A347" s="274"/>
      <c r="B347" s="264">
        <v>45729.0</v>
      </c>
      <c r="C347" s="265" t="s">
        <v>965</v>
      </c>
      <c r="D347" s="266" t="s">
        <v>824</v>
      </c>
      <c r="E347" s="267" t="s">
        <v>1405</v>
      </c>
      <c r="F347" s="268"/>
      <c r="G347" s="269">
        <v>40000.0</v>
      </c>
      <c r="H347" s="270">
        <v>0.0</v>
      </c>
      <c r="I347" s="269">
        <v>40000.0</v>
      </c>
      <c r="J347" s="271">
        <v>40000.0</v>
      </c>
      <c r="K347" s="272">
        <f t="shared" si="2"/>
        <v>0</v>
      </c>
      <c r="L347" s="273"/>
      <c r="M347" s="273"/>
      <c r="N347" s="273"/>
    </row>
    <row r="348" ht="26.25" customHeight="1">
      <c r="A348" s="274"/>
      <c r="B348" s="264">
        <v>45729.0</v>
      </c>
      <c r="C348" s="284" t="s">
        <v>1035</v>
      </c>
      <c r="D348" s="266" t="s">
        <v>824</v>
      </c>
      <c r="E348" s="267" t="s">
        <v>1406</v>
      </c>
      <c r="F348" s="268"/>
      <c r="G348" s="269">
        <v>30000.0</v>
      </c>
      <c r="H348" s="270">
        <v>0.0</v>
      </c>
      <c r="I348" s="269">
        <v>30000.0</v>
      </c>
      <c r="J348" s="271">
        <v>30000.0</v>
      </c>
      <c r="K348" s="272">
        <f t="shared" si="2"/>
        <v>0</v>
      </c>
      <c r="L348" s="273"/>
      <c r="M348" s="273"/>
      <c r="N348" s="273"/>
    </row>
    <row r="349" ht="26.25" customHeight="1">
      <c r="A349" s="273"/>
      <c r="B349" s="264">
        <v>45729.0</v>
      </c>
      <c r="C349" s="275" t="s">
        <v>965</v>
      </c>
      <c r="D349" s="266" t="s">
        <v>1407</v>
      </c>
      <c r="E349" s="267" t="s">
        <v>1408</v>
      </c>
      <c r="F349" s="268"/>
      <c r="G349" s="269">
        <v>10000.0</v>
      </c>
      <c r="H349" s="270">
        <v>0.0</v>
      </c>
      <c r="I349" s="269">
        <v>10000.0</v>
      </c>
      <c r="J349" s="271">
        <v>10000.0</v>
      </c>
      <c r="K349" s="272">
        <f t="shared" si="2"/>
        <v>0</v>
      </c>
      <c r="L349" s="273"/>
      <c r="M349" s="273"/>
      <c r="N349" s="273"/>
    </row>
    <row r="350" ht="26.25" customHeight="1">
      <c r="A350" s="277" t="s">
        <v>1409</v>
      </c>
      <c r="B350" s="264">
        <v>45730.0</v>
      </c>
      <c r="C350" s="265" t="s">
        <v>974</v>
      </c>
      <c r="D350" s="266" t="s">
        <v>1410</v>
      </c>
      <c r="E350" s="267" t="s">
        <v>224</v>
      </c>
      <c r="F350" s="268"/>
      <c r="G350" s="269">
        <v>405000.0</v>
      </c>
      <c r="H350" s="270">
        <v>0.0</v>
      </c>
      <c r="I350" s="269">
        <v>405000.0</v>
      </c>
      <c r="J350" s="271">
        <v>405000.0</v>
      </c>
      <c r="K350" s="272">
        <f t="shared" si="2"/>
        <v>0</v>
      </c>
      <c r="L350" s="273"/>
      <c r="M350" s="273"/>
      <c r="N350" s="273"/>
    </row>
    <row r="351" ht="26.25" customHeight="1">
      <c r="A351" s="277" t="s">
        <v>1411</v>
      </c>
      <c r="B351" s="264">
        <v>45730.0</v>
      </c>
      <c r="C351" s="265" t="s">
        <v>965</v>
      </c>
      <c r="D351" s="285" t="s">
        <v>1038</v>
      </c>
      <c r="E351" s="267" t="s">
        <v>1412</v>
      </c>
      <c r="F351" s="268"/>
      <c r="G351" s="269">
        <v>65000.0</v>
      </c>
      <c r="H351" s="270">
        <v>0.0</v>
      </c>
      <c r="I351" s="269">
        <v>65000.0</v>
      </c>
      <c r="J351" s="271">
        <v>65000.0</v>
      </c>
      <c r="K351" s="272">
        <f t="shared" si="2"/>
        <v>0</v>
      </c>
      <c r="L351" s="273"/>
      <c r="M351" s="273"/>
      <c r="N351" s="273"/>
    </row>
    <row r="352" ht="26.25" customHeight="1">
      <c r="A352" s="263" t="s">
        <v>1413</v>
      </c>
      <c r="B352" s="264">
        <v>45731.0</v>
      </c>
      <c r="C352" s="265" t="s">
        <v>972</v>
      </c>
      <c r="D352" s="266" t="s">
        <v>1323</v>
      </c>
      <c r="E352" s="267" t="s">
        <v>1414</v>
      </c>
      <c r="F352" s="268"/>
      <c r="G352" s="269">
        <v>152000.0</v>
      </c>
      <c r="H352" s="270">
        <v>0.0</v>
      </c>
      <c r="I352" s="269">
        <v>152000.0</v>
      </c>
      <c r="J352" s="271">
        <v>152000.0</v>
      </c>
      <c r="K352" s="272">
        <f t="shared" si="2"/>
        <v>0</v>
      </c>
      <c r="L352" s="273"/>
      <c r="M352" s="273"/>
      <c r="N352" s="273"/>
    </row>
    <row r="353" ht="26.25" customHeight="1">
      <c r="A353" s="273"/>
      <c r="B353" s="264">
        <v>45731.0</v>
      </c>
      <c r="C353" s="265" t="s">
        <v>974</v>
      </c>
      <c r="D353" s="266" t="s">
        <v>31</v>
      </c>
      <c r="E353" s="267" t="s">
        <v>1415</v>
      </c>
      <c r="F353" s="268"/>
      <c r="G353" s="269">
        <v>30000.0</v>
      </c>
      <c r="H353" s="270">
        <v>0.0</v>
      </c>
      <c r="I353" s="269">
        <v>30000.0</v>
      </c>
      <c r="J353" s="271">
        <v>30000.0</v>
      </c>
      <c r="K353" s="272">
        <f t="shared" si="2"/>
        <v>0</v>
      </c>
      <c r="L353" s="273"/>
      <c r="M353" s="273"/>
      <c r="N353" s="273"/>
    </row>
    <row r="354" ht="26.25" customHeight="1">
      <c r="A354" s="281" t="s">
        <v>1416</v>
      </c>
      <c r="B354" s="264">
        <v>45731.0</v>
      </c>
      <c r="C354" s="284" t="s">
        <v>974</v>
      </c>
      <c r="D354" s="266" t="s">
        <v>31</v>
      </c>
      <c r="E354" s="267" t="s">
        <v>1417</v>
      </c>
      <c r="F354" s="268"/>
      <c r="G354" s="269">
        <v>20000.0</v>
      </c>
      <c r="H354" s="270">
        <v>0.0</v>
      </c>
      <c r="I354" s="269">
        <v>20000.0</v>
      </c>
      <c r="J354" s="271">
        <v>20000.0</v>
      </c>
      <c r="K354" s="272">
        <f t="shared" si="2"/>
        <v>0</v>
      </c>
      <c r="L354" s="273"/>
      <c r="M354" s="273"/>
      <c r="N354" s="273"/>
    </row>
    <row r="355" ht="26.25" customHeight="1">
      <c r="A355" s="273"/>
      <c r="B355" s="264">
        <v>45731.0</v>
      </c>
      <c r="C355" s="275" t="s">
        <v>963</v>
      </c>
      <c r="D355" s="266" t="s">
        <v>1204</v>
      </c>
      <c r="E355" s="267" t="s">
        <v>1337</v>
      </c>
      <c r="F355" s="268"/>
      <c r="G355" s="269">
        <v>20000.0</v>
      </c>
      <c r="H355" s="270">
        <v>0.0</v>
      </c>
      <c r="I355" s="269">
        <v>20000.0</v>
      </c>
      <c r="J355" s="271">
        <v>20000.0</v>
      </c>
      <c r="K355" s="272">
        <f t="shared" si="2"/>
        <v>0</v>
      </c>
      <c r="L355" s="273"/>
      <c r="M355" s="273"/>
      <c r="N355" s="273"/>
    </row>
    <row r="356" ht="26.25" customHeight="1">
      <c r="A356" s="273"/>
      <c r="B356" s="264">
        <v>45731.0</v>
      </c>
      <c r="C356" s="275" t="s">
        <v>1035</v>
      </c>
      <c r="D356" s="266" t="s">
        <v>20</v>
      </c>
      <c r="E356" s="267" t="s">
        <v>1418</v>
      </c>
      <c r="F356" s="268"/>
      <c r="G356" s="269">
        <v>15000.0</v>
      </c>
      <c r="H356" s="270">
        <v>0.0</v>
      </c>
      <c r="I356" s="269">
        <v>15000.0</v>
      </c>
      <c r="J356" s="271">
        <v>15000.0</v>
      </c>
      <c r="K356" s="272">
        <f t="shared" si="2"/>
        <v>0</v>
      </c>
      <c r="L356" s="273"/>
      <c r="M356" s="273"/>
      <c r="N356" s="273"/>
    </row>
    <row r="357" ht="26.25" customHeight="1">
      <c r="A357" s="281" t="s">
        <v>1419</v>
      </c>
      <c r="B357" s="264">
        <v>45732.0</v>
      </c>
      <c r="C357" s="275" t="s">
        <v>965</v>
      </c>
      <c r="D357" s="266" t="s">
        <v>1038</v>
      </c>
      <c r="E357" s="267" t="s">
        <v>1420</v>
      </c>
      <c r="F357" s="268"/>
      <c r="G357" s="269">
        <v>400000.0</v>
      </c>
      <c r="H357" s="270">
        <v>0.0</v>
      </c>
      <c r="I357" s="269">
        <v>400000.0</v>
      </c>
      <c r="J357" s="271">
        <v>400000.0</v>
      </c>
      <c r="K357" s="272">
        <f t="shared" si="2"/>
        <v>0</v>
      </c>
      <c r="L357" s="273"/>
      <c r="M357" s="273"/>
      <c r="N357" s="273"/>
    </row>
    <row r="358" ht="26.25" customHeight="1">
      <c r="A358" s="281" t="s">
        <v>1421</v>
      </c>
      <c r="B358" s="264">
        <v>45732.0</v>
      </c>
      <c r="C358" s="275" t="s">
        <v>957</v>
      </c>
      <c r="D358" s="266" t="s">
        <v>31</v>
      </c>
      <c r="E358" s="267" t="s">
        <v>1422</v>
      </c>
      <c r="F358" s="268"/>
      <c r="G358" s="269">
        <v>150000.0</v>
      </c>
      <c r="H358" s="270">
        <v>0.0</v>
      </c>
      <c r="I358" s="269">
        <v>150000.0</v>
      </c>
      <c r="J358" s="271">
        <v>150000.0</v>
      </c>
      <c r="K358" s="272">
        <f t="shared" si="2"/>
        <v>0</v>
      </c>
      <c r="L358" s="273"/>
      <c r="M358" s="273"/>
      <c r="N358" s="273"/>
    </row>
    <row r="359" ht="26.25" customHeight="1">
      <c r="A359" s="281" t="s">
        <v>1423</v>
      </c>
      <c r="B359" s="264">
        <v>45732.0</v>
      </c>
      <c r="C359" s="275" t="s">
        <v>965</v>
      </c>
      <c r="D359" s="266" t="s">
        <v>1424</v>
      </c>
      <c r="E359" s="267" t="s">
        <v>1425</v>
      </c>
      <c r="F359" s="268"/>
      <c r="G359" s="269">
        <v>112000.0</v>
      </c>
      <c r="H359" s="270">
        <v>0.0</v>
      </c>
      <c r="I359" s="269">
        <v>112000.0</v>
      </c>
      <c r="J359" s="271">
        <v>112000.0</v>
      </c>
      <c r="K359" s="272">
        <f t="shared" si="2"/>
        <v>0</v>
      </c>
      <c r="L359" s="273"/>
      <c r="M359" s="273"/>
      <c r="N359" s="273"/>
    </row>
    <row r="360" ht="26.25" customHeight="1">
      <c r="A360" s="273"/>
      <c r="B360" s="264">
        <v>45732.0</v>
      </c>
      <c r="C360" s="275" t="s">
        <v>960</v>
      </c>
      <c r="D360" s="266" t="s">
        <v>1426</v>
      </c>
      <c r="E360" s="267" t="s">
        <v>1427</v>
      </c>
      <c r="F360" s="268"/>
      <c r="G360" s="269">
        <v>100000.0</v>
      </c>
      <c r="H360" s="270">
        <v>0.0</v>
      </c>
      <c r="I360" s="269">
        <v>100000.0</v>
      </c>
      <c r="J360" s="271">
        <v>100000.0</v>
      </c>
      <c r="K360" s="272">
        <f t="shared" si="2"/>
        <v>0</v>
      </c>
      <c r="L360" s="273"/>
      <c r="M360" s="273"/>
      <c r="N360" s="273"/>
    </row>
    <row r="361" ht="26.25" customHeight="1">
      <c r="A361" s="274"/>
      <c r="B361" s="264">
        <v>45732.0</v>
      </c>
      <c r="C361" s="265" t="s">
        <v>985</v>
      </c>
      <c r="D361" s="266" t="s">
        <v>1333</v>
      </c>
      <c r="E361" s="267" t="s">
        <v>1428</v>
      </c>
      <c r="F361" s="268"/>
      <c r="G361" s="269">
        <v>78000.0</v>
      </c>
      <c r="H361" s="270">
        <v>0.0</v>
      </c>
      <c r="I361" s="269">
        <v>78000.0</v>
      </c>
      <c r="J361" s="271">
        <v>78000.0</v>
      </c>
      <c r="K361" s="272">
        <f t="shared" si="2"/>
        <v>0</v>
      </c>
      <c r="L361" s="273"/>
      <c r="M361" s="273"/>
      <c r="N361" s="273"/>
    </row>
    <row r="362" ht="26.25" customHeight="1">
      <c r="A362" s="273"/>
      <c r="B362" s="264">
        <v>45732.0</v>
      </c>
      <c r="C362" s="265" t="s">
        <v>960</v>
      </c>
      <c r="D362" s="266" t="s">
        <v>1429</v>
      </c>
      <c r="E362" s="267" t="s">
        <v>1430</v>
      </c>
      <c r="F362" s="268"/>
      <c r="G362" s="269">
        <v>75000.0</v>
      </c>
      <c r="H362" s="270">
        <v>0.0</v>
      </c>
      <c r="I362" s="269">
        <v>75000.0</v>
      </c>
      <c r="J362" s="271">
        <v>75000.0</v>
      </c>
      <c r="K362" s="272">
        <f t="shared" si="2"/>
        <v>0</v>
      </c>
      <c r="L362" s="273"/>
      <c r="M362" s="273"/>
      <c r="N362" s="273"/>
    </row>
    <row r="363" ht="26.25" customHeight="1">
      <c r="A363" s="273"/>
      <c r="B363" s="264">
        <v>45732.0</v>
      </c>
      <c r="C363" s="275" t="s">
        <v>1431</v>
      </c>
      <c r="D363" s="266" t="s">
        <v>824</v>
      </c>
      <c r="E363" s="267" t="s">
        <v>1432</v>
      </c>
      <c r="F363" s="268"/>
      <c r="G363" s="269">
        <v>12000.0</v>
      </c>
      <c r="H363" s="270">
        <v>0.0</v>
      </c>
      <c r="I363" s="269">
        <v>12000.0</v>
      </c>
      <c r="J363" s="271">
        <v>12000.0</v>
      </c>
      <c r="K363" s="272">
        <f t="shared" si="2"/>
        <v>0</v>
      </c>
      <c r="L363" s="273"/>
      <c r="M363" s="273"/>
      <c r="N363" s="273"/>
    </row>
    <row r="364" ht="26.25" customHeight="1">
      <c r="A364" s="273"/>
      <c r="B364" s="264">
        <v>45732.0</v>
      </c>
      <c r="C364" s="275" t="s">
        <v>1431</v>
      </c>
      <c r="D364" s="266" t="s">
        <v>1433</v>
      </c>
      <c r="E364" s="267" t="s">
        <v>1434</v>
      </c>
      <c r="F364" s="268"/>
      <c r="G364" s="269">
        <v>10000.0</v>
      </c>
      <c r="H364" s="270">
        <v>0.0</v>
      </c>
      <c r="I364" s="269">
        <v>10000.0</v>
      </c>
      <c r="J364" s="271">
        <v>10000.0</v>
      </c>
      <c r="K364" s="272">
        <f t="shared" si="2"/>
        <v>0</v>
      </c>
      <c r="L364" s="273"/>
      <c r="M364" s="273"/>
      <c r="N364" s="273"/>
    </row>
    <row r="365" ht="26.25" customHeight="1">
      <c r="A365" s="281" t="s">
        <v>1435</v>
      </c>
      <c r="B365" s="264">
        <v>45732.0</v>
      </c>
      <c r="C365" s="275" t="s">
        <v>965</v>
      </c>
      <c r="D365" s="266" t="s">
        <v>1436</v>
      </c>
      <c r="E365" s="267" t="s">
        <v>1437</v>
      </c>
      <c r="F365" s="268"/>
      <c r="G365" s="269">
        <v>7000.0</v>
      </c>
      <c r="H365" s="270">
        <v>0.0</v>
      </c>
      <c r="I365" s="269">
        <v>7000.0</v>
      </c>
      <c r="J365" s="271">
        <v>7000.0</v>
      </c>
      <c r="K365" s="272">
        <f t="shared" si="2"/>
        <v>0</v>
      </c>
      <c r="L365" s="273"/>
      <c r="M365" s="273"/>
      <c r="N365" s="273"/>
    </row>
    <row r="366" ht="26.25" customHeight="1">
      <c r="A366" s="273"/>
      <c r="B366" s="264">
        <v>45732.0</v>
      </c>
      <c r="C366" s="275" t="s">
        <v>965</v>
      </c>
      <c r="D366" s="266" t="s">
        <v>1438</v>
      </c>
      <c r="E366" s="267" t="s">
        <v>1439</v>
      </c>
      <c r="F366" s="268"/>
      <c r="G366" s="269">
        <v>6000.0</v>
      </c>
      <c r="H366" s="270">
        <v>0.0</v>
      </c>
      <c r="I366" s="269">
        <v>6000.0</v>
      </c>
      <c r="J366" s="271">
        <v>6000.0</v>
      </c>
      <c r="K366" s="272">
        <f t="shared" si="2"/>
        <v>0</v>
      </c>
      <c r="L366" s="273"/>
      <c r="M366" s="273"/>
      <c r="N366" s="273"/>
    </row>
    <row r="367" ht="26.25" customHeight="1">
      <c r="A367" s="281" t="s">
        <v>1440</v>
      </c>
      <c r="B367" s="264">
        <v>45733.0</v>
      </c>
      <c r="C367" s="275" t="s">
        <v>965</v>
      </c>
      <c r="D367" s="266" t="s">
        <v>938</v>
      </c>
      <c r="E367" s="267" t="s">
        <v>1441</v>
      </c>
      <c r="F367" s="268"/>
      <c r="G367" s="269">
        <v>175000.0</v>
      </c>
      <c r="H367" s="270">
        <v>0.0</v>
      </c>
      <c r="I367" s="269">
        <v>175000.0</v>
      </c>
      <c r="J367" s="271">
        <v>175000.0</v>
      </c>
      <c r="K367" s="272">
        <f t="shared" si="2"/>
        <v>0</v>
      </c>
      <c r="L367" s="273"/>
      <c r="M367" s="273"/>
      <c r="N367" s="273"/>
    </row>
    <row r="368" ht="26.25" customHeight="1">
      <c r="A368" s="274"/>
      <c r="B368" s="264">
        <v>45733.0</v>
      </c>
      <c r="C368" s="265" t="s">
        <v>1442</v>
      </c>
      <c r="D368" s="266" t="s">
        <v>1443</v>
      </c>
      <c r="E368" s="267" t="s">
        <v>1444</v>
      </c>
      <c r="F368" s="268"/>
      <c r="G368" s="269">
        <v>175000.0</v>
      </c>
      <c r="H368" s="270">
        <v>0.0</v>
      </c>
      <c r="I368" s="269">
        <v>175000.0</v>
      </c>
      <c r="J368" s="271">
        <v>175000.0</v>
      </c>
      <c r="K368" s="272">
        <f t="shared" si="2"/>
        <v>0</v>
      </c>
      <c r="L368" s="273"/>
      <c r="M368" s="273"/>
      <c r="N368" s="273"/>
    </row>
    <row r="369" ht="26.25" customHeight="1">
      <c r="A369" s="274"/>
      <c r="B369" s="264">
        <v>45733.0</v>
      </c>
      <c r="C369" s="265" t="s">
        <v>974</v>
      </c>
      <c r="D369" s="266" t="s">
        <v>1445</v>
      </c>
      <c r="E369" s="267" t="s">
        <v>1446</v>
      </c>
      <c r="F369" s="268"/>
      <c r="G369" s="269">
        <v>115000.0</v>
      </c>
      <c r="H369" s="270">
        <v>0.0</v>
      </c>
      <c r="I369" s="269">
        <v>115000.0</v>
      </c>
      <c r="J369" s="271">
        <v>115000.0</v>
      </c>
      <c r="K369" s="272">
        <f t="shared" si="2"/>
        <v>0</v>
      </c>
      <c r="L369" s="273"/>
      <c r="M369" s="273"/>
      <c r="N369" s="273"/>
    </row>
    <row r="370" ht="26.25" customHeight="1">
      <c r="A370" s="274"/>
      <c r="B370" s="264">
        <v>45733.0</v>
      </c>
      <c r="C370" s="265" t="s">
        <v>1057</v>
      </c>
      <c r="D370" s="266" t="s">
        <v>378</v>
      </c>
      <c r="E370" s="267" t="s">
        <v>1447</v>
      </c>
      <c r="F370" s="268"/>
      <c r="G370" s="269">
        <v>100000.0</v>
      </c>
      <c r="H370" s="270">
        <v>0.0</v>
      </c>
      <c r="I370" s="269">
        <v>100000.0</v>
      </c>
      <c r="J370" s="271">
        <v>100000.0</v>
      </c>
      <c r="K370" s="272">
        <f t="shared" si="2"/>
        <v>0</v>
      </c>
      <c r="L370" s="273"/>
      <c r="M370" s="273"/>
      <c r="N370" s="273"/>
    </row>
    <row r="371" ht="26.25" customHeight="1">
      <c r="A371" s="273"/>
      <c r="B371" s="264">
        <v>45733.0</v>
      </c>
      <c r="C371" s="275" t="s">
        <v>957</v>
      </c>
      <c r="D371" s="291" t="s">
        <v>1448</v>
      </c>
      <c r="E371" s="267" t="s">
        <v>1449</v>
      </c>
      <c r="F371" s="268"/>
      <c r="G371" s="269">
        <v>92000.0</v>
      </c>
      <c r="H371" s="270">
        <v>0.0</v>
      </c>
      <c r="I371" s="269">
        <v>92000.0</v>
      </c>
      <c r="J371" s="271">
        <v>92000.0</v>
      </c>
      <c r="K371" s="272">
        <f t="shared" si="2"/>
        <v>0</v>
      </c>
      <c r="L371" s="273"/>
      <c r="M371" s="273"/>
      <c r="N371" s="273"/>
    </row>
    <row r="372" ht="26.25" customHeight="1">
      <c r="A372" s="273"/>
      <c r="B372" s="264">
        <v>45733.0</v>
      </c>
      <c r="C372" s="275" t="s">
        <v>1057</v>
      </c>
      <c r="D372" s="266" t="s">
        <v>378</v>
      </c>
      <c r="E372" s="267" t="s">
        <v>1446</v>
      </c>
      <c r="F372" s="268"/>
      <c r="G372" s="269">
        <v>85000.0</v>
      </c>
      <c r="H372" s="270">
        <v>0.0</v>
      </c>
      <c r="I372" s="269">
        <v>85000.0</v>
      </c>
      <c r="J372" s="271">
        <v>85000.0</v>
      </c>
      <c r="K372" s="272">
        <f t="shared" si="2"/>
        <v>0</v>
      </c>
      <c r="L372" s="273"/>
      <c r="M372" s="273"/>
      <c r="N372" s="273"/>
    </row>
    <row r="373" ht="26.25" customHeight="1">
      <c r="A373" s="274"/>
      <c r="B373" s="264">
        <v>45733.0</v>
      </c>
      <c r="C373" s="275" t="s">
        <v>1442</v>
      </c>
      <c r="D373" s="266" t="s">
        <v>1443</v>
      </c>
      <c r="E373" s="267" t="s">
        <v>1450</v>
      </c>
      <c r="F373" s="268"/>
      <c r="G373" s="269">
        <v>75000.0</v>
      </c>
      <c r="H373" s="270">
        <v>0.0</v>
      </c>
      <c r="I373" s="269">
        <v>75000.0</v>
      </c>
      <c r="J373" s="271">
        <v>75000.0</v>
      </c>
      <c r="K373" s="272">
        <f t="shared" si="2"/>
        <v>0</v>
      </c>
      <c r="L373" s="273"/>
      <c r="M373" s="273"/>
      <c r="N373" s="273"/>
    </row>
    <row r="374" ht="26.25" customHeight="1">
      <c r="A374" s="277" t="s">
        <v>1451</v>
      </c>
      <c r="B374" s="264">
        <v>45733.0</v>
      </c>
      <c r="C374" s="275" t="s">
        <v>974</v>
      </c>
      <c r="D374" s="266" t="s">
        <v>1340</v>
      </c>
      <c r="E374" s="267" t="s">
        <v>1452</v>
      </c>
      <c r="F374" s="268"/>
      <c r="G374" s="269">
        <v>70000.0</v>
      </c>
      <c r="H374" s="270">
        <v>0.0</v>
      </c>
      <c r="I374" s="269">
        <v>70000.0</v>
      </c>
      <c r="J374" s="271">
        <v>70000.0</v>
      </c>
      <c r="K374" s="272">
        <f t="shared" si="2"/>
        <v>0</v>
      </c>
      <c r="L374" s="273"/>
      <c r="M374" s="273"/>
      <c r="N374" s="273"/>
    </row>
    <row r="375" ht="26.25" customHeight="1">
      <c r="A375" s="274"/>
      <c r="B375" s="264">
        <v>45733.0</v>
      </c>
      <c r="C375" s="265" t="s">
        <v>995</v>
      </c>
      <c r="D375" s="266" t="s">
        <v>1453</v>
      </c>
      <c r="E375" s="267" t="s">
        <v>1446</v>
      </c>
      <c r="F375" s="268"/>
      <c r="G375" s="269">
        <v>50000.0</v>
      </c>
      <c r="H375" s="270">
        <v>0.0</v>
      </c>
      <c r="I375" s="269">
        <v>50000.0</v>
      </c>
      <c r="J375" s="271">
        <v>50000.0</v>
      </c>
      <c r="K375" s="272">
        <f t="shared" si="2"/>
        <v>0</v>
      </c>
      <c r="L375" s="273"/>
      <c r="M375" s="273"/>
      <c r="N375" s="273"/>
    </row>
    <row r="376" ht="26.25" customHeight="1">
      <c r="A376" s="274"/>
      <c r="B376" s="264">
        <v>45733.0</v>
      </c>
      <c r="C376" s="265" t="s">
        <v>995</v>
      </c>
      <c r="D376" s="266" t="s">
        <v>1454</v>
      </c>
      <c r="E376" s="267" t="s">
        <v>1446</v>
      </c>
      <c r="F376" s="289"/>
      <c r="G376" s="269">
        <v>20000.0</v>
      </c>
      <c r="H376" s="270">
        <v>0.0</v>
      </c>
      <c r="I376" s="269">
        <v>20000.0</v>
      </c>
      <c r="J376" s="271">
        <v>20000.0</v>
      </c>
      <c r="K376" s="272">
        <f t="shared" si="2"/>
        <v>0</v>
      </c>
      <c r="L376" s="290"/>
      <c r="M376" s="290"/>
      <c r="N376" s="290"/>
    </row>
    <row r="377" ht="26.25" customHeight="1">
      <c r="A377" s="274"/>
      <c r="B377" s="264">
        <v>45733.0</v>
      </c>
      <c r="C377" s="265" t="s">
        <v>974</v>
      </c>
      <c r="D377" s="266" t="s">
        <v>1455</v>
      </c>
      <c r="E377" s="267" t="s">
        <v>1456</v>
      </c>
      <c r="F377" s="268"/>
      <c r="G377" s="269">
        <v>15000.0</v>
      </c>
      <c r="H377" s="270">
        <v>0.0</v>
      </c>
      <c r="I377" s="269">
        <v>15000.0</v>
      </c>
      <c r="J377" s="271">
        <v>15000.0</v>
      </c>
      <c r="K377" s="272">
        <f t="shared" si="2"/>
        <v>0</v>
      </c>
      <c r="L377" s="273"/>
      <c r="M377" s="273"/>
      <c r="N377" s="273"/>
    </row>
    <row r="378" ht="26.25" customHeight="1">
      <c r="A378" s="273"/>
      <c r="B378" s="264">
        <v>45733.0</v>
      </c>
      <c r="C378" s="275" t="s">
        <v>974</v>
      </c>
      <c r="D378" s="266" t="s">
        <v>1457</v>
      </c>
      <c r="E378" s="267" t="s">
        <v>1458</v>
      </c>
      <c r="F378" s="268"/>
      <c r="G378" s="269">
        <v>10000.0</v>
      </c>
      <c r="H378" s="270">
        <v>0.0</v>
      </c>
      <c r="I378" s="269">
        <v>10000.0</v>
      </c>
      <c r="J378" s="271">
        <v>10000.0</v>
      </c>
      <c r="K378" s="272">
        <f t="shared" si="2"/>
        <v>0</v>
      </c>
      <c r="L378" s="273"/>
      <c r="M378" s="273"/>
      <c r="N378" s="273"/>
    </row>
    <row r="379" ht="26.25" customHeight="1">
      <c r="A379" s="277" t="s">
        <v>1459</v>
      </c>
      <c r="B379" s="264">
        <v>45734.0</v>
      </c>
      <c r="C379" s="265" t="s">
        <v>968</v>
      </c>
      <c r="D379" s="266" t="s">
        <v>1460</v>
      </c>
      <c r="E379" s="267" t="s">
        <v>1461</v>
      </c>
      <c r="F379" s="268"/>
      <c r="G379" s="269">
        <v>105000.0</v>
      </c>
      <c r="H379" s="270">
        <v>0.0</v>
      </c>
      <c r="I379" s="269">
        <v>105000.0</v>
      </c>
      <c r="J379" s="271">
        <v>105000.0</v>
      </c>
      <c r="K379" s="272">
        <f t="shared" si="2"/>
        <v>0</v>
      </c>
      <c r="L379" s="273"/>
      <c r="M379" s="273"/>
      <c r="N379" s="273"/>
    </row>
    <row r="380" ht="26.25" customHeight="1">
      <c r="A380" s="274"/>
      <c r="B380" s="264">
        <v>45734.0</v>
      </c>
      <c r="C380" s="265" t="s">
        <v>995</v>
      </c>
      <c r="D380" s="266" t="s">
        <v>1340</v>
      </c>
      <c r="E380" s="267" t="s">
        <v>1462</v>
      </c>
      <c r="F380" s="268"/>
      <c r="G380" s="269">
        <v>10000.0</v>
      </c>
      <c r="H380" s="270">
        <v>0.0</v>
      </c>
      <c r="I380" s="269">
        <v>10000.0</v>
      </c>
      <c r="J380" s="271">
        <v>10000.0</v>
      </c>
      <c r="K380" s="272">
        <f t="shared" si="2"/>
        <v>0</v>
      </c>
      <c r="L380" s="273"/>
      <c r="M380" s="273"/>
      <c r="N380" s="273"/>
    </row>
    <row r="381" ht="26.25" customHeight="1">
      <c r="A381" s="277" t="s">
        <v>1463</v>
      </c>
      <c r="B381" s="264">
        <v>45734.0</v>
      </c>
      <c r="C381" s="265" t="s">
        <v>965</v>
      </c>
      <c r="D381" s="266" t="s">
        <v>1464</v>
      </c>
      <c r="E381" s="267" t="s">
        <v>1465</v>
      </c>
      <c r="F381" s="268"/>
      <c r="G381" s="269">
        <v>3500.0</v>
      </c>
      <c r="H381" s="270">
        <v>0.0</v>
      </c>
      <c r="I381" s="269">
        <v>3500.0</v>
      </c>
      <c r="J381" s="271">
        <v>3500.0</v>
      </c>
      <c r="K381" s="272">
        <f t="shared" si="2"/>
        <v>0</v>
      </c>
      <c r="L381" s="273"/>
      <c r="M381" s="273"/>
      <c r="N381" s="273"/>
    </row>
    <row r="382" ht="26.25" customHeight="1">
      <c r="A382" s="277" t="s">
        <v>1466</v>
      </c>
      <c r="B382" s="264">
        <v>45735.0</v>
      </c>
      <c r="C382" s="265" t="s">
        <v>965</v>
      </c>
      <c r="D382" s="266" t="s">
        <v>980</v>
      </c>
      <c r="E382" s="267" t="s">
        <v>1467</v>
      </c>
      <c r="F382" s="268"/>
      <c r="G382" s="269">
        <v>648000.0</v>
      </c>
      <c r="H382" s="270">
        <v>0.0</v>
      </c>
      <c r="I382" s="269">
        <v>648000.0</v>
      </c>
      <c r="J382" s="271">
        <v>648000.0</v>
      </c>
      <c r="K382" s="272">
        <f t="shared" si="2"/>
        <v>0</v>
      </c>
      <c r="L382" s="273"/>
      <c r="M382" s="273"/>
      <c r="N382" s="273"/>
    </row>
    <row r="383" ht="26.25" customHeight="1">
      <c r="A383" s="273"/>
      <c r="B383" s="264">
        <v>45735.0</v>
      </c>
      <c r="C383" s="265" t="s">
        <v>965</v>
      </c>
      <c r="D383" s="266" t="s">
        <v>45</v>
      </c>
      <c r="E383" s="267" t="s">
        <v>1468</v>
      </c>
      <c r="F383" s="268"/>
      <c r="G383" s="269">
        <v>150000.0</v>
      </c>
      <c r="H383" s="270">
        <v>0.0</v>
      </c>
      <c r="I383" s="269">
        <v>150000.0</v>
      </c>
      <c r="J383" s="271">
        <v>150000.0</v>
      </c>
      <c r="K383" s="272">
        <f t="shared" si="2"/>
        <v>0</v>
      </c>
      <c r="L383" s="273"/>
      <c r="M383" s="273"/>
      <c r="N383" s="273"/>
    </row>
    <row r="384" ht="26.25" customHeight="1">
      <c r="A384" s="274"/>
      <c r="B384" s="264">
        <v>45735.0</v>
      </c>
      <c r="C384" s="265" t="s">
        <v>974</v>
      </c>
      <c r="D384" s="266" t="s">
        <v>237</v>
      </c>
      <c r="E384" s="267" t="s">
        <v>1469</v>
      </c>
      <c r="F384" s="268"/>
      <c r="G384" s="269">
        <v>35000.0</v>
      </c>
      <c r="H384" s="270">
        <v>0.0</v>
      </c>
      <c r="I384" s="269">
        <v>35000.0</v>
      </c>
      <c r="J384" s="271">
        <v>35000.0</v>
      </c>
      <c r="K384" s="272">
        <f t="shared" si="2"/>
        <v>0</v>
      </c>
      <c r="L384" s="273"/>
      <c r="M384" s="273"/>
      <c r="N384" s="273"/>
    </row>
    <row r="385" ht="26.25" customHeight="1">
      <c r="A385" s="277" t="s">
        <v>1470</v>
      </c>
      <c r="B385" s="264">
        <v>45735.0</v>
      </c>
      <c r="C385" s="265" t="s">
        <v>1035</v>
      </c>
      <c r="D385" s="266" t="s">
        <v>1040</v>
      </c>
      <c r="E385" s="267" t="s">
        <v>1471</v>
      </c>
      <c r="F385" s="268"/>
      <c r="G385" s="269">
        <v>23000.0</v>
      </c>
      <c r="H385" s="270">
        <v>0.0</v>
      </c>
      <c r="I385" s="269">
        <v>23000.0</v>
      </c>
      <c r="J385" s="271">
        <v>23000.0</v>
      </c>
      <c r="K385" s="272">
        <f t="shared" si="2"/>
        <v>0</v>
      </c>
      <c r="L385" s="273"/>
      <c r="M385" s="273"/>
      <c r="N385" s="273"/>
    </row>
    <row r="386" ht="26.25" customHeight="1">
      <c r="A386" s="274"/>
      <c r="B386" s="264">
        <v>45735.0</v>
      </c>
      <c r="C386" s="265" t="s">
        <v>974</v>
      </c>
      <c r="D386" s="266" t="s">
        <v>1457</v>
      </c>
      <c r="E386" s="267" t="s">
        <v>1472</v>
      </c>
      <c r="F386" s="289"/>
      <c r="G386" s="269">
        <v>10000.0</v>
      </c>
      <c r="H386" s="270">
        <v>0.0</v>
      </c>
      <c r="I386" s="269">
        <v>10000.0</v>
      </c>
      <c r="J386" s="271">
        <v>10000.0</v>
      </c>
      <c r="K386" s="272">
        <f t="shared" si="2"/>
        <v>0</v>
      </c>
      <c r="L386" s="290"/>
      <c r="M386" s="290"/>
      <c r="N386" s="290"/>
    </row>
    <row r="387" ht="26.25" customHeight="1">
      <c r="A387" s="274"/>
      <c r="B387" s="264">
        <v>45736.0</v>
      </c>
      <c r="C387" s="265" t="s">
        <v>1057</v>
      </c>
      <c r="D387" s="266" t="s">
        <v>1204</v>
      </c>
      <c r="E387" s="267" t="s">
        <v>1446</v>
      </c>
      <c r="F387" s="268"/>
      <c r="G387" s="269">
        <v>300000.0</v>
      </c>
      <c r="H387" s="270">
        <v>0.0</v>
      </c>
      <c r="I387" s="269">
        <v>300000.0</v>
      </c>
      <c r="J387" s="271">
        <v>300000.0</v>
      </c>
      <c r="K387" s="272">
        <f t="shared" si="2"/>
        <v>0</v>
      </c>
      <c r="L387" s="273"/>
      <c r="M387" s="273"/>
      <c r="N387" s="273"/>
    </row>
    <row r="388" ht="26.25" customHeight="1">
      <c r="A388" s="268"/>
      <c r="B388" s="264">
        <v>45736.0</v>
      </c>
      <c r="C388" s="275" t="s">
        <v>995</v>
      </c>
      <c r="D388" s="266" t="s">
        <v>1029</v>
      </c>
      <c r="E388" s="267" t="s">
        <v>1473</v>
      </c>
      <c r="F388" s="268"/>
      <c r="G388" s="269">
        <v>8000.0</v>
      </c>
      <c r="H388" s="270">
        <v>0.0</v>
      </c>
      <c r="I388" s="269">
        <v>8000.0</v>
      </c>
      <c r="J388" s="271">
        <v>8000.0</v>
      </c>
      <c r="K388" s="272">
        <f t="shared" si="2"/>
        <v>0</v>
      </c>
      <c r="L388" s="273"/>
      <c r="M388" s="273"/>
      <c r="N388" s="273"/>
    </row>
    <row r="389" ht="26.25" customHeight="1">
      <c r="A389" s="281" t="s">
        <v>1474</v>
      </c>
      <c r="B389" s="264">
        <v>45737.0</v>
      </c>
      <c r="C389" s="275" t="s">
        <v>965</v>
      </c>
      <c r="D389" s="266" t="s">
        <v>938</v>
      </c>
      <c r="E389" s="267" t="s">
        <v>1475</v>
      </c>
      <c r="F389" s="268"/>
      <c r="G389" s="269">
        <v>389000.0</v>
      </c>
      <c r="H389" s="270">
        <v>0.0</v>
      </c>
      <c r="I389" s="269">
        <v>389000.0</v>
      </c>
      <c r="J389" s="271">
        <v>389000.0</v>
      </c>
      <c r="K389" s="272">
        <f t="shared" si="2"/>
        <v>0</v>
      </c>
      <c r="L389" s="273"/>
      <c r="M389" s="273"/>
      <c r="N389" s="273"/>
    </row>
    <row r="390" ht="26.25" customHeight="1">
      <c r="A390" s="273"/>
      <c r="B390" s="264">
        <v>45737.0</v>
      </c>
      <c r="C390" s="275" t="s">
        <v>957</v>
      </c>
      <c r="D390" s="266" t="s">
        <v>824</v>
      </c>
      <c r="E390" s="267" t="s">
        <v>1476</v>
      </c>
      <c r="F390" s="268"/>
      <c r="G390" s="269">
        <v>25000.0</v>
      </c>
      <c r="H390" s="270">
        <v>0.0</v>
      </c>
      <c r="I390" s="269">
        <v>25000.0</v>
      </c>
      <c r="J390" s="271">
        <v>25000.0</v>
      </c>
      <c r="K390" s="272">
        <f t="shared" si="2"/>
        <v>0</v>
      </c>
      <c r="L390" s="273"/>
      <c r="M390" s="273"/>
      <c r="N390" s="273"/>
    </row>
    <row r="391" ht="26.25" customHeight="1">
      <c r="A391" s="273"/>
      <c r="B391" s="264">
        <v>45737.0</v>
      </c>
      <c r="C391" s="275" t="s">
        <v>995</v>
      </c>
      <c r="D391" s="266" t="s">
        <v>824</v>
      </c>
      <c r="E391" s="267" t="s">
        <v>1477</v>
      </c>
      <c r="F391" s="268"/>
      <c r="G391" s="269">
        <v>15000.0</v>
      </c>
      <c r="H391" s="270">
        <v>0.0</v>
      </c>
      <c r="I391" s="269">
        <v>15000.0</v>
      </c>
      <c r="J391" s="271">
        <v>15000.0</v>
      </c>
      <c r="K391" s="272">
        <f t="shared" si="2"/>
        <v>0</v>
      </c>
      <c r="L391" s="273"/>
      <c r="M391" s="273"/>
      <c r="N391" s="273"/>
    </row>
    <row r="392" ht="26.25" customHeight="1">
      <c r="A392" s="273"/>
      <c r="B392" s="264">
        <v>45737.0</v>
      </c>
      <c r="C392" s="275" t="s">
        <v>995</v>
      </c>
      <c r="D392" s="266" t="s">
        <v>824</v>
      </c>
      <c r="E392" s="267" t="s">
        <v>1303</v>
      </c>
      <c r="F392" s="268"/>
      <c r="G392" s="269">
        <v>4000.0</v>
      </c>
      <c r="H392" s="270">
        <v>0.0</v>
      </c>
      <c r="I392" s="269">
        <v>4000.0</v>
      </c>
      <c r="J392" s="271">
        <v>4000.0</v>
      </c>
      <c r="K392" s="272">
        <f t="shared" si="2"/>
        <v>0</v>
      </c>
      <c r="L392" s="273"/>
      <c r="M392" s="273"/>
      <c r="N392" s="273"/>
    </row>
    <row r="393" ht="26.25" customHeight="1">
      <c r="A393" s="274"/>
      <c r="B393" s="264">
        <v>45738.0</v>
      </c>
      <c r="C393" s="265" t="s">
        <v>974</v>
      </c>
      <c r="D393" s="266" t="s">
        <v>930</v>
      </c>
      <c r="E393" s="267" t="s">
        <v>1478</v>
      </c>
      <c r="F393" s="268"/>
      <c r="G393" s="269">
        <v>200000.0</v>
      </c>
      <c r="H393" s="270">
        <v>0.0</v>
      </c>
      <c r="I393" s="269">
        <v>200000.0</v>
      </c>
      <c r="J393" s="271">
        <v>200000.0</v>
      </c>
      <c r="K393" s="272">
        <f t="shared" si="2"/>
        <v>0</v>
      </c>
      <c r="L393" s="273"/>
      <c r="M393" s="273"/>
      <c r="N393" s="273"/>
    </row>
    <row r="394" ht="26.25" customHeight="1">
      <c r="A394" s="277" t="s">
        <v>1479</v>
      </c>
      <c r="B394" s="264">
        <v>45738.0</v>
      </c>
      <c r="C394" s="265" t="s">
        <v>1098</v>
      </c>
      <c r="D394" s="266" t="s">
        <v>1480</v>
      </c>
      <c r="E394" s="267" t="s">
        <v>1481</v>
      </c>
      <c r="F394" s="268"/>
      <c r="G394" s="269">
        <v>25000.0</v>
      </c>
      <c r="H394" s="270">
        <v>0.0</v>
      </c>
      <c r="I394" s="269">
        <v>25000.0</v>
      </c>
      <c r="J394" s="271">
        <v>25000.0</v>
      </c>
      <c r="K394" s="272">
        <f t="shared" si="2"/>
        <v>0</v>
      </c>
      <c r="L394" s="273"/>
      <c r="M394" s="273"/>
      <c r="N394" s="273"/>
    </row>
    <row r="395" ht="26.25" customHeight="1">
      <c r="A395" s="274"/>
      <c r="B395" s="264">
        <v>45738.0</v>
      </c>
      <c r="C395" s="265" t="s">
        <v>974</v>
      </c>
      <c r="D395" s="266" t="s">
        <v>1457</v>
      </c>
      <c r="E395" s="267" t="s">
        <v>1482</v>
      </c>
      <c r="F395" s="268"/>
      <c r="G395" s="269">
        <v>15000.0</v>
      </c>
      <c r="H395" s="270">
        <v>0.0</v>
      </c>
      <c r="I395" s="269">
        <v>15000.0</v>
      </c>
      <c r="J395" s="271">
        <v>15000.0</v>
      </c>
      <c r="K395" s="272">
        <f t="shared" si="2"/>
        <v>0</v>
      </c>
      <c r="L395" s="273"/>
      <c r="M395" s="273"/>
      <c r="N395" s="273"/>
    </row>
    <row r="396" ht="26.25" customHeight="1">
      <c r="A396" s="274"/>
      <c r="B396" s="264">
        <v>45738.0</v>
      </c>
      <c r="C396" s="265" t="s">
        <v>1431</v>
      </c>
      <c r="D396" s="266" t="s">
        <v>1457</v>
      </c>
      <c r="E396" s="267" t="s">
        <v>1483</v>
      </c>
      <c r="F396" s="268"/>
      <c r="G396" s="269">
        <v>15000.0</v>
      </c>
      <c r="H396" s="270">
        <v>0.0</v>
      </c>
      <c r="I396" s="269">
        <v>15000.0</v>
      </c>
      <c r="J396" s="271">
        <v>15000.0</v>
      </c>
      <c r="K396" s="272">
        <f t="shared" si="2"/>
        <v>0</v>
      </c>
      <c r="L396" s="273"/>
      <c r="M396" s="273"/>
      <c r="N396" s="273"/>
    </row>
    <row r="397" ht="26.25" customHeight="1">
      <c r="A397" s="273"/>
      <c r="B397" s="264">
        <v>45738.0</v>
      </c>
      <c r="C397" s="265" t="s">
        <v>995</v>
      </c>
      <c r="D397" s="266" t="s">
        <v>237</v>
      </c>
      <c r="E397" s="267" t="s">
        <v>1484</v>
      </c>
      <c r="F397" s="268"/>
      <c r="G397" s="269">
        <v>10000.0</v>
      </c>
      <c r="H397" s="270">
        <v>0.0</v>
      </c>
      <c r="I397" s="269">
        <v>10000.0</v>
      </c>
      <c r="J397" s="271">
        <v>10000.0</v>
      </c>
      <c r="K397" s="272">
        <f t="shared" si="2"/>
        <v>0</v>
      </c>
      <c r="L397" s="273"/>
      <c r="M397" s="273"/>
      <c r="N397" s="273"/>
    </row>
    <row r="398" ht="26.25" customHeight="1">
      <c r="A398" s="281" t="s">
        <v>1485</v>
      </c>
      <c r="B398" s="264">
        <v>45739.0</v>
      </c>
      <c r="C398" s="265" t="s">
        <v>965</v>
      </c>
      <c r="D398" s="266" t="s">
        <v>1486</v>
      </c>
      <c r="E398" s="267" t="s">
        <v>1487</v>
      </c>
      <c r="F398" s="268"/>
      <c r="G398" s="269">
        <v>105000.0</v>
      </c>
      <c r="H398" s="270">
        <v>0.0</v>
      </c>
      <c r="I398" s="269">
        <v>105000.0</v>
      </c>
      <c r="J398" s="271">
        <v>105000.0</v>
      </c>
      <c r="K398" s="272">
        <f t="shared" si="2"/>
        <v>0</v>
      </c>
      <c r="L398" s="273"/>
      <c r="M398" s="273"/>
      <c r="N398" s="273"/>
    </row>
    <row r="399" ht="26.25" customHeight="1">
      <c r="A399" s="277" t="s">
        <v>1421</v>
      </c>
      <c r="B399" s="264">
        <v>45739.0</v>
      </c>
      <c r="C399" s="265" t="s">
        <v>985</v>
      </c>
      <c r="D399" s="266" t="s">
        <v>1488</v>
      </c>
      <c r="E399" s="267" t="s">
        <v>1489</v>
      </c>
      <c r="F399" s="268"/>
      <c r="G399" s="269">
        <v>85000.0</v>
      </c>
      <c r="H399" s="270">
        <v>0.0</v>
      </c>
      <c r="I399" s="269">
        <v>85000.0</v>
      </c>
      <c r="J399" s="271">
        <v>85000.0</v>
      </c>
      <c r="K399" s="272">
        <f t="shared" si="2"/>
        <v>0</v>
      </c>
      <c r="L399" s="273"/>
      <c r="M399" s="273"/>
      <c r="N399" s="273"/>
    </row>
    <row r="400" ht="26.25" customHeight="1">
      <c r="A400" s="277" t="s">
        <v>1490</v>
      </c>
      <c r="B400" s="264">
        <v>45739.0</v>
      </c>
      <c r="C400" s="265" t="s">
        <v>965</v>
      </c>
      <c r="D400" s="266" t="s">
        <v>1091</v>
      </c>
      <c r="E400" s="267" t="s">
        <v>1491</v>
      </c>
      <c r="F400" s="268"/>
      <c r="G400" s="269">
        <v>75000.0</v>
      </c>
      <c r="H400" s="270">
        <v>0.0</v>
      </c>
      <c r="I400" s="269">
        <v>75000.0</v>
      </c>
      <c r="J400" s="271">
        <v>75000.0</v>
      </c>
      <c r="K400" s="272">
        <f t="shared" si="2"/>
        <v>0</v>
      </c>
      <c r="L400" s="273"/>
      <c r="M400" s="273"/>
      <c r="N400" s="273"/>
    </row>
    <row r="401" ht="26.25" customHeight="1">
      <c r="A401" s="273"/>
      <c r="B401" s="264">
        <v>45739.0</v>
      </c>
      <c r="C401" s="265" t="s">
        <v>1035</v>
      </c>
      <c r="D401" s="266" t="s">
        <v>20</v>
      </c>
      <c r="E401" s="267" t="s">
        <v>1492</v>
      </c>
      <c r="F401" s="268"/>
      <c r="G401" s="269">
        <v>20000.0</v>
      </c>
      <c r="H401" s="270">
        <v>0.0</v>
      </c>
      <c r="I401" s="269">
        <v>20000.0</v>
      </c>
      <c r="J401" s="271">
        <v>20000.0</v>
      </c>
      <c r="K401" s="272">
        <f t="shared" si="2"/>
        <v>0</v>
      </c>
      <c r="L401" s="273"/>
      <c r="M401" s="273"/>
      <c r="N401" s="273"/>
    </row>
    <row r="402" ht="26.25" customHeight="1">
      <c r="A402" s="274"/>
      <c r="B402" s="264">
        <v>45740.0</v>
      </c>
      <c r="C402" s="265" t="s">
        <v>974</v>
      </c>
      <c r="D402" s="266" t="s">
        <v>224</v>
      </c>
      <c r="E402" s="267" t="s">
        <v>1493</v>
      </c>
      <c r="F402" s="268"/>
      <c r="G402" s="269">
        <v>5383000.0</v>
      </c>
      <c r="H402" s="270">
        <v>0.0</v>
      </c>
      <c r="I402" s="269">
        <v>5383000.0</v>
      </c>
      <c r="J402" s="271">
        <v>5383000.0</v>
      </c>
      <c r="K402" s="272">
        <f t="shared" si="2"/>
        <v>0</v>
      </c>
      <c r="L402" s="273"/>
      <c r="M402" s="273"/>
      <c r="N402" s="273"/>
    </row>
    <row r="403" ht="26.25" customHeight="1">
      <c r="A403" s="274"/>
      <c r="B403" s="264">
        <v>45740.0</v>
      </c>
      <c r="C403" s="265" t="s">
        <v>1057</v>
      </c>
      <c r="D403" s="266" t="s">
        <v>1204</v>
      </c>
      <c r="E403" s="267" t="s">
        <v>1494</v>
      </c>
      <c r="F403" s="268"/>
      <c r="G403" s="269">
        <v>681000.0</v>
      </c>
      <c r="H403" s="270">
        <v>0.0</v>
      </c>
      <c r="I403" s="269">
        <v>681000.0</v>
      </c>
      <c r="J403" s="271">
        <v>681000.0</v>
      </c>
      <c r="K403" s="272">
        <f t="shared" si="2"/>
        <v>0</v>
      </c>
      <c r="L403" s="273"/>
      <c r="M403" s="273"/>
      <c r="N403" s="273"/>
    </row>
    <row r="404" ht="26.25" customHeight="1">
      <c r="A404" s="274"/>
      <c r="B404" s="264">
        <v>45740.0</v>
      </c>
      <c r="C404" s="265" t="s">
        <v>1057</v>
      </c>
      <c r="D404" s="266" t="s">
        <v>1204</v>
      </c>
      <c r="E404" s="267" t="s">
        <v>1495</v>
      </c>
      <c r="F404" s="268"/>
      <c r="G404" s="269">
        <v>500000.0</v>
      </c>
      <c r="H404" s="270">
        <v>0.0</v>
      </c>
      <c r="I404" s="269">
        <v>500000.0</v>
      </c>
      <c r="J404" s="271">
        <v>500000.0</v>
      </c>
      <c r="K404" s="272">
        <f t="shared" si="2"/>
        <v>0</v>
      </c>
      <c r="L404" s="273"/>
      <c r="M404" s="273"/>
      <c r="N404" s="273"/>
    </row>
    <row r="405" ht="26.25" customHeight="1">
      <c r="A405" s="274"/>
      <c r="B405" s="264">
        <v>45740.0</v>
      </c>
      <c r="C405" s="265" t="s">
        <v>960</v>
      </c>
      <c r="D405" s="266" t="s">
        <v>20</v>
      </c>
      <c r="E405" s="267" t="s">
        <v>1496</v>
      </c>
      <c r="F405" s="268"/>
      <c r="G405" s="269">
        <v>40000.0</v>
      </c>
      <c r="H405" s="270">
        <v>0.0</v>
      </c>
      <c r="I405" s="269">
        <v>40000.0</v>
      </c>
      <c r="J405" s="271">
        <v>40000.0</v>
      </c>
      <c r="K405" s="272">
        <f t="shared" si="2"/>
        <v>0</v>
      </c>
      <c r="L405" s="273"/>
      <c r="M405" s="273"/>
      <c r="N405" s="273"/>
    </row>
    <row r="406" ht="26.25" customHeight="1">
      <c r="A406" s="277" t="s">
        <v>1497</v>
      </c>
      <c r="B406" s="264">
        <v>45740.0</v>
      </c>
      <c r="C406" s="265" t="s">
        <v>965</v>
      </c>
      <c r="D406" s="266" t="s">
        <v>45</v>
      </c>
      <c r="E406" s="267" t="s">
        <v>1498</v>
      </c>
      <c r="F406" s="268"/>
      <c r="G406" s="269">
        <v>28000.0</v>
      </c>
      <c r="H406" s="270">
        <v>0.0</v>
      </c>
      <c r="I406" s="269">
        <v>28000.0</v>
      </c>
      <c r="J406" s="271">
        <v>28000.0</v>
      </c>
      <c r="K406" s="272">
        <f t="shared" si="2"/>
        <v>0</v>
      </c>
      <c r="L406" s="273"/>
      <c r="M406" s="273"/>
      <c r="N406" s="273"/>
    </row>
    <row r="407" ht="26.25" customHeight="1">
      <c r="A407" s="277" t="s">
        <v>1499</v>
      </c>
      <c r="B407" s="264">
        <v>45740.0</v>
      </c>
      <c r="C407" s="265" t="s">
        <v>968</v>
      </c>
      <c r="D407" s="266" t="s">
        <v>1500</v>
      </c>
      <c r="E407" s="267" t="s">
        <v>1501</v>
      </c>
      <c r="F407" s="268"/>
      <c r="G407" s="269">
        <v>28000.0</v>
      </c>
      <c r="H407" s="270">
        <v>0.0</v>
      </c>
      <c r="I407" s="269">
        <v>28000.0</v>
      </c>
      <c r="J407" s="271">
        <v>28000.0</v>
      </c>
      <c r="K407" s="272">
        <f t="shared" si="2"/>
        <v>0</v>
      </c>
      <c r="L407" s="273"/>
      <c r="M407" s="273"/>
      <c r="N407" s="273"/>
    </row>
    <row r="408" ht="26.25" customHeight="1">
      <c r="A408" s="274"/>
      <c r="B408" s="264">
        <v>45740.0</v>
      </c>
      <c r="C408" s="265" t="s">
        <v>995</v>
      </c>
      <c r="D408" s="266" t="s">
        <v>1029</v>
      </c>
      <c r="E408" s="267" t="s">
        <v>1502</v>
      </c>
      <c r="F408" s="268"/>
      <c r="G408" s="269">
        <v>10000.0</v>
      </c>
      <c r="H408" s="270">
        <v>0.0</v>
      </c>
      <c r="I408" s="269">
        <v>10000.0</v>
      </c>
      <c r="J408" s="271">
        <v>10000.0</v>
      </c>
      <c r="K408" s="272">
        <f t="shared" si="2"/>
        <v>0</v>
      </c>
      <c r="L408" s="273"/>
      <c r="M408" s="273"/>
      <c r="N408" s="273"/>
    </row>
    <row r="409" ht="26.25" customHeight="1">
      <c r="A409" s="274"/>
      <c r="B409" s="264">
        <v>45741.0</v>
      </c>
      <c r="C409" s="265" t="s">
        <v>974</v>
      </c>
      <c r="D409" s="266" t="s">
        <v>1029</v>
      </c>
      <c r="E409" s="283" t="s">
        <v>1503</v>
      </c>
      <c r="F409" s="289"/>
      <c r="G409" s="269">
        <v>75000.0</v>
      </c>
      <c r="H409" s="270">
        <v>0.0</v>
      </c>
      <c r="I409" s="269">
        <v>75000.0</v>
      </c>
      <c r="J409" s="271">
        <v>75000.0</v>
      </c>
      <c r="K409" s="272">
        <f t="shared" si="2"/>
        <v>0</v>
      </c>
      <c r="L409" s="290"/>
      <c r="M409" s="290"/>
      <c r="N409" s="290"/>
    </row>
    <row r="410" ht="26.25" customHeight="1">
      <c r="A410" s="277" t="s">
        <v>1504</v>
      </c>
      <c r="B410" s="264">
        <v>45741.0</v>
      </c>
      <c r="C410" s="265" t="s">
        <v>965</v>
      </c>
      <c r="D410" s="285" t="s">
        <v>1505</v>
      </c>
      <c r="E410" s="283" t="s">
        <v>1506</v>
      </c>
      <c r="F410" s="268"/>
      <c r="G410" s="269">
        <v>40000.0</v>
      </c>
      <c r="H410" s="270">
        <v>0.0</v>
      </c>
      <c r="I410" s="269">
        <v>40000.0</v>
      </c>
      <c r="J410" s="271">
        <v>40000.0</v>
      </c>
      <c r="K410" s="272">
        <f t="shared" si="2"/>
        <v>0</v>
      </c>
      <c r="L410" s="273"/>
      <c r="M410" s="273"/>
      <c r="N410" s="273"/>
    </row>
    <row r="411" ht="26.25" customHeight="1">
      <c r="A411" s="277" t="s">
        <v>1507</v>
      </c>
      <c r="B411" s="264">
        <v>45741.0</v>
      </c>
      <c r="C411" s="284" t="s">
        <v>965</v>
      </c>
      <c r="D411" s="266" t="s">
        <v>1508</v>
      </c>
      <c r="E411" s="267" t="s">
        <v>1509</v>
      </c>
      <c r="F411" s="268"/>
      <c r="G411" s="269">
        <v>30000.0</v>
      </c>
      <c r="H411" s="270">
        <v>0.0</v>
      </c>
      <c r="I411" s="269">
        <v>30000.0</v>
      </c>
      <c r="J411" s="271">
        <v>30000.0</v>
      </c>
      <c r="K411" s="272">
        <f t="shared" si="2"/>
        <v>0</v>
      </c>
      <c r="L411" s="273"/>
      <c r="M411" s="273"/>
      <c r="N411" s="273"/>
    </row>
    <row r="412" ht="26.25" customHeight="1">
      <c r="A412" s="281" t="s">
        <v>1510</v>
      </c>
      <c r="B412" s="264">
        <v>45742.0</v>
      </c>
      <c r="C412" s="284" t="s">
        <v>957</v>
      </c>
      <c r="D412" s="266" t="s">
        <v>1511</v>
      </c>
      <c r="E412" s="267" t="s">
        <v>1512</v>
      </c>
      <c r="F412" s="268"/>
      <c r="G412" s="269">
        <v>40000.0</v>
      </c>
      <c r="H412" s="270">
        <v>0.0</v>
      </c>
      <c r="I412" s="269">
        <v>40000.0</v>
      </c>
      <c r="J412" s="271">
        <v>40000.0</v>
      </c>
      <c r="K412" s="272">
        <f t="shared" si="2"/>
        <v>0</v>
      </c>
      <c r="L412" s="273"/>
      <c r="M412" s="273"/>
      <c r="N412" s="273"/>
    </row>
    <row r="413" ht="26.25" customHeight="1">
      <c r="A413" s="281" t="s">
        <v>1513</v>
      </c>
      <c r="B413" s="264">
        <v>45743.0</v>
      </c>
      <c r="C413" s="265" t="s">
        <v>965</v>
      </c>
      <c r="D413" s="266" t="s">
        <v>980</v>
      </c>
      <c r="E413" s="283" t="s">
        <v>1514</v>
      </c>
      <c r="F413" s="268"/>
      <c r="G413" s="269">
        <v>290000.0</v>
      </c>
      <c r="H413" s="270">
        <v>0.0</v>
      </c>
      <c r="I413" s="269">
        <v>290000.0</v>
      </c>
      <c r="J413" s="271">
        <v>290000.0</v>
      </c>
      <c r="K413" s="272">
        <f t="shared" si="2"/>
        <v>0</v>
      </c>
      <c r="L413" s="273"/>
      <c r="M413" s="273"/>
      <c r="N413" s="273"/>
    </row>
    <row r="414" ht="26.25" customHeight="1">
      <c r="A414" s="281" t="s">
        <v>1515</v>
      </c>
      <c r="B414" s="264">
        <v>45743.0</v>
      </c>
      <c r="C414" s="265" t="s">
        <v>965</v>
      </c>
      <c r="D414" s="266" t="s">
        <v>1516</v>
      </c>
      <c r="E414" s="283" t="s">
        <v>1517</v>
      </c>
      <c r="F414" s="268"/>
      <c r="G414" s="269">
        <v>40000.0</v>
      </c>
      <c r="H414" s="270">
        <v>0.0</v>
      </c>
      <c r="I414" s="269">
        <v>40000.0</v>
      </c>
      <c r="J414" s="271">
        <v>40000.0</v>
      </c>
      <c r="K414" s="272">
        <f t="shared" si="2"/>
        <v>0</v>
      </c>
      <c r="L414" s="273"/>
      <c r="M414" s="273"/>
      <c r="N414" s="273"/>
    </row>
    <row r="415" ht="26.25" customHeight="1">
      <c r="A415" s="273"/>
      <c r="B415" s="264">
        <v>45743.0</v>
      </c>
      <c r="C415" s="265" t="s">
        <v>985</v>
      </c>
      <c r="D415" s="266" t="s">
        <v>824</v>
      </c>
      <c r="E415" s="283" t="s">
        <v>1518</v>
      </c>
      <c r="F415" s="268"/>
      <c r="G415" s="269">
        <v>8000.0</v>
      </c>
      <c r="H415" s="270">
        <v>0.0</v>
      </c>
      <c r="I415" s="269">
        <v>8000.0</v>
      </c>
      <c r="J415" s="271">
        <v>8000.0</v>
      </c>
      <c r="K415" s="272">
        <f t="shared" si="2"/>
        <v>0</v>
      </c>
      <c r="L415" s="273"/>
      <c r="M415" s="273"/>
      <c r="N415" s="273"/>
    </row>
    <row r="416" ht="26.25" customHeight="1">
      <c r="A416" s="273"/>
      <c r="B416" s="264">
        <v>45743.0</v>
      </c>
      <c r="C416" s="275" t="s">
        <v>960</v>
      </c>
      <c r="D416" s="266" t="s">
        <v>824</v>
      </c>
      <c r="E416" s="283" t="s">
        <v>1519</v>
      </c>
      <c r="F416" s="268"/>
      <c r="G416" s="269">
        <v>6000.0</v>
      </c>
      <c r="H416" s="270">
        <v>0.0</v>
      </c>
      <c r="I416" s="269">
        <v>6000.0</v>
      </c>
      <c r="J416" s="271">
        <v>6000.0</v>
      </c>
      <c r="K416" s="272">
        <f t="shared" si="2"/>
        <v>0</v>
      </c>
      <c r="L416" s="273"/>
      <c r="M416" s="273"/>
      <c r="N416" s="273"/>
    </row>
    <row r="417" ht="26.25" customHeight="1">
      <c r="A417" s="281" t="s">
        <v>1520</v>
      </c>
      <c r="B417" s="264">
        <v>45746.0</v>
      </c>
      <c r="C417" s="265" t="s">
        <v>957</v>
      </c>
      <c r="D417" s="266" t="s">
        <v>31</v>
      </c>
      <c r="E417" s="283" t="s">
        <v>1521</v>
      </c>
      <c r="F417" s="268"/>
      <c r="G417" s="269">
        <v>365000.0</v>
      </c>
      <c r="H417" s="270">
        <v>0.0</v>
      </c>
      <c r="I417" s="269">
        <v>365000.0</v>
      </c>
      <c r="J417" s="271">
        <v>365000.0</v>
      </c>
      <c r="K417" s="272">
        <f t="shared" si="2"/>
        <v>0</v>
      </c>
      <c r="L417" s="273"/>
      <c r="M417" s="273"/>
      <c r="N417" s="273"/>
    </row>
    <row r="418" ht="26.25" customHeight="1">
      <c r="A418" s="277" t="s">
        <v>1522</v>
      </c>
      <c r="B418" s="264">
        <v>45746.0</v>
      </c>
      <c r="C418" s="265" t="s">
        <v>965</v>
      </c>
      <c r="D418" s="266" t="s">
        <v>1381</v>
      </c>
      <c r="E418" s="283" t="s">
        <v>1523</v>
      </c>
      <c r="F418" s="268"/>
      <c r="G418" s="269">
        <v>130000.0</v>
      </c>
      <c r="H418" s="270">
        <v>0.0</v>
      </c>
      <c r="I418" s="269">
        <v>130000.0</v>
      </c>
      <c r="J418" s="271">
        <v>130000.0</v>
      </c>
      <c r="K418" s="272">
        <f t="shared" si="2"/>
        <v>0</v>
      </c>
      <c r="L418" s="273"/>
      <c r="M418" s="273"/>
      <c r="N418" s="273"/>
    </row>
    <row r="419" ht="26.25" customHeight="1">
      <c r="A419" s="277" t="s">
        <v>1524</v>
      </c>
      <c r="B419" s="264">
        <v>45746.0</v>
      </c>
      <c r="C419" s="265" t="s">
        <v>974</v>
      </c>
      <c r="D419" s="266" t="s">
        <v>1525</v>
      </c>
      <c r="E419" s="283" t="s">
        <v>1526</v>
      </c>
      <c r="F419" s="268"/>
      <c r="G419" s="269">
        <v>50000.0</v>
      </c>
      <c r="H419" s="270">
        <v>0.0</v>
      </c>
      <c r="I419" s="269">
        <v>50000.0</v>
      </c>
      <c r="J419" s="271">
        <v>50000.0</v>
      </c>
      <c r="K419" s="272">
        <f t="shared" si="2"/>
        <v>0</v>
      </c>
      <c r="L419" s="273"/>
      <c r="M419" s="273"/>
      <c r="N419" s="273"/>
    </row>
    <row r="420" ht="26.25" customHeight="1">
      <c r="A420" s="281" t="s">
        <v>1527</v>
      </c>
      <c r="B420" s="264">
        <v>45746.0</v>
      </c>
      <c r="C420" s="265" t="s">
        <v>957</v>
      </c>
      <c r="D420" s="266" t="s">
        <v>1528</v>
      </c>
      <c r="E420" s="292" t="s">
        <v>1529</v>
      </c>
      <c r="F420" s="268"/>
      <c r="G420" s="269">
        <v>12000.0</v>
      </c>
      <c r="H420" s="270">
        <v>0.0</v>
      </c>
      <c r="I420" s="269">
        <v>12000.0</v>
      </c>
      <c r="J420" s="271">
        <v>12000.0</v>
      </c>
      <c r="K420" s="272">
        <f t="shared" si="2"/>
        <v>0</v>
      </c>
      <c r="L420" s="273"/>
      <c r="M420" s="273"/>
      <c r="N420" s="273"/>
    </row>
    <row r="421" ht="26.25" customHeight="1">
      <c r="A421" s="273"/>
      <c r="B421" s="264">
        <v>45748.0</v>
      </c>
      <c r="C421" s="265" t="s">
        <v>974</v>
      </c>
      <c r="D421" s="266" t="s">
        <v>1511</v>
      </c>
      <c r="E421" s="283" t="s">
        <v>1530</v>
      </c>
      <c r="F421" s="268"/>
      <c r="G421" s="269">
        <v>7000.0</v>
      </c>
      <c r="H421" s="270">
        <v>0.0</v>
      </c>
      <c r="I421" s="269">
        <v>7000.0</v>
      </c>
      <c r="J421" s="271">
        <v>7000.0</v>
      </c>
      <c r="K421" s="272">
        <f t="shared" si="2"/>
        <v>0</v>
      </c>
      <c r="L421" s="273"/>
      <c r="M421" s="273"/>
      <c r="N421" s="273"/>
    </row>
    <row r="422" ht="26.25" customHeight="1">
      <c r="A422" s="281" t="s">
        <v>1531</v>
      </c>
      <c r="B422" s="264">
        <v>45749.0</v>
      </c>
      <c r="C422" s="265" t="s">
        <v>960</v>
      </c>
      <c r="D422" s="266" t="s">
        <v>1532</v>
      </c>
      <c r="E422" s="283" t="s">
        <v>1533</v>
      </c>
      <c r="F422" s="268"/>
      <c r="G422" s="269">
        <v>160000.0</v>
      </c>
      <c r="H422" s="270">
        <v>0.0</v>
      </c>
      <c r="I422" s="269">
        <v>160000.0</v>
      </c>
      <c r="J422" s="271">
        <v>160000.0</v>
      </c>
      <c r="K422" s="272">
        <f t="shared" si="2"/>
        <v>0</v>
      </c>
      <c r="L422" s="273"/>
      <c r="M422" s="273"/>
      <c r="N422" s="273"/>
    </row>
    <row r="423" ht="26.25" customHeight="1">
      <c r="A423" s="281" t="s">
        <v>1534</v>
      </c>
      <c r="B423" s="264">
        <v>45750.0</v>
      </c>
      <c r="C423" s="275" t="s">
        <v>965</v>
      </c>
      <c r="D423" s="266" t="s">
        <v>1535</v>
      </c>
      <c r="E423" s="283" t="s">
        <v>1536</v>
      </c>
      <c r="F423" s="268"/>
      <c r="G423" s="269">
        <v>210000.0</v>
      </c>
      <c r="H423" s="270">
        <v>0.0</v>
      </c>
      <c r="I423" s="269">
        <v>210000.0</v>
      </c>
      <c r="J423" s="271">
        <v>210000.0</v>
      </c>
      <c r="K423" s="272">
        <f t="shared" si="2"/>
        <v>0</v>
      </c>
      <c r="L423" s="273"/>
      <c r="M423" s="273"/>
      <c r="N423" s="273"/>
    </row>
    <row r="424" ht="26.25" customHeight="1">
      <c r="A424" s="281" t="s">
        <v>1537</v>
      </c>
      <c r="B424" s="264">
        <v>45750.0</v>
      </c>
      <c r="C424" s="275" t="s">
        <v>965</v>
      </c>
      <c r="D424" s="266" t="s">
        <v>1525</v>
      </c>
      <c r="E424" s="283" t="s">
        <v>1538</v>
      </c>
      <c r="F424" s="268"/>
      <c r="G424" s="269">
        <v>204000.0</v>
      </c>
      <c r="H424" s="270">
        <v>0.0</v>
      </c>
      <c r="I424" s="269">
        <v>204000.0</v>
      </c>
      <c r="J424" s="271">
        <v>204000.0</v>
      </c>
      <c r="K424" s="272">
        <f t="shared" si="2"/>
        <v>0</v>
      </c>
      <c r="L424" s="273"/>
      <c r="M424" s="273"/>
      <c r="N424" s="273"/>
    </row>
    <row r="425" ht="26.25" customHeight="1">
      <c r="A425" s="274"/>
      <c r="B425" s="264">
        <v>45750.0</v>
      </c>
      <c r="C425" s="265" t="s">
        <v>974</v>
      </c>
      <c r="D425" s="266" t="s">
        <v>57</v>
      </c>
      <c r="E425" s="283" t="s">
        <v>1539</v>
      </c>
      <c r="F425" s="268"/>
      <c r="G425" s="269">
        <v>77000.0</v>
      </c>
      <c r="H425" s="270">
        <v>0.0</v>
      </c>
      <c r="I425" s="269">
        <v>77000.0</v>
      </c>
      <c r="J425" s="271">
        <v>77000.0</v>
      </c>
      <c r="K425" s="272">
        <f t="shared" si="2"/>
        <v>0</v>
      </c>
      <c r="L425" s="273"/>
      <c r="M425" s="273"/>
      <c r="N425" s="273"/>
    </row>
    <row r="426" ht="26.25" customHeight="1">
      <c r="A426" s="273"/>
      <c r="B426" s="264">
        <v>45750.0</v>
      </c>
      <c r="C426" s="265" t="s">
        <v>995</v>
      </c>
      <c r="D426" s="266" t="s">
        <v>930</v>
      </c>
      <c r="E426" s="283" t="s">
        <v>1540</v>
      </c>
      <c r="F426" s="268"/>
      <c r="G426" s="269">
        <v>25000.0</v>
      </c>
      <c r="H426" s="270">
        <v>0.0</v>
      </c>
      <c r="I426" s="269">
        <v>25000.0</v>
      </c>
      <c r="J426" s="271">
        <v>25000.0</v>
      </c>
      <c r="K426" s="272">
        <f t="shared" si="2"/>
        <v>0</v>
      </c>
      <c r="L426" s="273"/>
      <c r="M426" s="273"/>
      <c r="N426" s="273"/>
    </row>
    <row r="427" ht="26.25" customHeight="1">
      <c r="A427" s="274"/>
      <c r="B427" s="264">
        <v>45750.0</v>
      </c>
      <c r="C427" s="265" t="s">
        <v>995</v>
      </c>
      <c r="D427" s="266" t="s">
        <v>237</v>
      </c>
      <c r="E427" s="283" t="s">
        <v>1541</v>
      </c>
      <c r="F427" s="268"/>
      <c r="G427" s="269">
        <v>5000.0</v>
      </c>
      <c r="H427" s="270">
        <v>0.0</v>
      </c>
      <c r="I427" s="269">
        <v>5000.0</v>
      </c>
      <c r="J427" s="271">
        <v>5000.0</v>
      </c>
      <c r="K427" s="272">
        <f t="shared" si="2"/>
        <v>0</v>
      </c>
      <c r="L427" s="273"/>
      <c r="M427" s="273"/>
      <c r="N427" s="273"/>
    </row>
    <row r="428" ht="26.25" customHeight="1">
      <c r="A428" s="273"/>
      <c r="B428" s="264">
        <v>45751.0</v>
      </c>
      <c r="C428" s="265" t="s">
        <v>1057</v>
      </c>
      <c r="D428" s="266" t="s">
        <v>1204</v>
      </c>
      <c r="E428" s="283" t="s">
        <v>1542</v>
      </c>
      <c r="F428" s="268"/>
      <c r="G428" s="269">
        <v>925000.0</v>
      </c>
      <c r="H428" s="270">
        <v>0.0</v>
      </c>
      <c r="I428" s="269">
        <v>925000.0</v>
      </c>
      <c r="J428" s="271">
        <v>925000.0</v>
      </c>
      <c r="K428" s="272">
        <f t="shared" si="2"/>
        <v>0</v>
      </c>
      <c r="L428" s="273"/>
      <c r="M428" s="273"/>
      <c r="N428" s="273"/>
    </row>
    <row r="429" ht="26.25" customHeight="1">
      <c r="A429" s="274"/>
      <c r="B429" s="264">
        <v>45751.0</v>
      </c>
      <c r="C429" s="275" t="s">
        <v>960</v>
      </c>
      <c r="D429" s="266" t="s">
        <v>57</v>
      </c>
      <c r="E429" s="283" t="s">
        <v>1543</v>
      </c>
      <c r="F429" s="268"/>
      <c r="G429" s="269">
        <v>15000.0</v>
      </c>
      <c r="H429" s="270">
        <v>0.0</v>
      </c>
      <c r="I429" s="269">
        <v>15000.0</v>
      </c>
      <c r="J429" s="271">
        <v>15000.0</v>
      </c>
      <c r="K429" s="272">
        <f t="shared" si="2"/>
        <v>0</v>
      </c>
      <c r="L429" s="273"/>
      <c r="M429" s="273"/>
      <c r="N429" s="273"/>
    </row>
    <row r="430" ht="26.25" customHeight="1">
      <c r="A430" s="274"/>
      <c r="B430" s="264">
        <v>45751.0</v>
      </c>
      <c r="C430" s="275" t="s">
        <v>974</v>
      </c>
      <c r="D430" s="266" t="s">
        <v>1029</v>
      </c>
      <c r="E430" s="283" t="s">
        <v>1544</v>
      </c>
      <c r="F430" s="268"/>
      <c r="G430" s="269">
        <v>10000.0</v>
      </c>
      <c r="H430" s="270">
        <v>0.0</v>
      </c>
      <c r="I430" s="269">
        <v>10000.0</v>
      </c>
      <c r="J430" s="271">
        <v>10000.0</v>
      </c>
      <c r="K430" s="272">
        <f t="shared" si="2"/>
        <v>0</v>
      </c>
      <c r="L430" s="273"/>
      <c r="M430" s="273"/>
      <c r="N430" s="273"/>
    </row>
    <row r="431" ht="26.25" customHeight="1">
      <c r="A431" s="273"/>
      <c r="B431" s="264">
        <v>45751.0</v>
      </c>
      <c r="C431" s="275" t="s">
        <v>995</v>
      </c>
      <c r="D431" s="266" t="s">
        <v>57</v>
      </c>
      <c r="E431" s="283" t="s">
        <v>1545</v>
      </c>
      <c r="F431" s="268"/>
      <c r="G431" s="269">
        <v>3000.0</v>
      </c>
      <c r="H431" s="270">
        <v>0.0</v>
      </c>
      <c r="I431" s="269">
        <v>3000.0</v>
      </c>
      <c r="J431" s="271">
        <v>3000.0</v>
      </c>
      <c r="K431" s="272">
        <f t="shared" si="2"/>
        <v>0</v>
      </c>
      <c r="L431" s="273"/>
      <c r="M431" s="273"/>
      <c r="N431" s="273"/>
    </row>
    <row r="432" ht="26.25" customHeight="1">
      <c r="A432" s="273"/>
      <c r="B432" s="264">
        <v>45752.0</v>
      </c>
      <c r="C432" s="265" t="s">
        <v>957</v>
      </c>
      <c r="D432" s="266" t="s">
        <v>31</v>
      </c>
      <c r="E432" s="283" t="s">
        <v>1546</v>
      </c>
      <c r="F432" s="268"/>
      <c r="G432" s="269">
        <v>2289000.0</v>
      </c>
      <c r="H432" s="270">
        <v>0.0</v>
      </c>
      <c r="I432" s="269">
        <v>2289000.0</v>
      </c>
      <c r="J432" s="271">
        <v>2289000.0</v>
      </c>
      <c r="K432" s="272">
        <f t="shared" si="2"/>
        <v>0</v>
      </c>
      <c r="L432" s="273"/>
      <c r="M432" s="273"/>
      <c r="N432" s="273"/>
    </row>
    <row r="433" ht="26.25" customHeight="1">
      <c r="A433" s="274"/>
      <c r="B433" s="264">
        <v>45752.0</v>
      </c>
      <c r="C433" s="265" t="s">
        <v>1057</v>
      </c>
      <c r="D433" s="266" t="s">
        <v>1204</v>
      </c>
      <c r="E433" s="283" t="s">
        <v>1547</v>
      </c>
      <c r="F433" s="268"/>
      <c r="G433" s="269">
        <v>605000.0</v>
      </c>
      <c r="H433" s="270">
        <v>0.0</v>
      </c>
      <c r="I433" s="269">
        <v>605000.0</v>
      </c>
      <c r="J433" s="271">
        <v>605000.0</v>
      </c>
      <c r="K433" s="272">
        <f t="shared" si="2"/>
        <v>0</v>
      </c>
      <c r="L433" s="273"/>
      <c r="M433" s="273"/>
      <c r="N433" s="273"/>
    </row>
    <row r="434" ht="26.25" customHeight="1">
      <c r="A434" s="277" t="s">
        <v>1548</v>
      </c>
      <c r="B434" s="264">
        <v>45752.0</v>
      </c>
      <c r="C434" s="265" t="s">
        <v>965</v>
      </c>
      <c r="D434" s="266" t="s">
        <v>938</v>
      </c>
      <c r="E434" s="283" t="s">
        <v>938</v>
      </c>
      <c r="F434" s="268"/>
      <c r="G434" s="269">
        <v>32000.0</v>
      </c>
      <c r="H434" s="270">
        <v>0.0</v>
      </c>
      <c r="I434" s="269">
        <v>32000.0</v>
      </c>
      <c r="J434" s="271">
        <v>32000.0</v>
      </c>
      <c r="K434" s="272">
        <f t="shared" si="2"/>
        <v>0</v>
      </c>
      <c r="L434" s="273"/>
      <c r="M434" s="273"/>
      <c r="N434" s="273"/>
    </row>
    <row r="435" ht="26.25" customHeight="1">
      <c r="A435" s="281" t="s">
        <v>1549</v>
      </c>
      <c r="B435" s="264">
        <v>45752.0</v>
      </c>
      <c r="C435" s="265" t="s">
        <v>972</v>
      </c>
      <c r="D435" s="266" t="s">
        <v>1323</v>
      </c>
      <c r="E435" s="283" t="s">
        <v>1550</v>
      </c>
      <c r="F435" s="268"/>
      <c r="G435" s="269">
        <v>25000.0</v>
      </c>
      <c r="H435" s="270">
        <v>0.0</v>
      </c>
      <c r="I435" s="269">
        <v>25000.0</v>
      </c>
      <c r="J435" s="271">
        <v>25000.0</v>
      </c>
      <c r="K435" s="272">
        <f t="shared" si="2"/>
        <v>0</v>
      </c>
      <c r="L435" s="273"/>
      <c r="M435" s="273"/>
      <c r="N435" s="273"/>
    </row>
    <row r="436" ht="26.25" customHeight="1">
      <c r="A436" s="274"/>
      <c r="B436" s="264">
        <v>45752.0</v>
      </c>
      <c r="C436" s="265" t="s">
        <v>974</v>
      </c>
      <c r="D436" s="266" t="s">
        <v>704</v>
      </c>
      <c r="E436" s="283" t="s">
        <v>1484</v>
      </c>
      <c r="F436" s="268"/>
      <c r="G436" s="269">
        <v>10000.0</v>
      </c>
      <c r="H436" s="270">
        <v>0.0</v>
      </c>
      <c r="I436" s="269">
        <v>10000.0</v>
      </c>
      <c r="J436" s="271">
        <v>10000.0</v>
      </c>
      <c r="K436" s="272">
        <f t="shared" si="2"/>
        <v>0</v>
      </c>
      <c r="L436" s="273"/>
      <c r="M436" s="273"/>
      <c r="N436" s="273"/>
    </row>
    <row r="437" ht="26.25" customHeight="1">
      <c r="A437" s="274"/>
      <c r="B437" s="264">
        <v>45752.0</v>
      </c>
      <c r="C437" s="265" t="s">
        <v>974</v>
      </c>
      <c r="D437" s="266" t="s">
        <v>938</v>
      </c>
      <c r="E437" s="283" t="s">
        <v>1318</v>
      </c>
      <c r="F437" s="268"/>
      <c r="G437" s="269">
        <v>5000.0</v>
      </c>
      <c r="H437" s="270">
        <v>0.0</v>
      </c>
      <c r="I437" s="269">
        <v>5000.0</v>
      </c>
      <c r="J437" s="271">
        <v>5000.0</v>
      </c>
      <c r="K437" s="272">
        <f t="shared" si="2"/>
        <v>0</v>
      </c>
      <c r="L437" s="273"/>
      <c r="M437" s="273"/>
      <c r="N437" s="273"/>
    </row>
    <row r="438" ht="26.25" customHeight="1">
      <c r="A438" s="277" t="s">
        <v>1551</v>
      </c>
      <c r="B438" s="264">
        <v>45753.0</v>
      </c>
      <c r="C438" s="265" t="s">
        <v>965</v>
      </c>
      <c r="D438" s="266" t="s">
        <v>938</v>
      </c>
      <c r="E438" s="283" t="s">
        <v>938</v>
      </c>
      <c r="F438" s="268"/>
      <c r="G438" s="269">
        <v>781000.0</v>
      </c>
      <c r="H438" s="270">
        <v>0.0</v>
      </c>
      <c r="I438" s="269">
        <v>781000.0</v>
      </c>
      <c r="J438" s="271">
        <v>781000.0</v>
      </c>
      <c r="K438" s="272">
        <f t="shared" si="2"/>
        <v>0</v>
      </c>
      <c r="L438" s="273"/>
      <c r="M438" s="273"/>
      <c r="N438" s="273"/>
    </row>
    <row r="439" ht="26.25" customHeight="1">
      <c r="A439" s="273"/>
      <c r="B439" s="264">
        <v>45753.0</v>
      </c>
      <c r="C439" s="275" t="s">
        <v>974</v>
      </c>
      <c r="D439" s="266" t="s">
        <v>57</v>
      </c>
      <c r="E439" s="283" t="s">
        <v>1552</v>
      </c>
      <c r="F439" s="268"/>
      <c r="G439" s="269">
        <v>375000.0</v>
      </c>
      <c r="H439" s="293">
        <v>0.0</v>
      </c>
      <c r="I439" s="269">
        <v>375000.0</v>
      </c>
      <c r="J439" s="271">
        <v>375000.0</v>
      </c>
      <c r="K439" s="272">
        <f t="shared" si="2"/>
        <v>0</v>
      </c>
      <c r="L439" s="273"/>
      <c r="M439" s="273"/>
      <c r="N439" s="273"/>
    </row>
    <row r="440" ht="26.25" customHeight="1">
      <c r="A440" s="277" t="s">
        <v>1553</v>
      </c>
      <c r="B440" s="264">
        <v>45753.0</v>
      </c>
      <c r="C440" s="265" t="s">
        <v>960</v>
      </c>
      <c r="D440" s="266" t="s">
        <v>1554</v>
      </c>
      <c r="E440" s="283" t="s">
        <v>1555</v>
      </c>
      <c r="F440" s="268"/>
      <c r="G440" s="269">
        <v>150000.0</v>
      </c>
      <c r="H440" s="270">
        <v>0.0</v>
      </c>
      <c r="I440" s="269">
        <v>150000.0</v>
      </c>
      <c r="J440" s="271">
        <v>150000.0</v>
      </c>
      <c r="K440" s="272">
        <f t="shared" si="2"/>
        <v>0</v>
      </c>
      <c r="L440" s="273"/>
      <c r="M440" s="273"/>
      <c r="N440" s="273"/>
    </row>
    <row r="441" ht="26.25" customHeight="1">
      <c r="A441" s="277" t="s">
        <v>1556</v>
      </c>
      <c r="B441" s="264">
        <v>45753.0</v>
      </c>
      <c r="C441" s="265" t="s">
        <v>960</v>
      </c>
      <c r="D441" s="266" t="s">
        <v>1557</v>
      </c>
      <c r="E441" s="283" t="s">
        <v>1558</v>
      </c>
      <c r="F441" s="268"/>
      <c r="G441" s="269">
        <v>25000.0</v>
      </c>
      <c r="H441" s="270">
        <v>0.0</v>
      </c>
      <c r="I441" s="269">
        <v>25000.0</v>
      </c>
      <c r="J441" s="271">
        <v>25000.0</v>
      </c>
      <c r="K441" s="272">
        <f t="shared" si="2"/>
        <v>0</v>
      </c>
      <c r="L441" s="273"/>
      <c r="M441" s="273"/>
      <c r="N441" s="273"/>
    </row>
    <row r="442" ht="26.25" customHeight="1">
      <c r="A442" s="281" t="s">
        <v>1559</v>
      </c>
      <c r="B442" s="264">
        <v>45753.0</v>
      </c>
      <c r="C442" s="265" t="s">
        <v>965</v>
      </c>
      <c r="D442" s="266" t="s">
        <v>1554</v>
      </c>
      <c r="E442" s="283" t="s">
        <v>1560</v>
      </c>
      <c r="F442" s="268"/>
      <c r="G442" s="269">
        <v>24000.0</v>
      </c>
      <c r="H442" s="270">
        <v>0.0</v>
      </c>
      <c r="I442" s="269">
        <v>24000.0</v>
      </c>
      <c r="J442" s="271">
        <v>24000.0</v>
      </c>
      <c r="K442" s="272">
        <f t="shared" si="2"/>
        <v>0</v>
      </c>
      <c r="L442" s="273"/>
      <c r="M442" s="273"/>
      <c r="N442" s="273"/>
    </row>
    <row r="443" ht="26.25" customHeight="1">
      <c r="A443" s="273"/>
      <c r="B443" s="264">
        <v>45753.0</v>
      </c>
      <c r="C443" s="265" t="s">
        <v>974</v>
      </c>
      <c r="D443" s="266" t="s">
        <v>1340</v>
      </c>
      <c r="E443" s="283" t="s">
        <v>1561</v>
      </c>
      <c r="F443" s="268"/>
      <c r="G443" s="269">
        <v>10000.0</v>
      </c>
      <c r="H443" s="270">
        <v>0.0</v>
      </c>
      <c r="I443" s="269">
        <v>10000.0</v>
      </c>
      <c r="J443" s="271">
        <v>10000.0</v>
      </c>
      <c r="K443" s="272">
        <f t="shared" si="2"/>
        <v>0</v>
      </c>
      <c r="L443" s="273"/>
      <c r="M443" s="273"/>
      <c r="N443" s="273"/>
    </row>
    <row r="444" ht="26.25" customHeight="1">
      <c r="A444" s="274"/>
      <c r="B444" s="264">
        <v>45753.0</v>
      </c>
      <c r="C444" s="265" t="s">
        <v>960</v>
      </c>
      <c r="D444" s="266" t="s">
        <v>1340</v>
      </c>
      <c r="E444" s="283" t="s">
        <v>1562</v>
      </c>
      <c r="F444" s="268"/>
      <c r="G444" s="269">
        <v>5000.0</v>
      </c>
      <c r="H444" s="270">
        <v>0.0</v>
      </c>
      <c r="I444" s="269">
        <v>5000.0</v>
      </c>
      <c r="J444" s="271">
        <v>5000.0</v>
      </c>
      <c r="K444" s="272">
        <f t="shared" si="2"/>
        <v>0</v>
      </c>
      <c r="L444" s="273"/>
      <c r="M444" s="273"/>
      <c r="N444" s="273"/>
    </row>
    <row r="445" ht="26.25" customHeight="1">
      <c r="A445" s="274"/>
      <c r="B445" s="264">
        <v>45753.0</v>
      </c>
      <c r="C445" s="265" t="s">
        <v>974</v>
      </c>
      <c r="D445" s="266" t="s">
        <v>1340</v>
      </c>
      <c r="E445" s="283" t="s">
        <v>1563</v>
      </c>
      <c r="F445" s="268"/>
      <c r="G445" s="269">
        <v>3000.0</v>
      </c>
      <c r="H445" s="270">
        <v>0.0</v>
      </c>
      <c r="I445" s="269">
        <v>3000.0</v>
      </c>
      <c r="J445" s="271">
        <v>3000.0</v>
      </c>
      <c r="K445" s="272">
        <f t="shared" si="2"/>
        <v>0</v>
      </c>
      <c r="L445" s="273"/>
      <c r="M445" s="273"/>
      <c r="N445" s="273"/>
    </row>
    <row r="446" ht="26.25" customHeight="1">
      <c r="A446" s="277" t="s">
        <v>1564</v>
      </c>
      <c r="B446" s="264">
        <v>45754.0</v>
      </c>
      <c r="C446" s="265" t="s">
        <v>965</v>
      </c>
      <c r="D446" s="266" t="s">
        <v>57</v>
      </c>
      <c r="E446" s="283" t="s">
        <v>1565</v>
      </c>
      <c r="F446" s="268"/>
      <c r="G446" s="269">
        <v>255000.0</v>
      </c>
      <c r="H446" s="270">
        <v>0.0</v>
      </c>
      <c r="I446" s="269">
        <v>255000.0</v>
      </c>
      <c r="J446" s="271">
        <v>255000.0</v>
      </c>
      <c r="K446" s="272">
        <f t="shared" si="2"/>
        <v>0</v>
      </c>
      <c r="L446" s="273"/>
      <c r="M446" s="273"/>
      <c r="N446" s="273"/>
    </row>
    <row r="447" ht="26.25" customHeight="1">
      <c r="A447" s="277" t="s">
        <v>1566</v>
      </c>
      <c r="B447" s="264">
        <v>45754.0</v>
      </c>
      <c r="C447" s="265" t="s">
        <v>965</v>
      </c>
      <c r="D447" s="266" t="s">
        <v>1567</v>
      </c>
      <c r="E447" s="283" t="s">
        <v>1568</v>
      </c>
      <c r="F447" s="268"/>
      <c r="G447" s="269">
        <v>180000.0</v>
      </c>
      <c r="H447" s="270">
        <v>0.0</v>
      </c>
      <c r="I447" s="269">
        <v>180000.0</v>
      </c>
      <c r="J447" s="271">
        <v>180000.0</v>
      </c>
      <c r="K447" s="272">
        <f t="shared" si="2"/>
        <v>0</v>
      </c>
      <c r="L447" s="273"/>
      <c r="M447" s="273"/>
      <c r="N447" s="273"/>
    </row>
    <row r="448" ht="26.25" customHeight="1">
      <c r="A448" s="277" t="s">
        <v>1569</v>
      </c>
      <c r="B448" s="264">
        <v>45754.0</v>
      </c>
      <c r="C448" s="265" t="s">
        <v>965</v>
      </c>
      <c r="D448" s="266" t="s">
        <v>938</v>
      </c>
      <c r="E448" s="283" t="s">
        <v>980</v>
      </c>
      <c r="F448" s="289"/>
      <c r="G448" s="269">
        <v>165000.0</v>
      </c>
      <c r="H448" s="270">
        <v>0.0</v>
      </c>
      <c r="I448" s="269">
        <v>165000.0</v>
      </c>
      <c r="J448" s="271">
        <v>165000.0</v>
      </c>
      <c r="K448" s="272">
        <f t="shared" si="2"/>
        <v>0</v>
      </c>
      <c r="L448" s="290"/>
      <c r="M448" s="290"/>
      <c r="N448" s="290"/>
    </row>
    <row r="449" ht="26.25" customHeight="1">
      <c r="A449" s="277" t="s">
        <v>1570</v>
      </c>
      <c r="B449" s="264">
        <v>45754.0</v>
      </c>
      <c r="C449" s="265" t="s">
        <v>985</v>
      </c>
      <c r="D449" s="266" t="s">
        <v>1571</v>
      </c>
      <c r="E449" s="283" t="s">
        <v>1572</v>
      </c>
      <c r="F449" s="268"/>
      <c r="G449" s="269">
        <v>74000.0</v>
      </c>
      <c r="H449" s="270">
        <v>0.0</v>
      </c>
      <c r="I449" s="269">
        <v>74000.0</v>
      </c>
      <c r="J449" s="271">
        <v>74000.0</v>
      </c>
      <c r="K449" s="272">
        <f t="shared" si="2"/>
        <v>0</v>
      </c>
      <c r="L449" s="273"/>
      <c r="M449" s="273"/>
      <c r="N449" s="273"/>
    </row>
    <row r="450" ht="26.25" customHeight="1">
      <c r="A450" s="277" t="s">
        <v>1573</v>
      </c>
      <c r="B450" s="264">
        <v>45754.0</v>
      </c>
      <c r="C450" s="265" t="s">
        <v>965</v>
      </c>
      <c r="D450" s="266" t="s">
        <v>1340</v>
      </c>
      <c r="E450" s="283" t="s">
        <v>1574</v>
      </c>
      <c r="F450" s="268"/>
      <c r="G450" s="269">
        <v>49500.0</v>
      </c>
      <c r="H450" s="270">
        <v>0.0</v>
      </c>
      <c r="I450" s="269">
        <v>49500.0</v>
      </c>
      <c r="J450" s="271">
        <v>49500.0</v>
      </c>
      <c r="K450" s="272">
        <f t="shared" si="2"/>
        <v>0</v>
      </c>
      <c r="L450" s="273"/>
      <c r="M450" s="273"/>
      <c r="N450" s="273"/>
    </row>
    <row r="451" ht="26.25" customHeight="1">
      <c r="A451" s="277" t="s">
        <v>1575</v>
      </c>
      <c r="B451" s="264">
        <v>45754.0</v>
      </c>
      <c r="C451" s="265" t="s">
        <v>957</v>
      </c>
      <c r="D451" s="266" t="s">
        <v>1511</v>
      </c>
      <c r="E451" s="283" t="s">
        <v>1576</v>
      </c>
      <c r="F451" s="268"/>
      <c r="G451" s="269">
        <v>31000.0</v>
      </c>
      <c r="H451" s="270">
        <v>0.0</v>
      </c>
      <c r="I451" s="269">
        <v>31000.0</v>
      </c>
      <c r="J451" s="271">
        <v>31000.0</v>
      </c>
      <c r="K451" s="272">
        <f t="shared" si="2"/>
        <v>0</v>
      </c>
      <c r="L451" s="273"/>
      <c r="M451" s="273"/>
      <c r="N451" s="273"/>
    </row>
    <row r="452" ht="26.25" customHeight="1">
      <c r="A452" s="274"/>
      <c r="B452" s="264">
        <v>45754.0</v>
      </c>
      <c r="C452" s="275" t="s">
        <v>974</v>
      </c>
      <c r="D452" s="266" t="s">
        <v>1340</v>
      </c>
      <c r="E452" s="283" t="s">
        <v>1577</v>
      </c>
      <c r="F452" s="268"/>
      <c r="G452" s="269">
        <v>24000.0</v>
      </c>
      <c r="H452" s="270">
        <v>0.0</v>
      </c>
      <c r="I452" s="269">
        <v>24000.0</v>
      </c>
      <c r="J452" s="271">
        <v>24000.0</v>
      </c>
      <c r="K452" s="272">
        <f t="shared" si="2"/>
        <v>0</v>
      </c>
      <c r="L452" s="273"/>
      <c r="M452" s="273"/>
      <c r="N452" s="273"/>
    </row>
    <row r="453" ht="26.25" customHeight="1">
      <c r="A453" s="274"/>
      <c r="B453" s="264">
        <v>45754.0</v>
      </c>
      <c r="C453" s="275" t="s">
        <v>974</v>
      </c>
      <c r="D453" s="266" t="s">
        <v>1029</v>
      </c>
      <c r="E453" s="283" t="s">
        <v>1578</v>
      </c>
      <c r="F453" s="268"/>
      <c r="G453" s="269">
        <v>10000.0</v>
      </c>
      <c r="H453" s="270">
        <v>0.0</v>
      </c>
      <c r="I453" s="269">
        <v>10000.0</v>
      </c>
      <c r="J453" s="271">
        <v>10000.0</v>
      </c>
      <c r="K453" s="272">
        <f t="shared" si="2"/>
        <v>0</v>
      </c>
      <c r="L453" s="273"/>
      <c r="M453" s="273"/>
      <c r="N453" s="273"/>
    </row>
    <row r="454" ht="26.25" customHeight="1">
      <c r="A454" s="274"/>
      <c r="B454" s="264">
        <v>45754.0</v>
      </c>
      <c r="C454" s="275" t="s">
        <v>965</v>
      </c>
      <c r="D454" s="266" t="s">
        <v>1340</v>
      </c>
      <c r="E454" s="283" t="s">
        <v>1579</v>
      </c>
      <c r="F454" s="268"/>
      <c r="G454" s="269">
        <v>1500.0</v>
      </c>
      <c r="H454" s="270">
        <v>0.0</v>
      </c>
      <c r="I454" s="269">
        <v>1500.0</v>
      </c>
      <c r="J454" s="271">
        <v>1500.0</v>
      </c>
      <c r="K454" s="272">
        <f t="shared" si="2"/>
        <v>0</v>
      </c>
      <c r="L454" s="273"/>
      <c r="M454" s="273"/>
      <c r="N454" s="273"/>
    </row>
    <row r="455" ht="26.25" customHeight="1">
      <c r="A455" s="277" t="s">
        <v>1580</v>
      </c>
      <c r="B455" s="264">
        <v>45755.0</v>
      </c>
      <c r="C455" s="275" t="s">
        <v>957</v>
      </c>
      <c r="D455" s="266" t="s">
        <v>1581</v>
      </c>
      <c r="E455" s="283" t="s">
        <v>1582</v>
      </c>
      <c r="F455" s="268"/>
      <c r="G455" s="269">
        <v>728000.0</v>
      </c>
      <c r="H455" s="270">
        <v>0.0</v>
      </c>
      <c r="I455" s="269">
        <v>728000.0</v>
      </c>
      <c r="J455" s="271">
        <v>728000.0</v>
      </c>
      <c r="K455" s="272">
        <f t="shared" si="2"/>
        <v>0</v>
      </c>
      <c r="L455" s="273"/>
      <c r="M455" s="273"/>
      <c r="N455" s="273"/>
    </row>
    <row r="456" ht="26.25" customHeight="1">
      <c r="A456" s="274"/>
      <c r="B456" s="264">
        <v>45755.0</v>
      </c>
      <c r="C456" s="265" t="s">
        <v>1057</v>
      </c>
      <c r="D456" s="266" t="s">
        <v>1453</v>
      </c>
      <c r="E456" s="283" t="s">
        <v>1583</v>
      </c>
      <c r="F456" s="268"/>
      <c r="G456" s="269">
        <v>200000.0</v>
      </c>
      <c r="H456" s="293">
        <v>0.0</v>
      </c>
      <c r="I456" s="269">
        <v>200000.0</v>
      </c>
      <c r="J456" s="271">
        <v>200000.0</v>
      </c>
      <c r="K456" s="272">
        <f t="shared" si="2"/>
        <v>0</v>
      </c>
      <c r="L456" s="273"/>
      <c r="M456" s="273"/>
      <c r="N456" s="273"/>
    </row>
    <row r="457" ht="26.25" customHeight="1">
      <c r="A457" s="277" t="s">
        <v>1584</v>
      </c>
      <c r="B457" s="264">
        <v>45755.0</v>
      </c>
      <c r="C457" s="265" t="s">
        <v>965</v>
      </c>
      <c r="D457" s="266" t="s">
        <v>980</v>
      </c>
      <c r="E457" s="283" t="s">
        <v>938</v>
      </c>
      <c r="F457" s="289"/>
      <c r="G457" s="269">
        <v>128000.0</v>
      </c>
      <c r="H457" s="270">
        <v>0.0</v>
      </c>
      <c r="I457" s="269">
        <v>128000.0</v>
      </c>
      <c r="J457" s="271">
        <v>128000.0</v>
      </c>
      <c r="K457" s="272">
        <f t="shared" si="2"/>
        <v>0</v>
      </c>
      <c r="L457" s="290"/>
      <c r="M457" s="290"/>
      <c r="N457" s="290"/>
    </row>
    <row r="458" ht="26.25" customHeight="1">
      <c r="A458" s="277" t="s">
        <v>1585</v>
      </c>
      <c r="B458" s="264">
        <v>45755.0</v>
      </c>
      <c r="C458" s="265" t="s">
        <v>965</v>
      </c>
      <c r="D458" s="266" t="s">
        <v>1029</v>
      </c>
      <c r="E458" s="283" t="s">
        <v>1091</v>
      </c>
      <c r="F458" s="268"/>
      <c r="G458" s="269">
        <v>62000.0</v>
      </c>
      <c r="H458" s="270">
        <v>0.0</v>
      </c>
      <c r="I458" s="269">
        <v>62000.0</v>
      </c>
      <c r="J458" s="271">
        <v>62000.0</v>
      </c>
      <c r="K458" s="272">
        <f t="shared" si="2"/>
        <v>0</v>
      </c>
      <c r="L458" s="273"/>
      <c r="M458" s="273"/>
      <c r="N458" s="273"/>
    </row>
    <row r="459" ht="26.25" customHeight="1">
      <c r="A459" s="274"/>
      <c r="B459" s="264">
        <v>45755.0</v>
      </c>
      <c r="C459" s="265" t="s">
        <v>974</v>
      </c>
      <c r="D459" s="282"/>
      <c r="E459" s="283" t="s">
        <v>1586</v>
      </c>
      <c r="F459" s="268"/>
      <c r="G459" s="269">
        <v>10000.0</v>
      </c>
      <c r="H459" s="270">
        <v>0.0</v>
      </c>
      <c r="I459" s="269">
        <v>10000.0</v>
      </c>
      <c r="J459" s="271">
        <v>10000.0</v>
      </c>
      <c r="K459" s="272">
        <f t="shared" si="2"/>
        <v>0</v>
      </c>
      <c r="L459" s="273"/>
      <c r="M459" s="273"/>
      <c r="N459" s="273"/>
    </row>
    <row r="460" ht="26.25" customHeight="1">
      <c r="A460" s="277" t="s">
        <v>1587</v>
      </c>
      <c r="B460" s="264">
        <v>45756.0</v>
      </c>
      <c r="C460" s="265" t="s">
        <v>965</v>
      </c>
      <c r="D460" s="266" t="s">
        <v>980</v>
      </c>
      <c r="E460" s="283" t="s">
        <v>1514</v>
      </c>
      <c r="F460" s="268"/>
      <c r="G460" s="269">
        <v>500000.0</v>
      </c>
      <c r="H460" s="270">
        <v>0.0</v>
      </c>
      <c r="I460" s="269">
        <v>500000.0</v>
      </c>
      <c r="J460" s="271">
        <v>500000.0</v>
      </c>
      <c r="K460" s="272">
        <f t="shared" si="2"/>
        <v>0</v>
      </c>
      <c r="L460" s="273"/>
      <c r="M460" s="273"/>
      <c r="N460" s="273"/>
    </row>
    <row r="461" ht="26.25" customHeight="1">
      <c r="A461" s="290"/>
      <c r="B461" s="264">
        <v>45756.0</v>
      </c>
      <c r="C461" s="265" t="s">
        <v>1098</v>
      </c>
      <c r="D461" s="266" t="s">
        <v>1588</v>
      </c>
      <c r="E461" s="283" t="s">
        <v>1589</v>
      </c>
      <c r="F461" s="289"/>
      <c r="G461" s="269">
        <v>225000.0</v>
      </c>
      <c r="H461" s="270">
        <v>0.0</v>
      </c>
      <c r="I461" s="269">
        <v>225000.0</v>
      </c>
      <c r="J461" s="271">
        <v>225000.0</v>
      </c>
      <c r="K461" s="272">
        <f t="shared" si="2"/>
        <v>0</v>
      </c>
      <c r="L461" s="290"/>
      <c r="M461" s="290"/>
      <c r="N461" s="290"/>
    </row>
    <row r="462" ht="26.25" customHeight="1">
      <c r="A462" s="281" t="s">
        <v>1590</v>
      </c>
      <c r="B462" s="264">
        <v>45756.0</v>
      </c>
      <c r="C462" s="275" t="s">
        <v>965</v>
      </c>
      <c r="D462" s="266" t="s">
        <v>1038</v>
      </c>
      <c r="E462" s="283" t="s">
        <v>1591</v>
      </c>
      <c r="F462" s="268"/>
      <c r="G462" s="269">
        <v>50000.0</v>
      </c>
      <c r="H462" s="270">
        <v>0.0</v>
      </c>
      <c r="I462" s="269">
        <v>50000.0</v>
      </c>
      <c r="J462" s="271">
        <v>50000.0</v>
      </c>
      <c r="K462" s="272">
        <f t="shared" si="2"/>
        <v>0</v>
      </c>
      <c r="L462" s="273"/>
      <c r="M462" s="273"/>
      <c r="N462" s="273"/>
    </row>
    <row r="463" ht="26.25" customHeight="1">
      <c r="A463" s="274"/>
      <c r="B463" s="264">
        <v>45756.0</v>
      </c>
      <c r="C463" s="265" t="s">
        <v>960</v>
      </c>
      <c r="D463" s="266" t="s">
        <v>1571</v>
      </c>
      <c r="E463" s="283" t="s">
        <v>1592</v>
      </c>
      <c r="F463" s="289"/>
      <c r="G463" s="269">
        <v>15000.0</v>
      </c>
      <c r="H463" s="270">
        <v>0.0</v>
      </c>
      <c r="I463" s="269">
        <v>15000.0</v>
      </c>
      <c r="J463" s="271">
        <v>15000.0</v>
      </c>
      <c r="K463" s="272">
        <f t="shared" si="2"/>
        <v>0</v>
      </c>
      <c r="L463" s="290"/>
      <c r="M463" s="290"/>
      <c r="N463" s="290"/>
    </row>
    <row r="464" ht="26.25" customHeight="1">
      <c r="A464" s="290"/>
      <c r="B464" s="264">
        <v>45757.0</v>
      </c>
      <c r="C464" s="265" t="s">
        <v>1057</v>
      </c>
      <c r="D464" s="266" t="s">
        <v>1204</v>
      </c>
      <c r="E464" s="267" t="s">
        <v>1593</v>
      </c>
      <c r="F464" s="289"/>
      <c r="G464" s="269">
        <v>300000.0</v>
      </c>
      <c r="H464" s="270">
        <v>0.0</v>
      </c>
      <c r="I464" s="269">
        <v>300000.0</v>
      </c>
      <c r="J464" s="271">
        <v>300000.0</v>
      </c>
      <c r="K464" s="272">
        <f t="shared" si="2"/>
        <v>0</v>
      </c>
      <c r="L464" s="290"/>
      <c r="M464" s="290"/>
      <c r="N464" s="290"/>
    </row>
    <row r="465" ht="26.25" customHeight="1">
      <c r="A465" s="274"/>
      <c r="B465" s="264">
        <v>45757.0</v>
      </c>
      <c r="C465" s="265" t="s">
        <v>974</v>
      </c>
      <c r="D465" s="266" t="s">
        <v>1594</v>
      </c>
      <c r="E465" s="267" t="s">
        <v>1595</v>
      </c>
      <c r="F465" s="289"/>
      <c r="G465" s="269">
        <v>125000.0</v>
      </c>
      <c r="H465" s="270">
        <v>0.0</v>
      </c>
      <c r="I465" s="269">
        <v>125000.0</v>
      </c>
      <c r="J465" s="271">
        <v>125000.0</v>
      </c>
      <c r="K465" s="272">
        <f t="shared" si="2"/>
        <v>0</v>
      </c>
      <c r="L465" s="290"/>
      <c r="M465" s="290"/>
      <c r="N465" s="290"/>
    </row>
    <row r="466" ht="26.25" customHeight="1">
      <c r="A466" s="281" t="s">
        <v>1596</v>
      </c>
      <c r="B466" s="264">
        <v>45757.0</v>
      </c>
      <c r="C466" s="265" t="s">
        <v>965</v>
      </c>
      <c r="D466" s="266" t="s">
        <v>980</v>
      </c>
      <c r="E466" s="267" t="s">
        <v>1597</v>
      </c>
      <c r="F466" s="268"/>
      <c r="G466" s="269">
        <v>95000.0</v>
      </c>
      <c r="H466" s="270">
        <v>0.0</v>
      </c>
      <c r="I466" s="269">
        <v>95000.0</v>
      </c>
      <c r="J466" s="271">
        <v>95000.0</v>
      </c>
      <c r="K466" s="272">
        <f t="shared" si="2"/>
        <v>0</v>
      </c>
      <c r="L466" s="273"/>
      <c r="M466" s="273"/>
      <c r="N466" s="273"/>
    </row>
    <row r="467" ht="26.25" customHeight="1">
      <c r="A467" s="288" t="s">
        <v>1598</v>
      </c>
      <c r="B467" s="264">
        <v>45757.0</v>
      </c>
      <c r="C467" s="280"/>
      <c r="D467" s="266" t="s">
        <v>824</v>
      </c>
      <c r="E467" s="267" t="s">
        <v>1599</v>
      </c>
      <c r="F467" s="289"/>
      <c r="G467" s="269">
        <v>43000.0</v>
      </c>
      <c r="H467" s="270">
        <v>0.0</v>
      </c>
      <c r="I467" s="269">
        <v>43000.0</v>
      </c>
      <c r="J467" s="271">
        <v>43000.0</v>
      </c>
      <c r="K467" s="272">
        <f t="shared" si="2"/>
        <v>0</v>
      </c>
      <c r="L467" s="290"/>
      <c r="M467" s="290"/>
      <c r="N467" s="290"/>
    </row>
    <row r="468" ht="26.25" customHeight="1">
      <c r="A468" s="290"/>
      <c r="B468" s="264">
        <v>45757.0</v>
      </c>
      <c r="C468" s="265" t="s">
        <v>960</v>
      </c>
      <c r="D468" s="266" t="s">
        <v>1600</v>
      </c>
      <c r="E468" s="267" t="s">
        <v>1601</v>
      </c>
      <c r="F468" s="289"/>
      <c r="G468" s="269">
        <v>14000.0</v>
      </c>
      <c r="H468" s="270">
        <v>0.0</v>
      </c>
      <c r="I468" s="269">
        <v>14000.0</v>
      </c>
      <c r="J468" s="271">
        <v>14000.0</v>
      </c>
      <c r="K468" s="272">
        <f t="shared" si="2"/>
        <v>0</v>
      </c>
      <c r="L468" s="290"/>
      <c r="M468" s="290"/>
      <c r="N468" s="290"/>
    </row>
    <row r="469" ht="26.25" customHeight="1">
      <c r="A469" s="273"/>
      <c r="B469" s="264">
        <v>45757.0</v>
      </c>
      <c r="C469" s="275" t="s">
        <v>957</v>
      </c>
      <c r="D469" s="266" t="s">
        <v>1029</v>
      </c>
      <c r="E469" s="283" t="s">
        <v>1318</v>
      </c>
      <c r="F469" s="268"/>
      <c r="G469" s="269">
        <v>11000.0</v>
      </c>
      <c r="H469" s="270">
        <v>0.0</v>
      </c>
      <c r="I469" s="269">
        <v>11000.0</v>
      </c>
      <c r="J469" s="271">
        <v>11000.0</v>
      </c>
      <c r="K469" s="272">
        <f t="shared" si="2"/>
        <v>0</v>
      </c>
      <c r="L469" s="273"/>
      <c r="M469" s="273"/>
      <c r="N469" s="273"/>
    </row>
    <row r="470" ht="26.25" customHeight="1">
      <c r="A470" s="274"/>
      <c r="B470" s="264">
        <v>45757.0</v>
      </c>
      <c r="C470" s="275" t="s">
        <v>968</v>
      </c>
      <c r="D470" s="266" t="s">
        <v>1602</v>
      </c>
      <c r="E470" s="283" t="s">
        <v>1603</v>
      </c>
      <c r="F470" s="268"/>
      <c r="G470" s="269">
        <v>10000.0</v>
      </c>
      <c r="H470" s="270">
        <v>0.0</v>
      </c>
      <c r="I470" s="269">
        <v>10000.0</v>
      </c>
      <c r="J470" s="271">
        <v>10000.0</v>
      </c>
      <c r="K470" s="272">
        <f t="shared" si="2"/>
        <v>0</v>
      </c>
      <c r="L470" s="273"/>
      <c r="M470" s="273"/>
      <c r="N470" s="273"/>
    </row>
    <row r="471" ht="26.25" customHeight="1">
      <c r="A471" s="273"/>
      <c r="B471" s="264">
        <v>45757.0</v>
      </c>
      <c r="C471" s="275" t="s">
        <v>957</v>
      </c>
      <c r="D471" s="266" t="s">
        <v>57</v>
      </c>
      <c r="E471" s="283" t="s">
        <v>1604</v>
      </c>
      <c r="F471" s="268"/>
      <c r="G471" s="269">
        <v>4250.0</v>
      </c>
      <c r="H471" s="270">
        <v>0.0</v>
      </c>
      <c r="I471" s="269">
        <v>4250.0</v>
      </c>
      <c r="J471" s="271">
        <v>4250.0</v>
      </c>
      <c r="K471" s="272">
        <f t="shared" si="2"/>
        <v>0</v>
      </c>
      <c r="L471" s="273"/>
      <c r="M471" s="273"/>
      <c r="N471" s="273"/>
    </row>
    <row r="472" ht="26.25" customHeight="1">
      <c r="A472" s="273"/>
      <c r="B472" s="264">
        <v>45757.0</v>
      </c>
      <c r="C472" s="275" t="s">
        <v>1339</v>
      </c>
      <c r="D472" s="266" t="s">
        <v>57</v>
      </c>
      <c r="E472" s="267" t="s">
        <v>1605</v>
      </c>
      <c r="F472" s="268"/>
      <c r="G472" s="269">
        <v>3000.0</v>
      </c>
      <c r="H472" s="270">
        <v>0.0</v>
      </c>
      <c r="I472" s="269">
        <v>3000.0</v>
      </c>
      <c r="J472" s="271">
        <v>3000.0</v>
      </c>
      <c r="K472" s="272">
        <f t="shared" si="2"/>
        <v>0</v>
      </c>
      <c r="L472" s="273"/>
      <c r="M472" s="273"/>
      <c r="N472" s="273"/>
    </row>
    <row r="473" ht="26.25" customHeight="1">
      <c r="A473" s="281" t="s">
        <v>1606</v>
      </c>
      <c r="B473" s="264">
        <v>45758.0</v>
      </c>
      <c r="C473" s="275" t="s">
        <v>965</v>
      </c>
      <c r="D473" s="266" t="s">
        <v>1607</v>
      </c>
      <c r="E473" s="267" t="s">
        <v>1608</v>
      </c>
      <c r="F473" s="268"/>
      <c r="G473" s="269">
        <v>40000.0</v>
      </c>
      <c r="H473" s="270">
        <v>0.0</v>
      </c>
      <c r="I473" s="269">
        <v>40000.0</v>
      </c>
      <c r="J473" s="271">
        <v>40000.0</v>
      </c>
      <c r="K473" s="272">
        <f t="shared" si="2"/>
        <v>0</v>
      </c>
      <c r="L473" s="273"/>
      <c r="M473" s="273"/>
      <c r="N473" s="273"/>
    </row>
    <row r="474" ht="26.25" customHeight="1">
      <c r="A474" s="281" t="s">
        <v>1609</v>
      </c>
      <c r="B474" s="264">
        <v>45758.0</v>
      </c>
      <c r="C474" s="275" t="s">
        <v>985</v>
      </c>
      <c r="D474" s="266" t="s">
        <v>1610</v>
      </c>
      <c r="E474" s="267" t="s">
        <v>1611</v>
      </c>
      <c r="F474" s="268"/>
      <c r="G474" s="269">
        <v>10000.0</v>
      </c>
      <c r="H474" s="270">
        <v>0.0</v>
      </c>
      <c r="I474" s="269">
        <v>10000.0</v>
      </c>
      <c r="J474" s="271">
        <v>10000.0</v>
      </c>
      <c r="K474" s="272">
        <f t="shared" si="2"/>
        <v>0</v>
      </c>
      <c r="L474" s="273"/>
      <c r="M474" s="273"/>
      <c r="N474" s="273"/>
    </row>
    <row r="475" ht="26.25" customHeight="1">
      <c r="A475" s="273"/>
      <c r="B475" s="264">
        <v>45758.0</v>
      </c>
      <c r="C475" s="275" t="s">
        <v>968</v>
      </c>
      <c r="D475" s="266" t="s">
        <v>1029</v>
      </c>
      <c r="E475" s="267" t="s">
        <v>1612</v>
      </c>
      <c r="F475" s="268"/>
      <c r="G475" s="269">
        <v>7000.0</v>
      </c>
      <c r="H475" s="270">
        <v>0.0</v>
      </c>
      <c r="I475" s="269">
        <v>7000.0</v>
      </c>
      <c r="J475" s="271">
        <v>7000.0</v>
      </c>
      <c r="K475" s="272">
        <f t="shared" si="2"/>
        <v>0</v>
      </c>
      <c r="L475" s="273"/>
      <c r="M475" s="273"/>
      <c r="N475" s="273"/>
    </row>
    <row r="476" ht="26.25" customHeight="1">
      <c r="A476" s="281" t="s">
        <v>1613</v>
      </c>
      <c r="B476" s="264">
        <v>45759.0</v>
      </c>
      <c r="C476" s="275" t="s">
        <v>965</v>
      </c>
      <c r="D476" s="266" t="s">
        <v>980</v>
      </c>
      <c r="E476" s="267" t="s">
        <v>938</v>
      </c>
      <c r="F476" s="268"/>
      <c r="G476" s="269">
        <v>1240000.0</v>
      </c>
      <c r="H476" s="270">
        <v>0.0</v>
      </c>
      <c r="I476" s="269">
        <v>1240000.0</v>
      </c>
      <c r="J476" s="271">
        <v>1240000.0</v>
      </c>
      <c r="K476" s="272">
        <f t="shared" si="2"/>
        <v>0</v>
      </c>
      <c r="L476" s="273"/>
      <c r="M476" s="273"/>
      <c r="N476" s="273"/>
    </row>
    <row r="477" ht="26.25" customHeight="1">
      <c r="A477" s="273"/>
      <c r="B477" s="264">
        <v>45759.0</v>
      </c>
      <c r="C477" s="275" t="s">
        <v>974</v>
      </c>
      <c r="D477" s="266" t="s">
        <v>1029</v>
      </c>
      <c r="E477" s="267" t="s">
        <v>1614</v>
      </c>
      <c r="F477" s="268"/>
      <c r="G477" s="269">
        <v>150000.0</v>
      </c>
      <c r="H477" s="270">
        <v>0.0</v>
      </c>
      <c r="I477" s="269">
        <v>150000.0</v>
      </c>
      <c r="J477" s="271">
        <v>150000.0</v>
      </c>
      <c r="K477" s="272">
        <f t="shared" si="2"/>
        <v>0</v>
      </c>
      <c r="L477" s="273"/>
      <c r="M477" s="273"/>
      <c r="N477" s="273"/>
    </row>
    <row r="478" ht="26.25" customHeight="1">
      <c r="A478" s="273"/>
      <c r="B478" s="264">
        <v>45759.0</v>
      </c>
      <c r="C478" s="275" t="s">
        <v>974</v>
      </c>
      <c r="D478" s="266" t="s">
        <v>980</v>
      </c>
      <c r="E478" s="267" t="s">
        <v>1615</v>
      </c>
      <c r="F478" s="268"/>
      <c r="G478" s="269">
        <v>8000.0</v>
      </c>
      <c r="H478" s="270">
        <v>0.0</v>
      </c>
      <c r="I478" s="269">
        <v>8000.0</v>
      </c>
      <c r="J478" s="271">
        <v>8000.0</v>
      </c>
      <c r="K478" s="272">
        <f t="shared" si="2"/>
        <v>0</v>
      </c>
      <c r="L478" s="273"/>
      <c r="M478" s="273"/>
      <c r="N478" s="273"/>
    </row>
    <row r="479" ht="26.25" customHeight="1">
      <c r="A479" s="277" t="s">
        <v>1616</v>
      </c>
      <c r="B479" s="264">
        <v>45760.0</v>
      </c>
      <c r="C479" s="265" t="s">
        <v>965</v>
      </c>
      <c r="D479" s="266" t="s">
        <v>980</v>
      </c>
      <c r="E479" s="267" t="s">
        <v>1617</v>
      </c>
      <c r="F479" s="289"/>
      <c r="G479" s="269">
        <v>215000.0</v>
      </c>
      <c r="H479" s="270">
        <v>0.0</v>
      </c>
      <c r="I479" s="269">
        <v>215000.0</v>
      </c>
      <c r="J479" s="271">
        <v>215000.0</v>
      </c>
      <c r="K479" s="272">
        <f t="shared" si="2"/>
        <v>0</v>
      </c>
      <c r="L479" s="290"/>
      <c r="M479" s="290"/>
      <c r="N479" s="290"/>
    </row>
    <row r="480" ht="26.25" customHeight="1">
      <c r="A480" s="274"/>
      <c r="B480" s="264">
        <v>45760.0</v>
      </c>
      <c r="C480" s="265" t="s">
        <v>974</v>
      </c>
      <c r="D480" s="266" t="s">
        <v>684</v>
      </c>
      <c r="E480" s="267" t="s">
        <v>1618</v>
      </c>
      <c r="F480" s="289"/>
      <c r="G480" s="269">
        <v>3000.0</v>
      </c>
      <c r="H480" s="270">
        <v>0.0</v>
      </c>
      <c r="I480" s="269">
        <v>3000.0</v>
      </c>
      <c r="J480" s="271">
        <v>3000.0</v>
      </c>
      <c r="K480" s="272">
        <f t="shared" si="2"/>
        <v>0</v>
      </c>
      <c r="L480" s="290"/>
      <c r="M480" s="290"/>
      <c r="N480" s="290"/>
    </row>
    <row r="481" ht="26.25" customHeight="1">
      <c r="A481" s="281" t="s">
        <v>1619</v>
      </c>
      <c r="B481" s="264">
        <v>45761.0</v>
      </c>
      <c r="C481" s="275" t="s">
        <v>957</v>
      </c>
      <c r="D481" s="266" t="s">
        <v>1620</v>
      </c>
      <c r="E481" s="267" t="s">
        <v>1621</v>
      </c>
      <c r="F481" s="268"/>
      <c r="G481" s="269">
        <v>5650000.0</v>
      </c>
      <c r="H481" s="270">
        <v>0.0</v>
      </c>
      <c r="I481" s="269">
        <v>5650000.0</v>
      </c>
      <c r="J481" s="271">
        <v>5650000.0</v>
      </c>
      <c r="K481" s="272">
        <f t="shared" si="2"/>
        <v>0</v>
      </c>
      <c r="L481" s="273"/>
      <c r="M481" s="273"/>
      <c r="N481" s="273"/>
    </row>
    <row r="482" ht="26.25" customHeight="1">
      <c r="A482" s="281" t="s">
        <v>1622</v>
      </c>
      <c r="B482" s="264">
        <v>45761.0</v>
      </c>
      <c r="C482" s="275" t="s">
        <v>974</v>
      </c>
      <c r="D482" s="266" t="s">
        <v>1620</v>
      </c>
      <c r="E482" s="267" t="s">
        <v>1623</v>
      </c>
      <c r="F482" s="268"/>
      <c r="G482" s="269">
        <v>300000.0</v>
      </c>
      <c r="H482" s="270">
        <v>0.0</v>
      </c>
      <c r="I482" s="269">
        <v>300000.0</v>
      </c>
      <c r="J482" s="271">
        <v>300000.0</v>
      </c>
      <c r="K482" s="272">
        <f t="shared" si="2"/>
        <v>0</v>
      </c>
      <c r="L482" s="273"/>
      <c r="M482" s="273"/>
      <c r="N482" s="273"/>
    </row>
    <row r="483" ht="26.25" customHeight="1">
      <c r="A483" s="288" t="s">
        <v>1624</v>
      </c>
      <c r="B483" s="264">
        <v>45761.0</v>
      </c>
      <c r="C483" s="265" t="s">
        <v>974</v>
      </c>
      <c r="D483" s="266" t="s">
        <v>930</v>
      </c>
      <c r="E483" s="267" t="s">
        <v>1625</v>
      </c>
      <c r="F483" s="289"/>
      <c r="G483" s="269">
        <v>228000.0</v>
      </c>
      <c r="H483" s="270">
        <v>0.0</v>
      </c>
      <c r="I483" s="269">
        <v>228000.0</v>
      </c>
      <c r="J483" s="271">
        <v>228000.0</v>
      </c>
      <c r="K483" s="272">
        <f t="shared" si="2"/>
        <v>0</v>
      </c>
      <c r="L483" s="290"/>
      <c r="M483" s="290"/>
      <c r="N483" s="290"/>
    </row>
    <row r="484" ht="26.25" customHeight="1">
      <c r="A484" s="288" t="s">
        <v>1626</v>
      </c>
      <c r="B484" s="264">
        <v>45762.0</v>
      </c>
      <c r="C484" s="265" t="s">
        <v>965</v>
      </c>
      <c r="D484" s="266" t="s">
        <v>1266</v>
      </c>
      <c r="E484" s="267" t="s">
        <v>1323</v>
      </c>
      <c r="F484" s="289"/>
      <c r="G484" s="269">
        <v>200000.0</v>
      </c>
      <c r="H484" s="270">
        <v>0.0</v>
      </c>
      <c r="I484" s="269">
        <v>200000.0</v>
      </c>
      <c r="J484" s="271">
        <v>200000.0</v>
      </c>
      <c r="K484" s="272">
        <f t="shared" si="2"/>
        <v>0</v>
      </c>
      <c r="L484" s="290"/>
      <c r="M484" s="290"/>
      <c r="N484" s="290"/>
    </row>
    <row r="485" ht="26.25" customHeight="1">
      <c r="A485" s="277" t="s">
        <v>1627</v>
      </c>
      <c r="B485" s="264">
        <v>45762.0</v>
      </c>
      <c r="C485" s="265" t="s">
        <v>957</v>
      </c>
      <c r="D485" s="266" t="s">
        <v>1340</v>
      </c>
      <c r="E485" s="267" t="s">
        <v>1628</v>
      </c>
      <c r="F485" s="289"/>
      <c r="G485" s="269">
        <v>20000.0</v>
      </c>
      <c r="H485" s="270">
        <v>0.0</v>
      </c>
      <c r="I485" s="269">
        <v>20000.0</v>
      </c>
      <c r="J485" s="271">
        <v>20000.0</v>
      </c>
      <c r="K485" s="272">
        <f t="shared" si="2"/>
        <v>0</v>
      </c>
      <c r="L485" s="290"/>
      <c r="M485" s="290"/>
      <c r="N485" s="290"/>
    </row>
    <row r="486" ht="26.25" customHeight="1">
      <c r="A486" s="274"/>
      <c r="B486" s="264">
        <v>45762.0</v>
      </c>
      <c r="C486" s="265" t="s">
        <v>974</v>
      </c>
      <c r="D486" s="266" t="s">
        <v>1340</v>
      </c>
      <c r="E486" s="267" t="s">
        <v>1629</v>
      </c>
      <c r="F486" s="289"/>
      <c r="G486" s="269">
        <v>20000.0</v>
      </c>
      <c r="H486" s="270">
        <v>0.0</v>
      </c>
      <c r="I486" s="269">
        <v>20000.0</v>
      </c>
      <c r="J486" s="271">
        <v>20000.0</v>
      </c>
      <c r="K486" s="272">
        <f t="shared" si="2"/>
        <v>0</v>
      </c>
      <c r="L486" s="290"/>
      <c r="M486" s="290"/>
      <c r="N486" s="290"/>
    </row>
    <row r="487" ht="26.25" customHeight="1">
      <c r="A487" s="288" t="s">
        <v>1630</v>
      </c>
      <c r="B487" s="264">
        <v>45762.0</v>
      </c>
      <c r="C487" s="265" t="s">
        <v>968</v>
      </c>
      <c r="D487" s="266" t="s">
        <v>1407</v>
      </c>
      <c r="E487" s="267" t="s">
        <v>1631</v>
      </c>
      <c r="F487" s="289"/>
      <c r="G487" s="269">
        <v>20000.0</v>
      </c>
      <c r="H487" s="270">
        <v>0.0</v>
      </c>
      <c r="I487" s="269">
        <v>20000.0</v>
      </c>
      <c r="J487" s="271">
        <v>20000.0</v>
      </c>
      <c r="K487" s="272">
        <f t="shared" si="2"/>
        <v>0</v>
      </c>
      <c r="L487" s="290"/>
      <c r="M487" s="290"/>
      <c r="N487" s="290"/>
    </row>
    <row r="488" ht="26.25" customHeight="1">
      <c r="A488" s="274"/>
      <c r="B488" s="264">
        <v>45762.0</v>
      </c>
      <c r="C488" s="275" t="s">
        <v>974</v>
      </c>
      <c r="D488" s="266" t="s">
        <v>1029</v>
      </c>
      <c r="E488" s="267" t="s">
        <v>1632</v>
      </c>
      <c r="F488" s="268"/>
      <c r="G488" s="269">
        <v>10000.0</v>
      </c>
      <c r="H488" s="270">
        <v>0.0</v>
      </c>
      <c r="I488" s="269">
        <v>10000.0</v>
      </c>
      <c r="J488" s="271">
        <v>10000.0</v>
      </c>
      <c r="K488" s="272">
        <f t="shared" si="2"/>
        <v>0</v>
      </c>
      <c r="L488" s="273"/>
      <c r="M488" s="273"/>
      <c r="N488" s="273"/>
    </row>
    <row r="489" ht="26.25" customHeight="1">
      <c r="A489" s="277" t="s">
        <v>1626</v>
      </c>
      <c r="B489" s="264">
        <v>45762.0</v>
      </c>
      <c r="C489" s="275" t="s">
        <v>974</v>
      </c>
      <c r="D489" s="266" t="s">
        <v>1266</v>
      </c>
      <c r="E489" s="267" t="s">
        <v>1633</v>
      </c>
      <c r="F489" s="268"/>
      <c r="G489" s="269">
        <v>10000.0</v>
      </c>
      <c r="H489" s="270">
        <v>0.0</v>
      </c>
      <c r="I489" s="269">
        <v>10000.0</v>
      </c>
      <c r="J489" s="271">
        <v>10000.0</v>
      </c>
      <c r="K489" s="272">
        <f t="shared" si="2"/>
        <v>0</v>
      </c>
      <c r="L489" s="273"/>
      <c r="M489" s="273"/>
      <c r="N489" s="273"/>
    </row>
    <row r="490" ht="26.25" customHeight="1">
      <c r="A490" s="274"/>
      <c r="B490" s="264">
        <v>45762.0</v>
      </c>
      <c r="C490" s="275" t="s">
        <v>974</v>
      </c>
      <c r="D490" s="266" t="s">
        <v>1457</v>
      </c>
      <c r="E490" s="267" t="s">
        <v>1634</v>
      </c>
      <c r="F490" s="268"/>
      <c r="G490" s="269">
        <v>5000.0</v>
      </c>
      <c r="H490" s="270">
        <v>0.0</v>
      </c>
      <c r="I490" s="269">
        <v>5000.0</v>
      </c>
      <c r="J490" s="271">
        <v>5000.0</v>
      </c>
      <c r="K490" s="272">
        <f t="shared" si="2"/>
        <v>0</v>
      </c>
      <c r="L490" s="273"/>
      <c r="M490" s="273"/>
      <c r="N490" s="273"/>
    </row>
    <row r="491" ht="26.25" customHeight="1">
      <c r="A491" s="290"/>
      <c r="B491" s="264">
        <v>45762.0</v>
      </c>
      <c r="C491" s="265" t="s">
        <v>1035</v>
      </c>
      <c r="D491" s="266" t="s">
        <v>1029</v>
      </c>
      <c r="E491" s="267" t="s">
        <v>1229</v>
      </c>
      <c r="F491" s="289"/>
      <c r="G491" s="269">
        <v>2000.0</v>
      </c>
      <c r="H491" s="270">
        <v>0.0</v>
      </c>
      <c r="I491" s="269">
        <v>2000.0</v>
      </c>
      <c r="J491" s="271">
        <v>2000.0</v>
      </c>
      <c r="K491" s="272">
        <f t="shared" si="2"/>
        <v>0</v>
      </c>
      <c r="L491" s="290"/>
      <c r="M491" s="290"/>
      <c r="N491" s="290"/>
    </row>
    <row r="492" ht="26.25" customHeight="1">
      <c r="A492" s="273"/>
      <c r="B492" s="264">
        <v>45762.0</v>
      </c>
      <c r="C492" s="265" t="s">
        <v>1035</v>
      </c>
      <c r="D492" s="266" t="s">
        <v>1029</v>
      </c>
      <c r="E492" s="267" t="s">
        <v>1229</v>
      </c>
      <c r="F492" s="268"/>
      <c r="G492" s="269">
        <v>2000.0</v>
      </c>
      <c r="H492" s="270">
        <v>0.0</v>
      </c>
      <c r="I492" s="269">
        <v>2000.0</v>
      </c>
      <c r="J492" s="271">
        <v>2000.0</v>
      </c>
      <c r="K492" s="272">
        <f t="shared" si="2"/>
        <v>0</v>
      </c>
      <c r="L492" s="273"/>
      <c r="M492" s="273"/>
      <c r="N492" s="273"/>
    </row>
    <row r="493" ht="26.25" customHeight="1">
      <c r="A493" s="290"/>
      <c r="B493" s="264">
        <v>45763.0</v>
      </c>
      <c r="C493" s="265" t="s">
        <v>957</v>
      </c>
      <c r="D493" s="266" t="s">
        <v>31</v>
      </c>
      <c r="E493" s="267" t="s">
        <v>1635</v>
      </c>
      <c r="F493" s="289"/>
      <c r="G493" s="269">
        <v>450000.0</v>
      </c>
      <c r="H493" s="270">
        <v>0.0</v>
      </c>
      <c r="I493" s="269">
        <v>450000.0</v>
      </c>
      <c r="J493" s="271">
        <v>450000.0</v>
      </c>
      <c r="K493" s="272">
        <f t="shared" si="2"/>
        <v>0</v>
      </c>
      <c r="L493" s="290"/>
      <c r="M493" s="290"/>
      <c r="N493" s="290"/>
    </row>
    <row r="494" ht="26.25" customHeight="1">
      <c r="A494" s="274"/>
      <c r="B494" s="264">
        <v>45763.0</v>
      </c>
      <c r="C494" s="265" t="s">
        <v>965</v>
      </c>
      <c r="D494" s="266" t="s">
        <v>31</v>
      </c>
      <c r="E494" s="267" t="s">
        <v>1636</v>
      </c>
      <c r="F494" s="289"/>
      <c r="G494" s="269">
        <v>370000.0</v>
      </c>
      <c r="H494" s="270">
        <v>0.0</v>
      </c>
      <c r="I494" s="269">
        <v>370000.0</v>
      </c>
      <c r="J494" s="271">
        <v>370000.0</v>
      </c>
      <c r="K494" s="272">
        <f t="shared" si="2"/>
        <v>0</v>
      </c>
      <c r="L494" s="290"/>
      <c r="M494" s="290"/>
      <c r="N494" s="290"/>
    </row>
    <row r="495" ht="26.25" customHeight="1">
      <c r="A495" s="274"/>
      <c r="B495" s="264">
        <v>45763.0</v>
      </c>
      <c r="C495" s="265" t="s">
        <v>985</v>
      </c>
      <c r="D495" s="266" t="s">
        <v>31</v>
      </c>
      <c r="E495" s="267" t="s">
        <v>1637</v>
      </c>
      <c r="F495" s="289"/>
      <c r="G495" s="269">
        <v>177000.0</v>
      </c>
      <c r="H495" s="270">
        <v>0.0</v>
      </c>
      <c r="I495" s="269">
        <v>177000.0</v>
      </c>
      <c r="J495" s="271">
        <v>177000.0</v>
      </c>
      <c r="K495" s="272">
        <f t="shared" si="2"/>
        <v>0</v>
      </c>
      <c r="L495" s="290"/>
      <c r="M495" s="290"/>
      <c r="N495" s="290"/>
    </row>
    <row r="496" ht="26.25" customHeight="1">
      <c r="A496" s="277" t="s">
        <v>1638</v>
      </c>
      <c r="B496" s="264">
        <v>45763.0</v>
      </c>
      <c r="C496" s="265" t="s">
        <v>1035</v>
      </c>
      <c r="D496" s="266" t="s">
        <v>224</v>
      </c>
      <c r="E496" s="267" t="s">
        <v>1070</v>
      </c>
      <c r="F496" s="289"/>
      <c r="G496" s="269">
        <v>93000.0</v>
      </c>
      <c r="H496" s="270">
        <v>0.0</v>
      </c>
      <c r="I496" s="269">
        <v>93000.0</v>
      </c>
      <c r="J496" s="271">
        <v>93000.0</v>
      </c>
      <c r="K496" s="272">
        <f t="shared" si="2"/>
        <v>0</v>
      </c>
      <c r="L496" s="290"/>
      <c r="M496" s="290"/>
      <c r="N496" s="290"/>
    </row>
    <row r="497" ht="26.25" customHeight="1">
      <c r="A497" s="274"/>
      <c r="B497" s="264">
        <v>45763.0</v>
      </c>
      <c r="C497" s="265" t="s">
        <v>1098</v>
      </c>
      <c r="D497" s="266" t="s">
        <v>1029</v>
      </c>
      <c r="E497" s="267" t="s">
        <v>1639</v>
      </c>
      <c r="F497" s="289"/>
      <c r="G497" s="269">
        <v>90000.0</v>
      </c>
      <c r="H497" s="270">
        <v>0.0</v>
      </c>
      <c r="I497" s="269">
        <v>90000.0</v>
      </c>
      <c r="J497" s="271">
        <v>90000.0</v>
      </c>
      <c r="K497" s="272">
        <f t="shared" si="2"/>
        <v>0</v>
      </c>
      <c r="L497" s="290"/>
      <c r="M497" s="290"/>
      <c r="N497" s="290"/>
    </row>
    <row r="498" ht="26.25" customHeight="1">
      <c r="A498" s="290"/>
      <c r="B498" s="264">
        <v>45763.0</v>
      </c>
      <c r="C498" s="265" t="s">
        <v>965</v>
      </c>
      <c r="D498" s="266" t="s">
        <v>1640</v>
      </c>
      <c r="E498" s="267" t="s">
        <v>1641</v>
      </c>
      <c r="F498" s="289"/>
      <c r="G498" s="269">
        <v>60000.0</v>
      </c>
      <c r="H498" s="270">
        <v>0.0</v>
      </c>
      <c r="I498" s="269">
        <v>60000.0</v>
      </c>
      <c r="J498" s="271">
        <v>60000.0</v>
      </c>
      <c r="K498" s="272">
        <f t="shared" si="2"/>
        <v>0</v>
      </c>
      <c r="L498" s="290"/>
      <c r="M498" s="290"/>
      <c r="N498" s="290"/>
    </row>
    <row r="499" ht="26.25" customHeight="1">
      <c r="A499" s="290"/>
      <c r="B499" s="264">
        <v>45763.0</v>
      </c>
      <c r="C499" s="265" t="s">
        <v>974</v>
      </c>
      <c r="D499" s="266" t="s">
        <v>824</v>
      </c>
      <c r="E499" s="267" t="s">
        <v>1642</v>
      </c>
      <c r="F499" s="289"/>
      <c r="G499" s="269">
        <v>60000.0</v>
      </c>
      <c r="H499" s="270">
        <v>0.0</v>
      </c>
      <c r="I499" s="269">
        <v>60000.0</v>
      </c>
      <c r="J499" s="271">
        <v>60000.0</v>
      </c>
      <c r="K499" s="272">
        <f t="shared" si="2"/>
        <v>0</v>
      </c>
      <c r="L499" s="290"/>
      <c r="M499" s="290"/>
      <c r="N499" s="290"/>
    </row>
    <row r="500" ht="26.25" customHeight="1">
      <c r="A500" s="290"/>
      <c r="B500" s="264">
        <v>45763.0</v>
      </c>
      <c r="C500" s="265" t="s">
        <v>957</v>
      </c>
      <c r="D500" s="266" t="s">
        <v>31</v>
      </c>
      <c r="E500" s="267" t="s">
        <v>1643</v>
      </c>
      <c r="F500" s="289"/>
      <c r="G500" s="269">
        <v>50000.0</v>
      </c>
      <c r="H500" s="270">
        <v>0.0</v>
      </c>
      <c r="I500" s="269">
        <v>50000.0</v>
      </c>
      <c r="J500" s="271">
        <v>50000.0</v>
      </c>
      <c r="K500" s="272">
        <f t="shared" si="2"/>
        <v>0</v>
      </c>
      <c r="L500" s="290"/>
      <c r="M500" s="290"/>
      <c r="N500" s="290"/>
    </row>
    <row r="501" ht="26.25" customHeight="1">
      <c r="A501" s="273"/>
      <c r="B501" s="264">
        <v>45763.0</v>
      </c>
      <c r="C501" s="275" t="s">
        <v>1057</v>
      </c>
      <c r="D501" s="266" t="s">
        <v>1204</v>
      </c>
      <c r="E501" s="267" t="s">
        <v>1644</v>
      </c>
      <c r="F501" s="268"/>
      <c r="G501" s="269">
        <v>40000.0</v>
      </c>
      <c r="H501" s="270">
        <v>0.0</v>
      </c>
      <c r="I501" s="269">
        <v>40000.0</v>
      </c>
      <c r="J501" s="271">
        <v>40000.0</v>
      </c>
      <c r="K501" s="272">
        <f t="shared" si="2"/>
        <v>0</v>
      </c>
      <c r="L501" s="273"/>
      <c r="M501" s="273"/>
      <c r="N501" s="273"/>
    </row>
    <row r="502" ht="26.25" customHeight="1">
      <c r="A502" s="273"/>
      <c r="B502" s="264">
        <v>45763.0</v>
      </c>
      <c r="C502" s="275" t="s">
        <v>968</v>
      </c>
      <c r="D502" s="266" t="s">
        <v>31</v>
      </c>
      <c r="E502" s="267" t="s">
        <v>1645</v>
      </c>
      <c r="F502" s="268"/>
      <c r="G502" s="269">
        <v>40000.0</v>
      </c>
      <c r="H502" s="270">
        <v>0.0</v>
      </c>
      <c r="I502" s="269">
        <v>40000.0</v>
      </c>
      <c r="J502" s="271">
        <v>40000.0</v>
      </c>
      <c r="K502" s="272">
        <f t="shared" si="2"/>
        <v>0</v>
      </c>
      <c r="L502" s="273"/>
      <c r="M502" s="273"/>
      <c r="N502" s="273"/>
    </row>
    <row r="503" ht="26.25" customHeight="1">
      <c r="A503" s="290"/>
      <c r="B503" s="264">
        <v>45763.0</v>
      </c>
      <c r="C503" s="265" t="s">
        <v>974</v>
      </c>
      <c r="D503" s="266" t="s">
        <v>31</v>
      </c>
      <c r="E503" s="267" t="s">
        <v>1646</v>
      </c>
      <c r="F503" s="289"/>
      <c r="G503" s="269">
        <v>27000.0</v>
      </c>
      <c r="H503" s="270">
        <v>0.0</v>
      </c>
      <c r="I503" s="269">
        <v>27000.0</v>
      </c>
      <c r="J503" s="271">
        <v>27000.0</v>
      </c>
      <c r="K503" s="272">
        <f t="shared" si="2"/>
        <v>0</v>
      </c>
      <c r="L503" s="290"/>
      <c r="M503" s="290"/>
      <c r="N503" s="290"/>
    </row>
    <row r="504" ht="26.25" customHeight="1">
      <c r="A504" s="290"/>
      <c r="B504" s="264">
        <v>45763.0</v>
      </c>
      <c r="C504" s="265" t="s">
        <v>968</v>
      </c>
      <c r="D504" s="266" t="s">
        <v>1029</v>
      </c>
      <c r="E504" s="267" t="s">
        <v>1647</v>
      </c>
      <c r="F504" s="289"/>
      <c r="G504" s="269">
        <v>25000.0</v>
      </c>
      <c r="H504" s="270">
        <v>0.0</v>
      </c>
      <c r="I504" s="269">
        <v>25000.0</v>
      </c>
      <c r="J504" s="271">
        <v>25000.0</v>
      </c>
      <c r="K504" s="272">
        <f t="shared" si="2"/>
        <v>0</v>
      </c>
      <c r="L504" s="290"/>
      <c r="M504" s="290"/>
      <c r="N504" s="290"/>
    </row>
    <row r="505" ht="26.25" customHeight="1">
      <c r="A505" s="274"/>
      <c r="B505" s="264">
        <v>45763.0</v>
      </c>
      <c r="C505" s="265" t="s">
        <v>1431</v>
      </c>
      <c r="D505" s="266" t="s">
        <v>31</v>
      </c>
      <c r="E505" s="267" t="s">
        <v>1648</v>
      </c>
      <c r="F505" s="268"/>
      <c r="G505" s="269">
        <v>25000.0</v>
      </c>
      <c r="H505" s="270">
        <v>0.0</v>
      </c>
      <c r="I505" s="269">
        <v>25000.0</v>
      </c>
      <c r="J505" s="271">
        <v>25000.0</v>
      </c>
      <c r="K505" s="272">
        <f t="shared" si="2"/>
        <v>0</v>
      </c>
      <c r="L505" s="273"/>
      <c r="M505" s="273"/>
      <c r="N505" s="273"/>
    </row>
    <row r="506" ht="26.25" customHeight="1">
      <c r="A506" s="290"/>
      <c r="B506" s="264">
        <v>45763.0</v>
      </c>
      <c r="C506" s="265" t="s">
        <v>974</v>
      </c>
      <c r="D506" s="266" t="s">
        <v>1029</v>
      </c>
      <c r="E506" s="267" t="s">
        <v>1649</v>
      </c>
      <c r="F506" s="289"/>
      <c r="G506" s="269">
        <v>7000.0</v>
      </c>
      <c r="H506" s="270">
        <v>0.0</v>
      </c>
      <c r="I506" s="269">
        <v>7000.0</v>
      </c>
      <c r="J506" s="271">
        <v>7000.0</v>
      </c>
      <c r="K506" s="272">
        <f t="shared" si="2"/>
        <v>0</v>
      </c>
      <c r="L506" s="290"/>
      <c r="M506" s="290"/>
      <c r="N506" s="290"/>
    </row>
    <row r="507" ht="26.25" customHeight="1">
      <c r="A507" s="290"/>
      <c r="B507" s="264">
        <v>45763.0</v>
      </c>
      <c r="C507" s="265" t="s">
        <v>974</v>
      </c>
      <c r="D507" s="266" t="s">
        <v>1650</v>
      </c>
      <c r="E507" s="267" t="s">
        <v>1563</v>
      </c>
      <c r="F507" s="289"/>
      <c r="G507" s="269">
        <v>7000.0</v>
      </c>
      <c r="H507" s="270">
        <v>0.0</v>
      </c>
      <c r="I507" s="269">
        <v>7000.0</v>
      </c>
      <c r="J507" s="271">
        <v>7000.0</v>
      </c>
      <c r="K507" s="272">
        <f t="shared" si="2"/>
        <v>0</v>
      </c>
      <c r="L507" s="290"/>
      <c r="M507" s="290"/>
      <c r="N507" s="290"/>
    </row>
    <row r="508" ht="26.25" customHeight="1">
      <c r="A508" s="274"/>
      <c r="B508" s="264">
        <v>45763.0</v>
      </c>
      <c r="C508" s="265" t="s">
        <v>995</v>
      </c>
      <c r="D508" s="266" t="s">
        <v>704</v>
      </c>
      <c r="E508" s="267" t="s">
        <v>1651</v>
      </c>
      <c r="F508" s="289"/>
      <c r="G508" s="269">
        <v>6000.0</v>
      </c>
      <c r="H508" s="270">
        <v>0.0</v>
      </c>
      <c r="I508" s="269">
        <v>6000.0</v>
      </c>
      <c r="J508" s="271">
        <v>6000.0</v>
      </c>
      <c r="K508" s="272">
        <f t="shared" si="2"/>
        <v>0</v>
      </c>
      <c r="L508" s="290"/>
      <c r="M508" s="290"/>
      <c r="N508" s="290"/>
    </row>
    <row r="509" ht="26.25" customHeight="1">
      <c r="A509" s="288" t="s">
        <v>1652</v>
      </c>
      <c r="B509" s="264">
        <v>45764.0</v>
      </c>
      <c r="C509" s="265" t="s">
        <v>965</v>
      </c>
      <c r="D509" s="266" t="s">
        <v>980</v>
      </c>
      <c r="E509" s="267" t="s">
        <v>1653</v>
      </c>
      <c r="F509" s="289"/>
      <c r="G509" s="269">
        <v>250000.0</v>
      </c>
      <c r="H509" s="270">
        <v>0.0</v>
      </c>
      <c r="I509" s="269">
        <v>250000.0</v>
      </c>
      <c r="J509" s="271">
        <v>250000.0</v>
      </c>
      <c r="K509" s="272">
        <f t="shared" si="2"/>
        <v>0</v>
      </c>
      <c r="L509" s="290"/>
      <c r="M509" s="290"/>
      <c r="N509" s="290"/>
    </row>
    <row r="510" ht="26.25" customHeight="1">
      <c r="A510" s="290"/>
      <c r="B510" s="264">
        <v>45764.0</v>
      </c>
      <c r="C510" s="265" t="s">
        <v>974</v>
      </c>
      <c r="D510" s="266" t="s">
        <v>1083</v>
      </c>
      <c r="E510" s="267" t="s">
        <v>1654</v>
      </c>
      <c r="F510" s="289"/>
      <c r="G510" s="269">
        <v>45000.0</v>
      </c>
      <c r="H510" s="270">
        <v>0.0</v>
      </c>
      <c r="I510" s="269">
        <v>45000.0</v>
      </c>
      <c r="J510" s="271">
        <v>45000.0</v>
      </c>
      <c r="K510" s="272">
        <f t="shared" si="2"/>
        <v>0</v>
      </c>
      <c r="L510" s="290"/>
      <c r="M510" s="290"/>
      <c r="N510" s="290"/>
    </row>
    <row r="511" ht="26.25" customHeight="1">
      <c r="A511" s="288" t="s">
        <v>1655</v>
      </c>
      <c r="B511" s="264">
        <v>45766.0</v>
      </c>
      <c r="C511" s="265" t="s">
        <v>965</v>
      </c>
      <c r="D511" s="266" t="s">
        <v>980</v>
      </c>
      <c r="E511" s="267" t="s">
        <v>1514</v>
      </c>
      <c r="F511" s="289"/>
      <c r="G511" s="269">
        <v>441000.0</v>
      </c>
      <c r="H511" s="270">
        <v>0.0</v>
      </c>
      <c r="I511" s="269">
        <v>441000.0</v>
      </c>
      <c r="J511" s="271">
        <v>441000.0</v>
      </c>
      <c r="K511" s="272">
        <f t="shared" si="2"/>
        <v>0</v>
      </c>
      <c r="L511" s="290"/>
      <c r="M511" s="290"/>
      <c r="N511" s="290"/>
    </row>
    <row r="512" ht="26.25" customHeight="1">
      <c r="A512" s="290"/>
      <c r="B512" s="264">
        <v>45766.0</v>
      </c>
      <c r="C512" s="265" t="s">
        <v>974</v>
      </c>
      <c r="D512" s="266" t="s">
        <v>1029</v>
      </c>
      <c r="E512" s="267" t="s">
        <v>1503</v>
      </c>
      <c r="F512" s="289"/>
      <c r="G512" s="269">
        <v>150000.0</v>
      </c>
      <c r="H512" s="270">
        <v>0.0</v>
      </c>
      <c r="I512" s="269">
        <v>150000.0</v>
      </c>
      <c r="J512" s="271">
        <v>150000.0</v>
      </c>
      <c r="K512" s="272">
        <f t="shared" si="2"/>
        <v>0</v>
      </c>
      <c r="L512" s="290"/>
      <c r="M512" s="290"/>
      <c r="N512" s="290"/>
    </row>
    <row r="513" ht="26.25" customHeight="1">
      <c r="A513" s="288" t="s">
        <v>1656</v>
      </c>
      <c r="B513" s="264">
        <v>45766.0</v>
      </c>
      <c r="C513" s="265" t="s">
        <v>965</v>
      </c>
      <c r="D513" s="266" t="s">
        <v>1038</v>
      </c>
      <c r="E513" s="267" t="s">
        <v>1285</v>
      </c>
      <c r="F513" s="289"/>
      <c r="G513" s="269">
        <v>55000.0</v>
      </c>
      <c r="H513" s="270">
        <v>0.0</v>
      </c>
      <c r="I513" s="269">
        <v>55000.0</v>
      </c>
      <c r="J513" s="271">
        <v>55000.0</v>
      </c>
      <c r="K513" s="272">
        <f t="shared" si="2"/>
        <v>0</v>
      </c>
      <c r="L513" s="290"/>
      <c r="M513" s="290"/>
      <c r="N513" s="290"/>
    </row>
    <row r="514" ht="26.25" customHeight="1">
      <c r="A514" s="290"/>
      <c r="B514" s="264">
        <v>45766.0</v>
      </c>
      <c r="C514" s="265" t="s">
        <v>960</v>
      </c>
      <c r="D514" s="266" t="s">
        <v>1340</v>
      </c>
      <c r="E514" s="267" t="s">
        <v>1657</v>
      </c>
      <c r="F514" s="289"/>
      <c r="G514" s="269">
        <v>40000.0</v>
      </c>
      <c r="H514" s="270">
        <v>0.0</v>
      </c>
      <c r="I514" s="269">
        <v>40000.0</v>
      </c>
      <c r="J514" s="271">
        <v>40000.0</v>
      </c>
      <c r="K514" s="272">
        <f t="shared" si="2"/>
        <v>0</v>
      </c>
      <c r="L514" s="290"/>
      <c r="M514" s="290"/>
      <c r="N514" s="290"/>
    </row>
    <row r="515" ht="26.25" customHeight="1">
      <c r="A515" s="273"/>
      <c r="B515" s="264">
        <v>45766.0</v>
      </c>
      <c r="C515" s="265" t="s">
        <v>974</v>
      </c>
      <c r="D515" s="266" t="s">
        <v>1029</v>
      </c>
      <c r="E515" s="267" t="s">
        <v>1658</v>
      </c>
      <c r="F515" s="268"/>
      <c r="G515" s="269">
        <v>10000.0</v>
      </c>
      <c r="H515" s="270">
        <v>0.0</v>
      </c>
      <c r="I515" s="269">
        <v>10000.0</v>
      </c>
      <c r="J515" s="271">
        <v>10000.0</v>
      </c>
      <c r="K515" s="272">
        <f t="shared" si="2"/>
        <v>0</v>
      </c>
      <c r="L515" s="273"/>
      <c r="M515" s="273"/>
      <c r="N515" s="273"/>
    </row>
    <row r="516" ht="26.25" customHeight="1">
      <c r="A516" s="273"/>
      <c r="B516" s="264">
        <v>45766.0</v>
      </c>
      <c r="C516" s="265" t="s">
        <v>1431</v>
      </c>
      <c r="D516" s="266" t="s">
        <v>824</v>
      </c>
      <c r="E516" s="267" t="s">
        <v>1659</v>
      </c>
      <c r="F516" s="268"/>
      <c r="G516" s="269">
        <v>5000.0</v>
      </c>
      <c r="H516" s="270">
        <v>0.0</v>
      </c>
      <c r="I516" s="269">
        <v>5000.0</v>
      </c>
      <c r="J516" s="271">
        <v>5000.0</v>
      </c>
      <c r="K516" s="272">
        <f t="shared" si="2"/>
        <v>0</v>
      </c>
      <c r="L516" s="273"/>
      <c r="M516" s="273"/>
      <c r="N516" s="273"/>
    </row>
    <row r="517" ht="26.25" customHeight="1">
      <c r="A517" s="290"/>
      <c r="B517" s="264">
        <v>45767.0</v>
      </c>
      <c r="C517" s="265" t="s">
        <v>1057</v>
      </c>
      <c r="D517" s="266" t="s">
        <v>1204</v>
      </c>
      <c r="E517" s="267" t="s">
        <v>1660</v>
      </c>
      <c r="F517" s="289"/>
      <c r="G517" s="269">
        <v>1309000.0</v>
      </c>
      <c r="H517" s="270">
        <v>0.0</v>
      </c>
      <c r="I517" s="269">
        <v>1309000.0</v>
      </c>
      <c r="J517" s="271">
        <v>1309000.0</v>
      </c>
      <c r="K517" s="272">
        <f t="shared" si="2"/>
        <v>0</v>
      </c>
      <c r="L517" s="290"/>
      <c r="M517" s="290"/>
      <c r="N517" s="290"/>
    </row>
    <row r="518" ht="26.25" customHeight="1">
      <c r="A518" s="281" t="s">
        <v>1661</v>
      </c>
      <c r="B518" s="264">
        <v>45767.0</v>
      </c>
      <c r="C518" s="275" t="s">
        <v>1035</v>
      </c>
      <c r="D518" s="266" t="s">
        <v>1662</v>
      </c>
      <c r="E518" s="267" t="s">
        <v>1663</v>
      </c>
      <c r="F518" s="268"/>
      <c r="G518" s="269">
        <v>295000.0</v>
      </c>
      <c r="H518" s="270">
        <v>0.0</v>
      </c>
      <c r="I518" s="269">
        <v>295000.0</v>
      </c>
      <c r="J518" s="271">
        <v>295000.0</v>
      </c>
      <c r="K518" s="272">
        <f t="shared" si="2"/>
        <v>0</v>
      </c>
      <c r="L518" s="273"/>
      <c r="M518" s="273"/>
      <c r="N518" s="273"/>
    </row>
    <row r="519" ht="26.25" customHeight="1">
      <c r="A519" s="274"/>
      <c r="B519" s="264">
        <v>45767.0</v>
      </c>
      <c r="C519" s="265" t="s">
        <v>1057</v>
      </c>
      <c r="D519" s="266" t="s">
        <v>1204</v>
      </c>
      <c r="E519" s="267" t="s">
        <v>1664</v>
      </c>
      <c r="F519" s="289"/>
      <c r="G519" s="269">
        <v>150000.0</v>
      </c>
      <c r="H519" s="270">
        <v>0.0</v>
      </c>
      <c r="I519" s="269">
        <v>150000.0</v>
      </c>
      <c r="J519" s="271">
        <v>150000.0</v>
      </c>
      <c r="K519" s="272">
        <f t="shared" si="2"/>
        <v>0</v>
      </c>
      <c r="L519" s="290"/>
      <c r="M519" s="290"/>
      <c r="N519" s="290"/>
    </row>
    <row r="520" ht="26.25" customHeight="1">
      <c r="A520" s="277" t="s">
        <v>1665</v>
      </c>
      <c r="B520" s="264">
        <v>45767.0</v>
      </c>
      <c r="C520" s="265" t="s">
        <v>972</v>
      </c>
      <c r="D520" s="266" t="s">
        <v>938</v>
      </c>
      <c r="E520" s="267" t="s">
        <v>1666</v>
      </c>
      <c r="F520" s="289"/>
      <c r="G520" s="269">
        <v>65000.0</v>
      </c>
      <c r="H520" s="270">
        <v>0.0</v>
      </c>
      <c r="I520" s="269">
        <v>65000.0</v>
      </c>
      <c r="J520" s="271">
        <v>65000.0</v>
      </c>
      <c r="K520" s="272">
        <f t="shared" si="2"/>
        <v>0</v>
      </c>
      <c r="L520" s="290"/>
      <c r="M520" s="290"/>
      <c r="N520" s="290"/>
    </row>
    <row r="521" ht="26.25" customHeight="1">
      <c r="A521" s="288" t="s">
        <v>1667</v>
      </c>
      <c r="B521" s="264">
        <v>45767.0</v>
      </c>
      <c r="C521" s="265" t="s">
        <v>972</v>
      </c>
      <c r="D521" s="266" t="s">
        <v>1668</v>
      </c>
      <c r="E521" s="267" t="s">
        <v>1669</v>
      </c>
      <c r="F521" s="289"/>
      <c r="G521" s="269">
        <v>65000.0</v>
      </c>
      <c r="H521" s="270">
        <v>0.0</v>
      </c>
      <c r="I521" s="269">
        <v>65000.0</v>
      </c>
      <c r="J521" s="271">
        <v>65000.0</v>
      </c>
      <c r="K521" s="272">
        <f t="shared" si="2"/>
        <v>0</v>
      </c>
      <c r="L521" s="290"/>
      <c r="M521" s="290"/>
      <c r="N521" s="290"/>
    </row>
    <row r="522" ht="26.25" customHeight="1">
      <c r="A522" s="288" t="s">
        <v>1670</v>
      </c>
      <c r="B522" s="264">
        <v>45767.0</v>
      </c>
      <c r="C522" s="265" t="s">
        <v>968</v>
      </c>
      <c r="D522" s="266" t="s">
        <v>1671</v>
      </c>
      <c r="E522" s="267" t="s">
        <v>1672</v>
      </c>
      <c r="F522" s="289"/>
      <c r="G522" s="269">
        <v>20000.0</v>
      </c>
      <c r="H522" s="270">
        <v>0.0</v>
      </c>
      <c r="I522" s="269">
        <v>20000.0</v>
      </c>
      <c r="J522" s="271">
        <v>20000.0</v>
      </c>
      <c r="K522" s="272">
        <f t="shared" si="2"/>
        <v>0</v>
      </c>
      <c r="L522" s="290"/>
      <c r="M522" s="290"/>
      <c r="N522" s="290"/>
    </row>
    <row r="523" ht="26.25" customHeight="1">
      <c r="A523" s="274"/>
      <c r="B523" s="264">
        <v>45767.0</v>
      </c>
      <c r="C523" s="265" t="s">
        <v>974</v>
      </c>
      <c r="D523" s="266" t="s">
        <v>31</v>
      </c>
      <c r="E523" s="267" t="s">
        <v>1673</v>
      </c>
      <c r="F523" s="289"/>
      <c r="G523" s="269">
        <v>15000.0</v>
      </c>
      <c r="H523" s="270">
        <v>0.0</v>
      </c>
      <c r="I523" s="269">
        <v>15000.0</v>
      </c>
      <c r="J523" s="271">
        <v>15000.0</v>
      </c>
      <c r="K523" s="272">
        <f t="shared" si="2"/>
        <v>0</v>
      </c>
      <c r="L523" s="290"/>
      <c r="M523" s="290"/>
      <c r="N523" s="290"/>
    </row>
    <row r="524" ht="26.25" customHeight="1">
      <c r="A524" s="277" t="s">
        <v>1674</v>
      </c>
      <c r="B524" s="264">
        <v>45767.0</v>
      </c>
      <c r="C524" s="265" t="s">
        <v>985</v>
      </c>
      <c r="D524" s="266" t="s">
        <v>1675</v>
      </c>
      <c r="E524" s="267" t="s">
        <v>1676</v>
      </c>
      <c r="F524" s="289"/>
      <c r="G524" s="269">
        <v>9000.0</v>
      </c>
      <c r="H524" s="270">
        <v>0.0</v>
      </c>
      <c r="I524" s="269">
        <v>9000.0</v>
      </c>
      <c r="J524" s="271">
        <v>9000.0</v>
      </c>
      <c r="K524" s="272">
        <f t="shared" si="2"/>
        <v>0</v>
      </c>
      <c r="L524" s="290"/>
      <c r="M524" s="290"/>
      <c r="N524" s="290"/>
    </row>
    <row r="525" ht="26.25" customHeight="1">
      <c r="A525" s="290"/>
      <c r="B525" s="264">
        <v>45768.0</v>
      </c>
      <c r="C525" s="265" t="s">
        <v>965</v>
      </c>
      <c r="D525" s="266" t="s">
        <v>31</v>
      </c>
      <c r="E525" s="287" t="s">
        <v>1677</v>
      </c>
      <c r="F525" s="289"/>
      <c r="G525" s="269">
        <v>126000.0</v>
      </c>
      <c r="H525" s="270">
        <v>0.0</v>
      </c>
      <c r="I525" s="269">
        <v>126000.0</v>
      </c>
      <c r="J525" s="271">
        <v>126000.0</v>
      </c>
      <c r="K525" s="272">
        <f t="shared" si="2"/>
        <v>0</v>
      </c>
      <c r="L525" s="290"/>
      <c r="M525" s="290"/>
      <c r="N525" s="290"/>
    </row>
    <row r="526" ht="26.25" customHeight="1">
      <c r="A526" s="288" t="s">
        <v>1678</v>
      </c>
      <c r="B526" s="264">
        <v>45768.0</v>
      </c>
      <c r="C526" s="265" t="s">
        <v>965</v>
      </c>
      <c r="D526" s="266" t="s">
        <v>1679</v>
      </c>
      <c r="E526" s="267" t="s">
        <v>1680</v>
      </c>
      <c r="F526" s="289"/>
      <c r="G526" s="269">
        <v>70000.0</v>
      </c>
      <c r="H526" s="270">
        <v>0.0</v>
      </c>
      <c r="I526" s="269">
        <v>70000.0</v>
      </c>
      <c r="J526" s="271">
        <v>70000.0</v>
      </c>
      <c r="K526" s="272">
        <f t="shared" si="2"/>
        <v>0</v>
      </c>
      <c r="L526" s="290"/>
      <c r="M526" s="290"/>
      <c r="N526" s="290"/>
    </row>
    <row r="527" ht="26.25" customHeight="1">
      <c r="A527" s="288" t="s">
        <v>1681</v>
      </c>
      <c r="B527" s="264">
        <v>45768.0</v>
      </c>
      <c r="C527" s="265" t="s">
        <v>965</v>
      </c>
      <c r="D527" s="266" t="s">
        <v>1567</v>
      </c>
      <c r="E527" s="267" t="s">
        <v>1682</v>
      </c>
      <c r="F527" s="289"/>
      <c r="G527" s="269">
        <v>60000.0</v>
      </c>
      <c r="H527" s="270">
        <v>0.0</v>
      </c>
      <c r="I527" s="269">
        <v>60000.0</v>
      </c>
      <c r="J527" s="271">
        <v>60000.0</v>
      </c>
      <c r="K527" s="272">
        <f t="shared" si="2"/>
        <v>0</v>
      </c>
      <c r="L527" s="290"/>
      <c r="M527" s="290"/>
      <c r="N527" s="290"/>
    </row>
    <row r="528" ht="26.25" customHeight="1">
      <c r="A528" s="290"/>
      <c r="B528" s="264">
        <v>45768.0</v>
      </c>
      <c r="C528" s="265" t="s">
        <v>1035</v>
      </c>
      <c r="D528" s="266" t="s">
        <v>1528</v>
      </c>
      <c r="E528" s="267" t="s">
        <v>1229</v>
      </c>
      <c r="F528" s="289"/>
      <c r="G528" s="269">
        <v>14000.0</v>
      </c>
      <c r="H528" s="270">
        <v>0.0</v>
      </c>
      <c r="I528" s="269">
        <v>14000.0</v>
      </c>
      <c r="J528" s="271">
        <v>14000.0</v>
      </c>
      <c r="K528" s="272">
        <f t="shared" si="2"/>
        <v>0</v>
      </c>
      <c r="L528" s="290"/>
      <c r="M528" s="290"/>
      <c r="N528" s="290"/>
    </row>
    <row r="529" ht="26.25" customHeight="1">
      <c r="A529" s="273"/>
      <c r="B529" s="264">
        <v>45768.0</v>
      </c>
      <c r="C529" s="275" t="s">
        <v>974</v>
      </c>
      <c r="D529" s="266" t="s">
        <v>20</v>
      </c>
      <c r="E529" s="267" t="s">
        <v>1683</v>
      </c>
      <c r="F529" s="268"/>
      <c r="G529" s="269">
        <v>10000.0</v>
      </c>
      <c r="H529" s="270">
        <v>0.0</v>
      </c>
      <c r="I529" s="269">
        <v>10000.0</v>
      </c>
      <c r="J529" s="271">
        <v>10000.0</v>
      </c>
      <c r="K529" s="272">
        <f t="shared" si="2"/>
        <v>0</v>
      </c>
      <c r="L529" s="273"/>
      <c r="M529" s="273"/>
      <c r="N529" s="273"/>
    </row>
    <row r="530" ht="26.25" customHeight="1">
      <c r="A530" s="281" t="s">
        <v>1684</v>
      </c>
      <c r="B530" s="264">
        <v>45769.0</v>
      </c>
      <c r="C530" s="275" t="s">
        <v>957</v>
      </c>
      <c r="D530" s="266" t="s">
        <v>45</v>
      </c>
      <c r="E530" s="267" t="s">
        <v>1685</v>
      </c>
      <c r="F530" s="268"/>
      <c r="G530" s="269">
        <v>1675000.0</v>
      </c>
      <c r="H530" s="270">
        <v>0.0</v>
      </c>
      <c r="I530" s="269">
        <v>1675000.0</v>
      </c>
      <c r="J530" s="271">
        <v>1675000.0</v>
      </c>
      <c r="K530" s="272">
        <f t="shared" si="2"/>
        <v>0</v>
      </c>
      <c r="L530" s="273"/>
      <c r="M530" s="273"/>
      <c r="N530" s="273"/>
    </row>
    <row r="531" ht="26.25" customHeight="1">
      <c r="A531" s="281" t="s">
        <v>1686</v>
      </c>
      <c r="B531" s="264">
        <v>45769.0</v>
      </c>
      <c r="C531" s="275" t="s">
        <v>965</v>
      </c>
      <c r="D531" s="266" t="s">
        <v>980</v>
      </c>
      <c r="E531" s="267" t="s">
        <v>980</v>
      </c>
      <c r="F531" s="268"/>
      <c r="G531" s="269">
        <v>1445000.0</v>
      </c>
      <c r="H531" s="270">
        <v>0.0</v>
      </c>
      <c r="I531" s="269">
        <v>1445000.0</v>
      </c>
      <c r="J531" s="271">
        <v>1445000.0</v>
      </c>
      <c r="K531" s="272">
        <f t="shared" si="2"/>
        <v>0</v>
      </c>
      <c r="L531" s="273"/>
      <c r="M531" s="273"/>
      <c r="N531" s="273"/>
    </row>
    <row r="532" ht="26.25" customHeight="1">
      <c r="A532" s="281" t="s">
        <v>1687</v>
      </c>
      <c r="B532" s="264">
        <v>45769.0</v>
      </c>
      <c r="C532" s="275" t="s">
        <v>972</v>
      </c>
      <c r="D532" s="266" t="s">
        <v>1323</v>
      </c>
      <c r="E532" s="267" t="s">
        <v>249</v>
      </c>
      <c r="F532" s="268"/>
      <c r="G532" s="269">
        <v>220000.0</v>
      </c>
      <c r="H532" s="270">
        <v>0.0</v>
      </c>
      <c r="I532" s="269">
        <v>220000.0</v>
      </c>
      <c r="J532" s="271">
        <v>220000.0</v>
      </c>
      <c r="K532" s="272">
        <f t="shared" si="2"/>
        <v>0</v>
      </c>
      <c r="L532" s="273"/>
      <c r="M532" s="273"/>
      <c r="N532" s="273"/>
    </row>
    <row r="533" ht="26.25" customHeight="1">
      <c r="A533" s="274"/>
      <c r="B533" s="264">
        <v>45769.0</v>
      </c>
      <c r="C533" s="265" t="s">
        <v>1057</v>
      </c>
      <c r="D533" s="266" t="s">
        <v>1204</v>
      </c>
      <c r="E533" s="267" t="s">
        <v>1664</v>
      </c>
      <c r="F533" s="289"/>
      <c r="G533" s="269">
        <v>50000.0</v>
      </c>
      <c r="H533" s="270">
        <v>0.0</v>
      </c>
      <c r="I533" s="269">
        <v>50000.0</v>
      </c>
      <c r="J533" s="271">
        <v>50000.0</v>
      </c>
      <c r="K533" s="272">
        <f t="shared" si="2"/>
        <v>0</v>
      </c>
      <c r="L533" s="290"/>
      <c r="M533" s="290"/>
      <c r="N533" s="290"/>
    </row>
    <row r="534" ht="26.25" customHeight="1">
      <c r="A534" s="289"/>
      <c r="B534" s="264">
        <v>45769.0</v>
      </c>
      <c r="C534" s="265" t="s">
        <v>960</v>
      </c>
      <c r="D534" s="266" t="s">
        <v>20</v>
      </c>
      <c r="E534" s="267" t="s">
        <v>1688</v>
      </c>
      <c r="F534" s="289"/>
      <c r="G534" s="269">
        <v>45000.0</v>
      </c>
      <c r="H534" s="270">
        <v>0.0</v>
      </c>
      <c r="I534" s="269">
        <v>45000.0</v>
      </c>
      <c r="J534" s="271">
        <v>45000.0</v>
      </c>
      <c r="K534" s="272">
        <f t="shared" si="2"/>
        <v>0</v>
      </c>
      <c r="L534" s="290"/>
      <c r="M534" s="290"/>
      <c r="N534" s="290"/>
    </row>
    <row r="535" ht="26.25" customHeight="1">
      <c r="A535" s="290"/>
      <c r="B535" s="264">
        <v>45769.0</v>
      </c>
      <c r="C535" s="265" t="s">
        <v>968</v>
      </c>
      <c r="D535" s="266" t="s">
        <v>1528</v>
      </c>
      <c r="E535" s="267" t="s">
        <v>1689</v>
      </c>
      <c r="F535" s="289"/>
      <c r="G535" s="269">
        <v>13000.0</v>
      </c>
      <c r="H535" s="270">
        <v>0.0</v>
      </c>
      <c r="I535" s="269">
        <v>13000.0</v>
      </c>
      <c r="J535" s="271">
        <v>13000.0</v>
      </c>
      <c r="K535" s="272">
        <f t="shared" si="2"/>
        <v>0</v>
      </c>
      <c r="L535" s="290"/>
      <c r="M535" s="290"/>
      <c r="N535" s="290"/>
    </row>
    <row r="536" ht="26.25" customHeight="1">
      <c r="A536" s="288" t="s">
        <v>1687</v>
      </c>
      <c r="B536" s="264">
        <v>45769.0</v>
      </c>
      <c r="C536" s="265" t="s">
        <v>974</v>
      </c>
      <c r="D536" s="266" t="s">
        <v>1266</v>
      </c>
      <c r="E536" s="267" t="s">
        <v>1389</v>
      </c>
      <c r="F536" s="289"/>
      <c r="G536" s="269">
        <v>10000.0</v>
      </c>
      <c r="H536" s="270">
        <v>0.0</v>
      </c>
      <c r="I536" s="269">
        <v>10000.0</v>
      </c>
      <c r="J536" s="271">
        <v>10000.0</v>
      </c>
      <c r="K536" s="272">
        <f t="shared" si="2"/>
        <v>0</v>
      </c>
      <c r="L536" s="290"/>
      <c r="M536" s="290"/>
      <c r="N536" s="290"/>
    </row>
    <row r="537" ht="26.25" customHeight="1">
      <c r="A537" s="274"/>
      <c r="B537" s="264">
        <v>45769.0</v>
      </c>
      <c r="C537" s="265" t="s">
        <v>974</v>
      </c>
      <c r="D537" s="266" t="s">
        <v>980</v>
      </c>
      <c r="E537" s="267" t="s">
        <v>1690</v>
      </c>
      <c r="F537" s="289"/>
      <c r="G537" s="269">
        <v>10000.0</v>
      </c>
      <c r="H537" s="270">
        <v>0.0</v>
      </c>
      <c r="I537" s="269">
        <v>10000.0</v>
      </c>
      <c r="J537" s="271">
        <v>10000.0</v>
      </c>
      <c r="K537" s="272">
        <f t="shared" si="2"/>
        <v>0</v>
      </c>
      <c r="L537" s="290"/>
      <c r="M537" s="290"/>
      <c r="N537" s="290"/>
    </row>
    <row r="538" ht="26.25" customHeight="1">
      <c r="A538" s="290"/>
      <c r="B538" s="264">
        <v>45769.0</v>
      </c>
      <c r="C538" s="265" t="s">
        <v>957</v>
      </c>
      <c r="D538" s="266" t="s">
        <v>31</v>
      </c>
      <c r="E538" s="267" t="s">
        <v>1691</v>
      </c>
      <c r="F538" s="289"/>
      <c r="G538" s="269">
        <v>5000.0</v>
      </c>
      <c r="H538" s="270">
        <v>0.0</v>
      </c>
      <c r="I538" s="269">
        <v>5000.0</v>
      </c>
      <c r="J538" s="271">
        <v>5000.0</v>
      </c>
      <c r="K538" s="272">
        <f t="shared" si="2"/>
        <v>0</v>
      </c>
      <c r="L538" s="290"/>
      <c r="M538" s="290"/>
      <c r="N538" s="290"/>
    </row>
    <row r="539" ht="26.25" customHeight="1">
      <c r="A539" s="290"/>
      <c r="B539" s="264">
        <v>45769.0</v>
      </c>
      <c r="C539" s="265" t="s">
        <v>1431</v>
      </c>
      <c r="D539" s="266" t="s">
        <v>824</v>
      </c>
      <c r="E539" s="267" t="s">
        <v>1659</v>
      </c>
      <c r="F539" s="289"/>
      <c r="G539" s="269">
        <v>5000.0</v>
      </c>
      <c r="H539" s="270">
        <v>0.0</v>
      </c>
      <c r="I539" s="269">
        <v>5000.0</v>
      </c>
      <c r="J539" s="271">
        <v>5000.0</v>
      </c>
      <c r="K539" s="272">
        <f t="shared" si="2"/>
        <v>0</v>
      </c>
      <c r="L539" s="290"/>
      <c r="M539" s="290"/>
      <c r="N539" s="290"/>
    </row>
    <row r="540" ht="26.25" customHeight="1">
      <c r="A540" s="290"/>
      <c r="B540" s="264">
        <v>45769.0</v>
      </c>
      <c r="C540" s="265" t="s">
        <v>985</v>
      </c>
      <c r="D540" s="266" t="s">
        <v>1571</v>
      </c>
      <c r="E540" s="267" t="s">
        <v>1692</v>
      </c>
      <c r="F540" s="289"/>
      <c r="G540" s="269">
        <v>1000.0</v>
      </c>
      <c r="H540" s="270">
        <v>0.0</v>
      </c>
      <c r="I540" s="269">
        <v>1000.0</v>
      </c>
      <c r="J540" s="271">
        <v>1000.0</v>
      </c>
      <c r="K540" s="272">
        <f t="shared" si="2"/>
        <v>0</v>
      </c>
      <c r="L540" s="290"/>
      <c r="M540" s="290"/>
      <c r="N540" s="290"/>
    </row>
    <row r="541" ht="26.25" customHeight="1">
      <c r="A541" s="288" t="s">
        <v>1693</v>
      </c>
      <c r="B541" s="264">
        <v>45770.0</v>
      </c>
      <c r="C541" s="265" t="s">
        <v>965</v>
      </c>
      <c r="D541" s="266" t="s">
        <v>1407</v>
      </c>
      <c r="E541" s="267" t="s">
        <v>1694</v>
      </c>
      <c r="F541" s="289"/>
      <c r="G541" s="269">
        <v>155000.0</v>
      </c>
      <c r="H541" s="270">
        <v>0.0</v>
      </c>
      <c r="I541" s="269">
        <v>155000.0</v>
      </c>
      <c r="J541" s="271">
        <v>155000.0</v>
      </c>
      <c r="K541" s="272">
        <f t="shared" si="2"/>
        <v>0</v>
      </c>
      <c r="L541" s="290"/>
      <c r="M541" s="290"/>
      <c r="N541" s="290"/>
    </row>
    <row r="542" ht="26.25" customHeight="1">
      <c r="A542" s="281" t="s">
        <v>1695</v>
      </c>
      <c r="B542" s="264">
        <v>45770.0</v>
      </c>
      <c r="C542" s="275" t="s">
        <v>965</v>
      </c>
      <c r="D542" s="266" t="s">
        <v>1029</v>
      </c>
      <c r="E542" s="267" t="s">
        <v>1696</v>
      </c>
      <c r="F542" s="268"/>
      <c r="G542" s="269">
        <v>120000.0</v>
      </c>
      <c r="H542" s="270">
        <v>0.0</v>
      </c>
      <c r="I542" s="269">
        <v>120000.0</v>
      </c>
      <c r="J542" s="271">
        <v>120000.0</v>
      </c>
      <c r="K542" s="272">
        <f t="shared" si="2"/>
        <v>0</v>
      </c>
      <c r="L542" s="273"/>
      <c r="M542" s="273"/>
      <c r="N542" s="273"/>
    </row>
    <row r="543" ht="26.25" customHeight="1">
      <c r="A543" s="273"/>
      <c r="B543" s="264">
        <v>45770.0</v>
      </c>
      <c r="C543" s="275" t="s">
        <v>974</v>
      </c>
      <c r="D543" s="266" t="s">
        <v>45</v>
      </c>
      <c r="E543" s="267" t="s">
        <v>1697</v>
      </c>
      <c r="F543" s="268"/>
      <c r="G543" s="269">
        <v>25000.0</v>
      </c>
      <c r="H543" s="270">
        <v>0.0</v>
      </c>
      <c r="I543" s="269">
        <v>25000.0</v>
      </c>
      <c r="J543" s="271">
        <v>25000.0</v>
      </c>
      <c r="K543" s="272">
        <f t="shared" si="2"/>
        <v>0</v>
      </c>
      <c r="L543" s="273"/>
      <c r="M543" s="273"/>
      <c r="N543" s="273"/>
    </row>
    <row r="544" ht="26.25" customHeight="1">
      <c r="A544" s="277" t="s">
        <v>1698</v>
      </c>
      <c r="B544" s="264">
        <v>45771.0</v>
      </c>
      <c r="C544" s="265" t="s">
        <v>968</v>
      </c>
      <c r="D544" s="266" t="s">
        <v>1699</v>
      </c>
      <c r="E544" s="267" t="s">
        <v>1700</v>
      </c>
      <c r="F544" s="289"/>
      <c r="G544" s="269">
        <v>390000.0</v>
      </c>
      <c r="H544" s="270">
        <v>0.0</v>
      </c>
      <c r="I544" s="269">
        <v>390000.0</v>
      </c>
      <c r="J544" s="271">
        <v>390000.0</v>
      </c>
      <c r="K544" s="272">
        <f t="shared" si="2"/>
        <v>0</v>
      </c>
      <c r="L544" s="290"/>
      <c r="M544" s="290"/>
      <c r="N544" s="290"/>
    </row>
    <row r="545" ht="26.25" customHeight="1">
      <c r="A545" s="277" t="s">
        <v>1701</v>
      </c>
      <c r="B545" s="264">
        <v>45771.0</v>
      </c>
      <c r="C545" s="265" t="s">
        <v>965</v>
      </c>
      <c r="D545" s="266" t="s">
        <v>1525</v>
      </c>
      <c r="E545" s="267" t="s">
        <v>1702</v>
      </c>
      <c r="F545" s="289"/>
      <c r="G545" s="269">
        <v>388000.0</v>
      </c>
      <c r="H545" s="270">
        <v>0.0</v>
      </c>
      <c r="I545" s="269">
        <v>388000.0</v>
      </c>
      <c r="J545" s="271">
        <v>388000.0</v>
      </c>
      <c r="K545" s="272">
        <f t="shared" si="2"/>
        <v>0</v>
      </c>
      <c r="L545" s="290"/>
      <c r="M545" s="290"/>
      <c r="N545" s="290"/>
    </row>
    <row r="546" ht="26.25" customHeight="1">
      <c r="A546" s="290"/>
      <c r="B546" s="264">
        <v>45771.0</v>
      </c>
      <c r="C546" s="265" t="s">
        <v>974</v>
      </c>
      <c r="D546" s="266" t="s">
        <v>1029</v>
      </c>
      <c r="E546" s="267" t="s">
        <v>1503</v>
      </c>
      <c r="F546" s="289"/>
      <c r="G546" s="269">
        <v>300000.0</v>
      </c>
      <c r="H546" s="270">
        <v>0.0</v>
      </c>
      <c r="I546" s="269">
        <v>300000.0</v>
      </c>
      <c r="J546" s="271">
        <v>300000.0</v>
      </c>
      <c r="K546" s="272">
        <f t="shared" si="2"/>
        <v>0</v>
      </c>
      <c r="L546" s="290"/>
      <c r="M546" s="290"/>
      <c r="N546" s="290"/>
    </row>
    <row r="547" ht="26.25" customHeight="1">
      <c r="A547" s="277" t="s">
        <v>1703</v>
      </c>
      <c r="B547" s="264">
        <v>45771.0</v>
      </c>
      <c r="C547" s="265" t="s">
        <v>972</v>
      </c>
      <c r="D547" s="266" t="s">
        <v>1266</v>
      </c>
      <c r="E547" s="267" t="s">
        <v>1704</v>
      </c>
      <c r="F547" s="289"/>
      <c r="G547" s="269">
        <v>300000.0</v>
      </c>
      <c r="H547" s="270">
        <v>0.0</v>
      </c>
      <c r="I547" s="269">
        <v>300000.0</v>
      </c>
      <c r="J547" s="271">
        <v>300000.0</v>
      </c>
      <c r="K547" s="272">
        <f t="shared" si="2"/>
        <v>0</v>
      </c>
      <c r="L547" s="290"/>
      <c r="M547" s="290"/>
      <c r="N547" s="290"/>
    </row>
    <row r="548" ht="26.25" customHeight="1">
      <c r="A548" s="288" t="s">
        <v>1705</v>
      </c>
      <c r="B548" s="264">
        <v>45771.0</v>
      </c>
      <c r="C548" s="265" t="s">
        <v>965</v>
      </c>
      <c r="D548" s="266" t="s">
        <v>980</v>
      </c>
      <c r="E548" s="267" t="s">
        <v>980</v>
      </c>
      <c r="F548" s="289"/>
      <c r="G548" s="269">
        <v>175000.0</v>
      </c>
      <c r="H548" s="270">
        <v>0.0</v>
      </c>
      <c r="I548" s="269">
        <v>175000.0</v>
      </c>
      <c r="J548" s="271">
        <v>175000.0</v>
      </c>
      <c r="K548" s="272">
        <f t="shared" si="2"/>
        <v>0</v>
      </c>
      <c r="L548" s="290"/>
      <c r="M548" s="290"/>
      <c r="N548" s="290"/>
    </row>
    <row r="549" ht="26.25" customHeight="1">
      <c r="A549" s="281" t="s">
        <v>1706</v>
      </c>
      <c r="B549" s="264">
        <v>45771.0</v>
      </c>
      <c r="C549" s="265" t="s">
        <v>972</v>
      </c>
      <c r="D549" s="266" t="s">
        <v>1266</v>
      </c>
      <c r="E549" s="267" t="s">
        <v>1704</v>
      </c>
      <c r="F549" s="268"/>
      <c r="G549" s="269">
        <v>55000.0</v>
      </c>
      <c r="H549" s="270">
        <v>0.0</v>
      </c>
      <c r="I549" s="269">
        <v>55000.0</v>
      </c>
      <c r="J549" s="271">
        <v>55000.0</v>
      </c>
      <c r="K549" s="272">
        <f t="shared" si="2"/>
        <v>0</v>
      </c>
      <c r="L549" s="273"/>
      <c r="M549" s="273"/>
      <c r="N549" s="273"/>
    </row>
    <row r="550" ht="26.25" customHeight="1">
      <c r="A550" s="288" t="s">
        <v>1707</v>
      </c>
      <c r="B550" s="264">
        <v>45771.0</v>
      </c>
      <c r="C550" s="265" t="s">
        <v>1035</v>
      </c>
      <c r="D550" s="266" t="s">
        <v>704</v>
      </c>
      <c r="E550" s="267" t="s">
        <v>1708</v>
      </c>
      <c r="F550" s="289"/>
      <c r="G550" s="269">
        <v>11000.0</v>
      </c>
      <c r="H550" s="270">
        <v>0.0</v>
      </c>
      <c r="I550" s="269">
        <v>11000.0</v>
      </c>
      <c r="J550" s="271">
        <v>11000.0</v>
      </c>
      <c r="K550" s="272">
        <f t="shared" si="2"/>
        <v>0</v>
      </c>
      <c r="L550" s="290"/>
      <c r="M550" s="290"/>
      <c r="N550" s="290"/>
    </row>
    <row r="551" ht="26.25" customHeight="1">
      <c r="A551" s="274"/>
      <c r="B551" s="264">
        <v>45771.0</v>
      </c>
      <c r="C551" s="265" t="s">
        <v>974</v>
      </c>
      <c r="D551" s="266" t="s">
        <v>31</v>
      </c>
      <c r="E551" s="267" t="s">
        <v>1709</v>
      </c>
      <c r="F551" s="268"/>
      <c r="G551" s="269">
        <v>10000.0</v>
      </c>
      <c r="H551" s="270">
        <v>0.0</v>
      </c>
      <c r="I551" s="269">
        <v>10000.0</v>
      </c>
      <c r="J551" s="271">
        <v>10000.0</v>
      </c>
      <c r="K551" s="272">
        <f t="shared" si="2"/>
        <v>0</v>
      </c>
      <c r="L551" s="273"/>
      <c r="M551" s="273"/>
      <c r="N551" s="273"/>
    </row>
    <row r="552" ht="26.25" customHeight="1">
      <c r="A552" s="273"/>
      <c r="B552" s="264">
        <v>45771.0</v>
      </c>
      <c r="C552" s="265" t="s">
        <v>974</v>
      </c>
      <c r="D552" s="266" t="s">
        <v>31</v>
      </c>
      <c r="E552" s="267" t="s">
        <v>1710</v>
      </c>
      <c r="F552" s="268"/>
      <c r="G552" s="269">
        <v>10000.0</v>
      </c>
      <c r="H552" s="270">
        <v>0.0</v>
      </c>
      <c r="I552" s="269">
        <v>10000.0</v>
      </c>
      <c r="J552" s="271">
        <v>10000.0</v>
      </c>
      <c r="K552" s="272">
        <f t="shared" si="2"/>
        <v>0</v>
      </c>
      <c r="L552" s="273"/>
      <c r="M552" s="273"/>
      <c r="N552" s="273"/>
    </row>
    <row r="553" ht="26.25" customHeight="1">
      <c r="A553" s="274"/>
      <c r="B553" s="264">
        <v>45771.0</v>
      </c>
      <c r="C553" s="265" t="s">
        <v>1035</v>
      </c>
      <c r="D553" s="266" t="s">
        <v>704</v>
      </c>
      <c r="E553" s="267" t="s">
        <v>1229</v>
      </c>
      <c r="F553" s="289"/>
      <c r="G553" s="269">
        <v>7000.0</v>
      </c>
      <c r="H553" s="270">
        <v>0.0</v>
      </c>
      <c r="I553" s="269">
        <v>7000.0</v>
      </c>
      <c r="J553" s="271">
        <v>7000.0</v>
      </c>
      <c r="K553" s="272">
        <f t="shared" si="2"/>
        <v>0</v>
      </c>
      <c r="L553" s="290"/>
      <c r="M553" s="290"/>
      <c r="N553" s="290"/>
    </row>
    <row r="554" ht="26.25" customHeight="1">
      <c r="A554" s="290"/>
      <c r="B554" s="264">
        <v>45771.0</v>
      </c>
      <c r="C554" s="265" t="s">
        <v>968</v>
      </c>
      <c r="D554" s="266" t="s">
        <v>1528</v>
      </c>
      <c r="E554" s="267" t="s">
        <v>1711</v>
      </c>
      <c r="F554" s="289"/>
      <c r="G554" s="269">
        <v>6000.0</v>
      </c>
      <c r="H554" s="270">
        <v>0.0</v>
      </c>
      <c r="I554" s="269">
        <v>6000.0</v>
      </c>
      <c r="J554" s="271">
        <v>6000.0</v>
      </c>
      <c r="K554" s="272">
        <f t="shared" si="2"/>
        <v>0</v>
      </c>
      <c r="L554" s="290"/>
      <c r="M554" s="290"/>
      <c r="N554" s="290"/>
    </row>
    <row r="555" ht="26.25" customHeight="1">
      <c r="A555" s="274"/>
      <c r="B555" s="264">
        <v>45771.0</v>
      </c>
      <c r="C555" s="265" t="s">
        <v>974</v>
      </c>
      <c r="D555" s="266" t="s">
        <v>20</v>
      </c>
      <c r="E555" s="267" t="s">
        <v>1563</v>
      </c>
      <c r="F555" s="289"/>
      <c r="G555" s="269">
        <v>5000.0</v>
      </c>
      <c r="H555" s="270">
        <v>0.0</v>
      </c>
      <c r="I555" s="269">
        <v>5000.0</v>
      </c>
      <c r="J555" s="271">
        <v>5000.0</v>
      </c>
      <c r="K555" s="272">
        <f t="shared" si="2"/>
        <v>0</v>
      </c>
      <c r="L555" s="290"/>
      <c r="M555" s="290"/>
      <c r="N555" s="290"/>
    </row>
    <row r="556" ht="26.25" customHeight="1">
      <c r="A556" s="274"/>
      <c r="B556" s="264">
        <v>45771.0</v>
      </c>
      <c r="C556" s="265" t="s">
        <v>1057</v>
      </c>
      <c r="D556" s="266" t="s">
        <v>1204</v>
      </c>
      <c r="E556" s="267" t="s">
        <v>1712</v>
      </c>
      <c r="F556" s="289"/>
      <c r="G556" s="269">
        <v>0.0</v>
      </c>
      <c r="H556" s="270">
        <v>0.0</v>
      </c>
      <c r="I556" s="269">
        <v>0.0</v>
      </c>
      <c r="J556" s="271">
        <v>0.0</v>
      </c>
      <c r="K556" s="272">
        <f t="shared" si="2"/>
        <v>0</v>
      </c>
      <c r="L556" s="290"/>
      <c r="M556" s="290"/>
      <c r="N556" s="290"/>
    </row>
    <row r="557" ht="26.25" customHeight="1">
      <c r="A557" s="290"/>
      <c r="B557" s="264">
        <v>45772.0</v>
      </c>
      <c r="C557" s="265" t="s">
        <v>968</v>
      </c>
      <c r="D557" s="266" t="s">
        <v>1713</v>
      </c>
      <c r="E557" s="267" t="s">
        <v>1714</v>
      </c>
      <c r="F557" s="289"/>
      <c r="G557" s="269">
        <v>80000.0</v>
      </c>
      <c r="H557" s="270">
        <v>0.0</v>
      </c>
      <c r="I557" s="269">
        <v>80000.0</v>
      </c>
      <c r="J557" s="271">
        <v>80000.0</v>
      </c>
      <c r="K557" s="272">
        <f t="shared" si="2"/>
        <v>0</v>
      </c>
      <c r="L557" s="290"/>
      <c r="M557" s="290"/>
      <c r="N557" s="290"/>
    </row>
    <row r="558" ht="26.25" customHeight="1">
      <c r="A558" s="273"/>
      <c r="B558" s="264">
        <v>45772.0</v>
      </c>
      <c r="C558" s="275" t="s">
        <v>974</v>
      </c>
      <c r="D558" s="266" t="s">
        <v>1445</v>
      </c>
      <c r="E558" s="267" t="s">
        <v>1715</v>
      </c>
      <c r="F558" s="268"/>
      <c r="G558" s="269">
        <v>35000.0</v>
      </c>
      <c r="H558" s="270">
        <v>0.0</v>
      </c>
      <c r="I558" s="269">
        <v>35000.0</v>
      </c>
      <c r="J558" s="271">
        <v>35000.0</v>
      </c>
      <c r="K558" s="272">
        <f t="shared" si="2"/>
        <v>0</v>
      </c>
      <c r="L558" s="273"/>
      <c r="M558" s="273"/>
      <c r="N558" s="273"/>
    </row>
    <row r="559" ht="26.25" customHeight="1">
      <c r="A559" s="273"/>
      <c r="B559" s="264">
        <v>45772.0</v>
      </c>
      <c r="C559" s="275" t="s">
        <v>974</v>
      </c>
      <c r="D559" s="266" t="s">
        <v>824</v>
      </c>
      <c r="E559" s="267" t="s">
        <v>1716</v>
      </c>
      <c r="F559" s="268"/>
      <c r="G559" s="269">
        <v>15000.0</v>
      </c>
      <c r="H559" s="270">
        <v>0.0</v>
      </c>
      <c r="I559" s="269">
        <v>15000.0</v>
      </c>
      <c r="J559" s="271">
        <v>15000.0</v>
      </c>
      <c r="K559" s="272">
        <f t="shared" si="2"/>
        <v>0</v>
      </c>
      <c r="L559" s="273"/>
      <c r="M559" s="273"/>
      <c r="N559" s="273"/>
    </row>
    <row r="560" ht="26.25" customHeight="1">
      <c r="A560" s="273"/>
      <c r="B560" s="264">
        <v>45772.0</v>
      </c>
      <c r="C560" s="275" t="s">
        <v>974</v>
      </c>
      <c r="D560" s="266" t="s">
        <v>1717</v>
      </c>
      <c r="E560" s="267" t="s">
        <v>1718</v>
      </c>
      <c r="F560" s="268"/>
      <c r="G560" s="269">
        <v>5000.0</v>
      </c>
      <c r="H560" s="270">
        <v>0.0</v>
      </c>
      <c r="I560" s="269">
        <v>5000.0</v>
      </c>
      <c r="J560" s="271">
        <v>5000.0</v>
      </c>
      <c r="K560" s="272">
        <f t="shared" si="2"/>
        <v>0</v>
      </c>
      <c r="L560" s="273"/>
      <c r="M560" s="273"/>
      <c r="N560" s="273"/>
    </row>
    <row r="561" ht="26.25" customHeight="1">
      <c r="A561" s="274"/>
      <c r="B561" s="264">
        <v>45772.0</v>
      </c>
      <c r="C561" s="265" t="s">
        <v>974</v>
      </c>
      <c r="D561" s="266" t="s">
        <v>1029</v>
      </c>
      <c r="E561" s="267" t="s">
        <v>1719</v>
      </c>
      <c r="F561" s="268"/>
      <c r="G561" s="269">
        <v>5000.0</v>
      </c>
      <c r="H561" s="270">
        <v>0.0</v>
      </c>
      <c r="I561" s="269">
        <v>5000.0</v>
      </c>
      <c r="J561" s="271">
        <v>5000.0</v>
      </c>
      <c r="K561" s="272">
        <f t="shared" si="2"/>
        <v>0</v>
      </c>
      <c r="L561" s="273"/>
      <c r="M561" s="273"/>
      <c r="N561" s="273"/>
    </row>
    <row r="562" ht="26.25" customHeight="1">
      <c r="A562" s="281" t="s">
        <v>1720</v>
      </c>
      <c r="B562" s="264">
        <v>45773.0</v>
      </c>
      <c r="C562" s="275" t="s">
        <v>957</v>
      </c>
      <c r="D562" s="266" t="s">
        <v>1721</v>
      </c>
      <c r="E562" s="267" t="s">
        <v>1722</v>
      </c>
      <c r="F562" s="268"/>
      <c r="G562" s="269">
        <v>720000.0</v>
      </c>
      <c r="H562" s="270">
        <v>0.0</v>
      </c>
      <c r="I562" s="269">
        <v>720000.0</v>
      </c>
      <c r="J562" s="271">
        <v>720000.0</v>
      </c>
      <c r="K562" s="272">
        <f t="shared" si="2"/>
        <v>0</v>
      </c>
      <c r="L562" s="273"/>
      <c r="M562" s="273"/>
      <c r="N562" s="273"/>
    </row>
    <row r="563" ht="26.25" customHeight="1">
      <c r="A563" s="273"/>
      <c r="B563" s="264">
        <v>45773.0</v>
      </c>
      <c r="C563" s="275" t="s">
        <v>974</v>
      </c>
      <c r="D563" s="266" t="s">
        <v>31</v>
      </c>
      <c r="E563" s="267" t="s">
        <v>1723</v>
      </c>
      <c r="F563" s="268"/>
      <c r="G563" s="269">
        <v>230000.0</v>
      </c>
      <c r="H563" s="270">
        <v>0.0</v>
      </c>
      <c r="I563" s="269">
        <v>230000.0</v>
      </c>
      <c r="J563" s="271">
        <v>230000.0</v>
      </c>
      <c r="K563" s="272">
        <f t="shared" si="2"/>
        <v>0</v>
      </c>
      <c r="L563" s="273"/>
      <c r="M563" s="273"/>
      <c r="N563" s="273"/>
    </row>
    <row r="564" ht="26.25" customHeight="1">
      <c r="A564" s="273"/>
      <c r="B564" s="264">
        <v>45773.0</v>
      </c>
      <c r="C564" s="275" t="s">
        <v>974</v>
      </c>
      <c r="D564" s="266" t="s">
        <v>1457</v>
      </c>
      <c r="E564" s="267" t="s">
        <v>1724</v>
      </c>
      <c r="F564" s="268"/>
      <c r="G564" s="269">
        <v>160000.0</v>
      </c>
      <c r="H564" s="270">
        <v>0.0</v>
      </c>
      <c r="I564" s="269">
        <v>160000.0</v>
      </c>
      <c r="J564" s="271">
        <v>160000.0</v>
      </c>
      <c r="K564" s="272">
        <f t="shared" si="2"/>
        <v>0</v>
      </c>
      <c r="L564" s="273"/>
      <c r="M564" s="273"/>
      <c r="N564" s="273"/>
    </row>
    <row r="565" ht="26.25" customHeight="1">
      <c r="A565" s="273"/>
      <c r="B565" s="264">
        <v>45773.0</v>
      </c>
      <c r="C565" s="275" t="s">
        <v>974</v>
      </c>
      <c r="D565" s="266" t="s">
        <v>31</v>
      </c>
      <c r="E565" s="267" t="s">
        <v>1725</v>
      </c>
      <c r="F565" s="268"/>
      <c r="G565" s="269">
        <v>25000.0</v>
      </c>
      <c r="H565" s="270">
        <v>0.0</v>
      </c>
      <c r="I565" s="269">
        <v>25000.0</v>
      </c>
      <c r="J565" s="271">
        <v>25000.0</v>
      </c>
      <c r="K565" s="272">
        <f t="shared" si="2"/>
        <v>0</v>
      </c>
      <c r="L565" s="273"/>
      <c r="M565" s="273"/>
      <c r="N565" s="273"/>
    </row>
    <row r="566" ht="26.25" customHeight="1">
      <c r="A566" s="290"/>
      <c r="B566" s="264">
        <v>45773.0</v>
      </c>
      <c r="C566" s="265" t="s">
        <v>974</v>
      </c>
      <c r="D566" s="266" t="s">
        <v>1029</v>
      </c>
      <c r="E566" s="267" t="s">
        <v>1726</v>
      </c>
      <c r="F566" s="289"/>
      <c r="G566" s="269">
        <v>25000.0</v>
      </c>
      <c r="H566" s="270">
        <v>0.0</v>
      </c>
      <c r="I566" s="269">
        <v>25000.0</v>
      </c>
      <c r="J566" s="271">
        <v>25000.0</v>
      </c>
      <c r="K566" s="272">
        <f t="shared" si="2"/>
        <v>0</v>
      </c>
      <c r="L566" s="290"/>
      <c r="M566" s="290"/>
      <c r="N566" s="290"/>
    </row>
    <row r="567" ht="26.25" customHeight="1">
      <c r="A567" s="274"/>
      <c r="B567" s="264">
        <v>45773.0</v>
      </c>
      <c r="C567" s="265" t="s">
        <v>974</v>
      </c>
      <c r="D567" s="266" t="s">
        <v>1340</v>
      </c>
      <c r="E567" s="267" t="s">
        <v>1727</v>
      </c>
      <c r="F567" s="268"/>
      <c r="G567" s="269">
        <v>10000.0</v>
      </c>
      <c r="H567" s="270">
        <v>0.0</v>
      </c>
      <c r="I567" s="269">
        <v>10000.0</v>
      </c>
      <c r="J567" s="271">
        <v>10000.0</v>
      </c>
      <c r="K567" s="272">
        <f t="shared" si="2"/>
        <v>0</v>
      </c>
      <c r="L567" s="273"/>
      <c r="M567" s="273"/>
      <c r="N567" s="273"/>
    </row>
    <row r="568" ht="26.25" customHeight="1">
      <c r="A568" s="277" t="s">
        <v>1728</v>
      </c>
      <c r="B568" s="264">
        <v>45774.0</v>
      </c>
      <c r="C568" s="265" t="s">
        <v>972</v>
      </c>
      <c r="D568" s="266" t="s">
        <v>1266</v>
      </c>
      <c r="E568" s="267" t="s">
        <v>1323</v>
      </c>
      <c r="F568" s="289"/>
      <c r="G568" s="269">
        <v>178000.0</v>
      </c>
      <c r="H568" s="270">
        <v>0.0</v>
      </c>
      <c r="I568" s="269">
        <v>178000.0</v>
      </c>
      <c r="J568" s="271">
        <v>178000.0</v>
      </c>
      <c r="K568" s="272">
        <f t="shared" si="2"/>
        <v>0</v>
      </c>
      <c r="L568" s="290"/>
      <c r="M568" s="290"/>
      <c r="N568" s="290"/>
    </row>
    <row r="569" ht="26.25" customHeight="1">
      <c r="A569" s="288" t="s">
        <v>1729</v>
      </c>
      <c r="B569" s="264">
        <v>45774.0</v>
      </c>
      <c r="C569" s="265" t="s">
        <v>965</v>
      </c>
      <c r="D569" s="266" t="s">
        <v>980</v>
      </c>
      <c r="E569" s="267" t="s">
        <v>980</v>
      </c>
      <c r="F569" s="289"/>
      <c r="G569" s="269">
        <v>123000.0</v>
      </c>
      <c r="H569" s="270">
        <v>0.0</v>
      </c>
      <c r="I569" s="269">
        <v>123000.0</v>
      </c>
      <c r="J569" s="271">
        <v>123000.0</v>
      </c>
      <c r="K569" s="272">
        <f t="shared" si="2"/>
        <v>0</v>
      </c>
      <c r="L569" s="290"/>
      <c r="M569" s="290"/>
      <c r="N569" s="290"/>
    </row>
    <row r="570" ht="26.25" customHeight="1">
      <c r="A570" s="273"/>
      <c r="B570" s="264">
        <v>45774.0</v>
      </c>
      <c r="C570" s="275" t="s">
        <v>960</v>
      </c>
      <c r="D570" s="266" t="s">
        <v>45</v>
      </c>
      <c r="E570" s="267" t="s">
        <v>1730</v>
      </c>
      <c r="F570" s="268"/>
      <c r="G570" s="269">
        <v>25000.0</v>
      </c>
      <c r="H570" s="270">
        <v>0.0</v>
      </c>
      <c r="I570" s="269">
        <v>25000.0</v>
      </c>
      <c r="J570" s="271">
        <v>25000.0</v>
      </c>
      <c r="K570" s="272">
        <f t="shared" si="2"/>
        <v>0</v>
      </c>
      <c r="L570" s="273"/>
      <c r="M570" s="273"/>
      <c r="N570" s="273"/>
    </row>
    <row r="571" ht="26.25" customHeight="1">
      <c r="A571" s="273"/>
      <c r="B571" s="264">
        <v>45774.0</v>
      </c>
      <c r="C571" s="275" t="s">
        <v>974</v>
      </c>
      <c r="D571" s="266" t="s">
        <v>1563</v>
      </c>
      <c r="E571" s="267" t="s">
        <v>1731</v>
      </c>
      <c r="F571" s="268"/>
      <c r="G571" s="269">
        <v>20000.0</v>
      </c>
      <c r="H571" s="270">
        <v>0.0</v>
      </c>
      <c r="I571" s="269">
        <v>20000.0</v>
      </c>
      <c r="J571" s="271">
        <v>20000.0</v>
      </c>
      <c r="K571" s="272">
        <f t="shared" si="2"/>
        <v>0</v>
      </c>
      <c r="L571" s="273"/>
      <c r="M571" s="273"/>
      <c r="N571" s="273"/>
    </row>
    <row r="572" ht="26.25" customHeight="1">
      <c r="A572" s="273"/>
      <c r="B572" s="264">
        <v>45774.0</v>
      </c>
      <c r="C572" s="275" t="s">
        <v>1035</v>
      </c>
      <c r="D572" s="266" t="s">
        <v>1732</v>
      </c>
      <c r="E572" s="267" t="s">
        <v>1229</v>
      </c>
      <c r="F572" s="268"/>
      <c r="G572" s="269">
        <v>15000.0</v>
      </c>
      <c r="H572" s="270">
        <v>0.0</v>
      </c>
      <c r="I572" s="269">
        <v>15000.0</v>
      </c>
      <c r="J572" s="271">
        <v>15000.0</v>
      </c>
      <c r="K572" s="272">
        <f t="shared" si="2"/>
        <v>0</v>
      </c>
      <c r="L572" s="273"/>
      <c r="M572" s="273"/>
      <c r="N572" s="273"/>
    </row>
    <row r="573" ht="26.25" customHeight="1">
      <c r="A573" s="273"/>
      <c r="B573" s="264">
        <v>45774.0</v>
      </c>
      <c r="C573" s="275" t="s">
        <v>974</v>
      </c>
      <c r="D573" s="266" t="s">
        <v>1445</v>
      </c>
      <c r="E573" s="267" t="s">
        <v>1733</v>
      </c>
      <c r="F573" s="268"/>
      <c r="G573" s="269">
        <v>15000.0</v>
      </c>
      <c r="H573" s="270">
        <v>0.0</v>
      </c>
      <c r="I573" s="269">
        <v>15000.0</v>
      </c>
      <c r="J573" s="271">
        <v>15000.0</v>
      </c>
      <c r="K573" s="272">
        <f t="shared" si="2"/>
        <v>0</v>
      </c>
      <c r="L573" s="273"/>
      <c r="M573" s="273"/>
      <c r="N573" s="273"/>
    </row>
    <row r="574" ht="26.25" customHeight="1">
      <c r="A574" s="273"/>
      <c r="B574" s="264">
        <v>45774.0</v>
      </c>
      <c r="C574" s="275" t="s">
        <v>974</v>
      </c>
      <c r="D574" s="266" t="s">
        <v>1721</v>
      </c>
      <c r="E574" s="267" t="s">
        <v>1734</v>
      </c>
      <c r="F574" s="268"/>
      <c r="G574" s="269">
        <v>5000.0</v>
      </c>
      <c r="H574" s="270">
        <v>0.0</v>
      </c>
      <c r="I574" s="269">
        <v>5000.0</v>
      </c>
      <c r="J574" s="271">
        <v>5000.0</v>
      </c>
      <c r="K574" s="272">
        <f t="shared" si="2"/>
        <v>0</v>
      </c>
      <c r="L574" s="273"/>
      <c r="M574" s="273"/>
      <c r="N574" s="273"/>
    </row>
    <row r="575" ht="26.25" customHeight="1">
      <c r="A575" s="273"/>
      <c r="B575" s="264">
        <v>45774.0</v>
      </c>
      <c r="C575" s="275" t="s">
        <v>1057</v>
      </c>
      <c r="D575" s="266" t="s">
        <v>1204</v>
      </c>
      <c r="E575" s="267" t="s">
        <v>1712</v>
      </c>
      <c r="F575" s="268"/>
      <c r="G575" s="269">
        <v>0.0</v>
      </c>
      <c r="H575" s="270">
        <v>0.0</v>
      </c>
      <c r="I575" s="269">
        <v>0.0</v>
      </c>
      <c r="J575" s="271">
        <v>0.0</v>
      </c>
      <c r="K575" s="272">
        <f t="shared" si="2"/>
        <v>0</v>
      </c>
      <c r="L575" s="273"/>
      <c r="M575" s="273"/>
      <c r="N575" s="273"/>
    </row>
    <row r="576" ht="26.25" customHeight="1">
      <c r="A576" s="277" t="s">
        <v>1735</v>
      </c>
      <c r="B576" s="264">
        <v>45775.0</v>
      </c>
      <c r="C576" s="265" t="s">
        <v>974</v>
      </c>
      <c r="D576" s="266" t="s">
        <v>31</v>
      </c>
      <c r="E576" s="267" t="s">
        <v>1736</v>
      </c>
      <c r="F576" s="289"/>
      <c r="G576" s="269">
        <v>345000.0</v>
      </c>
      <c r="H576" s="270">
        <v>0.0</v>
      </c>
      <c r="I576" s="269">
        <v>345000.0</v>
      </c>
      <c r="J576" s="271">
        <v>345000.0</v>
      </c>
      <c r="K576" s="272">
        <f t="shared" si="2"/>
        <v>0</v>
      </c>
      <c r="L576" s="290"/>
      <c r="M576" s="290"/>
      <c r="N576" s="290"/>
    </row>
    <row r="577" ht="26.25" customHeight="1">
      <c r="A577" s="274"/>
      <c r="B577" s="264">
        <v>45775.0</v>
      </c>
      <c r="C577" s="265" t="s">
        <v>960</v>
      </c>
      <c r="D577" s="266" t="s">
        <v>824</v>
      </c>
      <c r="E577" s="267" t="s">
        <v>1737</v>
      </c>
      <c r="F577" s="289"/>
      <c r="G577" s="269">
        <v>45000.0</v>
      </c>
      <c r="H577" s="270">
        <v>0.0</v>
      </c>
      <c r="I577" s="269">
        <v>45000.0</v>
      </c>
      <c r="J577" s="271">
        <v>45000.0</v>
      </c>
      <c r="K577" s="272">
        <f t="shared" si="2"/>
        <v>0</v>
      </c>
      <c r="L577" s="290"/>
      <c r="M577" s="290"/>
      <c r="N577" s="290"/>
    </row>
    <row r="578" ht="26.25" customHeight="1">
      <c r="A578" s="274"/>
      <c r="B578" s="264">
        <v>45775.0</v>
      </c>
      <c r="C578" s="265" t="s">
        <v>974</v>
      </c>
      <c r="D578" s="266" t="s">
        <v>824</v>
      </c>
      <c r="E578" s="267" t="s">
        <v>1738</v>
      </c>
      <c r="F578" s="289"/>
      <c r="G578" s="269">
        <v>35000.0</v>
      </c>
      <c r="H578" s="270">
        <v>0.0</v>
      </c>
      <c r="I578" s="269">
        <v>35000.0</v>
      </c>
      <c r="J578" s="271">
        <v>35000.0</v>
      </c>
      <c r="K578" s="272">
        <f t="shared" si="2"/>
        <v>0</v>
      </c>
      <c r="L578" s="290"/>
      <c r="M578" s="290"/>
      <c r="N578" s="290"/>
    </row>
    <row r="579" ht="24.75" customHeight="1">
      <c r="A579" s="274"/>
      <c r="B579" s="264">
        <v>45775.0</v>
      </c>
      <c r="C579" s="265" t="s">
        <v>960</v>
      </c>
      <c r="D579" s="266" t="s">
        <v>1340</v>
      </c>
      <c r="E579" s="267" t="s">
        <v>1739</v>
      </c>
      <c r="F579" s="289"/>
      <c r="G579" s="269">
        <v>25000.0</v>
      </c>
      <c r="H579" s="270">
        <v>0.0</v>
      </c>
      <c r="I579" s="269">
        <v>25000.0</v>
      </c>
      <c r="J579" s="271">
        <v>25000.0</v>
      </c>
      <c r="K579" s="272">
        <f t="shared" si="2"/>
        <v>0</v>
      </c>
      <c r="L579" s="290"/>
      <c r="M579" s="290"/>
      <c r="N579" s="290"/>
    </row>
    <row r="580" ht="26.25" customHeight="1">
      <c r="A580" s="273"/>
      <c r="B580" s="264">
        <v>45775.0</v>
      </c>
      <c r="C580" s="275" t="s">
        <v>974</v>
      </c>
      <c r="D580" s="266" t="s">
        <v>1740</v>
      </c>
      <c r="E580" s="267" t="s">
        <v>1741</v>
      </c>
      <c r="F580" s="268"/>
      <c r="G580" s="269">
        <v>25000.0</v>
      </c>
      <c r="H580" s="270">
        <v>0.0</v>
      </c>
      <c r="I580" s="269">
        <v>25000.0</v>
      </c>
      <c r="J580" s="271">
        <v>25000.0</v>
      </c>
      <c r="K580" s="272">
        <f t="shared" si="2"/>
        <v>0</v>
      </c>
      <c r="L580" s="273"/>
      <c r="M580" s="273"/>
      <c r="N580" s="273"/>
    </row>
    <row r="581" ht="26.25" customHeight="1">
      <c r="A581" s="273"/>
      <c r="B581" s="264">
        <v>45775.0</v>
      </c>
      <c r="C581" s="275" t="s">
        <v>974</v>
      </c>
      <c r="D581" s="266" t="s">
        <v>824</v>
      </c>
      <c r="E581" s="267" t="s">
        <v>1742</v>
      </c>
      <c r="F581" s="268"/>
      <c r="G581" s="269">
        <v>25000.0</v>
      </c>
      <c r="H581" s="270">
        <v>0.0</v>
      </c>
      <c r="I581" s="269">
        <v>25000.0</v>
      </c>
      <c r="J581" s="271">
        <v>25000.0</v>
      </c>
      <c r="K581" s="272">
        <f t="shared" si="2"/>
        <v>0</v>
      </c>
      <c r="L581" s="273"/>
      <c r="M581" s="273"/>
      <c r="N581" s="273"/>
    </row>
    <row r="582" ht="26.25" customHeight="1">
      <c r="A582" s="281" t="s">
        <v>1743</v>
      </c>
      <c r="B582" s="264">
        <v>45775.0</v>
      </c>
      <c r="C582" s="275" t="s">
        <v>960</v>
      </c>
      <c r="D582" s="266" t="s">
        <v>1744</v>
      </c>
      <c r="E582" s="267" t="s">
        <v>1745</v>
      </c>
      <c r="F582" s="268"/>
      <c r="G582" s="269">
        <v>20000.0</v>
      </c>
      <c r="H582" s="270">
        <v>0.0</v>
      </c>
      <c r="I582" s="269">
        <v>20000.0</v>
      </c>
      <c r="J582" s="271">
        <v>20000.0</v>
      </c>
      <c r="K582" s="272">
        <f t="shared" si="2"/>
        <v>0</v>
      </c>
      <c r="L582" s="273"/>
      <c r="M582" s="273"/>
      <c r="N582" s="273"/>
    </row>
    <row r="583" ht="26.25" customHeight="1">
      <c r="A583" s="281" t="s">
        <v>1746</v>
      </c>
      <c r="B583" s="264">
        <v>45775.0</v>
      </c>
      <c r="C583" s="275" t="s">
        <v>965</v>
      </c>
      <c r="D583" s="266" t="s">
        <v>1269</v>
      </c>
      <c r="E583" s="267" t="s">
        <v>1747</v>
      </c>
      <c r="F583" s="268"/>
      <c r="G583" s="269">
        <v>13000.0</v>
      </c>
      <c r="H583" s="270">
        <v>0.0</v>
      </c>
      <c r="I583" s="269">
        <v>13000.0</v>
      </c>
      <c r="J583" s="271">
        <v>13000.0</v>
      </c>
      <c r="K583" s="272">
        <f t="shared" si="2"/>
        <v>0</v>
      </c>
      <c r="L583" s="273"/>
      <c r="M583" s="273"/>
      <c r="N583" s="273"/>
    </row>
    <row r="584" ht="26.25" customHeight="1">
      <c r="A584" s="273"/>
      <c r="B584" s="264">
        <v>45775.0</v>
      </c>
      <c r="C584" s="275" t="s">
        <v>974</v>
      </c>
      <c r="D584" s="266" t="s">
        <v>1748</v>
      </c>
      <c r="E584" s="267" t="s">
        <v>1749</v>
      </c>
      <c r="F584" s="268"/>
      <c r="G584" s="269">
        <v>10000.0</v>
      </c>
      <c r="H584" s="270">
        <v>0.0</v>
      </c>
      <c r="I584" s="269">
        <v>10000.0</v>
      </c>
      <c r="J584" s="271">
        <v>10000.0</v>
      </c>
      <c r="K584" s="272">
        <f t="shared" si="2"/>
        <v>0</v>
      </c>
      <c r="L584" s="273"/>
      <c r="M584" s="273"/>
      <c r="N584" s="273"/>
    </row>
    <row r="585" ht="26.25" customHeight="1">
      <c r="A585" s="290"/>
      <c r="B585" s="264">
        <v>45775.0</v>
      </c>
      <c r="C585" s="265" t="s">
        <v>960</v>
      </c>
      <c r="D585" s="266" t="s">
        <v>1750</v>
      </c>
      <c r="E585" s="267" t="s">
        <v>1751</v>
      </c>
      <c r="F585" s="289"/>
      <c r="G585" s="269">
        <v>9000.0</v>
      </c>
      <c r="H585" s="270">
        <v>0.0</v>
      </c>
      <c r="I585" s="269">
        <v>9000.0</v>
      </c>
      <c r="J585" s="271">
        <v>9000.0</v>
      </c>
      <c r="K585" s="272">
        <f t="shared" si="2"/>
        <v>0</v>
      </c>
      <c r="L585" s="290"/>
      <c r="M585" s="290"/>
      <c r="N585" s="290"/>
    </row>
    <row r="586" ht="26.25" customHeight="1">
      <c r="A586" s="273"/>
      <c r="B586" s="264">
        <v>45775.0</v>
      </c>
      <c r="C586" s="275" t="s">
        <v>974</v>
      </c>
      <c r="D586" s="266" t="s">
        <v>1740</v>
      </c>
      <c r="E586" s="267" t="s">
        <v>1752</v>
      </c>
      <c r="F586" s="268"/>
      <c r="G586" s="269">
        <v>7000.0</v>
      </c>
      <c r="H586" s="270">
        <v>0.0</v>
      </c>
      <c r="I586" s="269">
        <v>7000.0</v>
      </c>
      <c r="J586" s="271">
        <v>7000.0</v>
      </c>
      <c r="K586" s="272">
        <f t="shared" si="2"/>
        <v>0</v>
      </c>
      <c r="L586" s="273"/>
      <c r="M586" s="273"/>
      <c r="N586" s="273"/>
    </row>
    <row r="587" ht="26.25" customHeight="1">
      <c r="A587" s="273"/>
      <c r="B587" s="264">
        <v>45776.0</v>
      </c>
      <c r="C587" s="275" t="s">
        <v>1057</v>
      </c>
      <c r="D587" s="266" t="s">
        <v>1204</v>
      </c>
      <c r="E587" s="267" t="s">
        <v>1712</v>
      </c>
      <c r="F587" s="268"/>
      <c r="G587" s="269">
        <v>540000.0</v>
      </c>
      <c r="H587" s="270">
        <v>0.0</v>
      </c>
      <c r="I587" s="269">
        <v>540000.0</v>
      </c>
      <c r="J587" s="271">
        <v>540000.0</v>
      </c>
      <c r="K587" s="272">
        <f t="shared" si="2"/>
        <v>0</v>
      </c>
      <c r="L587" s="273"/>
      <c r="M587" s="273"/>
      <c r="N587" s="273"/>
    </row>
    <row r="588" ht="26.25" customHeight="1">
      <c r="A588" s="274"/>
      <c r="B588" s="264">
        <v>45776.0</v>
      </c>
      <c r="C588" s="265" t="s">
        <v>1057</v>
      </c>
      <c r="D588" s="266" t="s">
        <v>1340</v>
      </c>
      <c r="E588" s="267" t="s">
        <v>1753</v>
      </c>
      <c r="F588" s="289"/>
      <c r="G588" s="269">
        <v>15000.0</v>
      </c>
      <c r="H588" s="270">
        <v>0.0</v>
      </c>
      <c r="I588" s="269">
        <v>15000.0</v>
      </c>
      <c r="J588" s="271">
        <v>15000.0</v>
      </c>
      <c r="K588" s="272">
        <f t="shared" si="2"/>
        <v>0</v>
      </c>
      <c r="L588" s="290"/>
      <c r="M588" s="290"/>
      <c r="N588" s="290"/>
    </row>
    <row r="589" ht="26.25" customHeight="1">
      <c r="A589" s="281" t="s">
        <v>1754</v>
      </c>
      <c r="B589" s="264">
        <v>45777.0</v>
      </c>
      <c r="C589" s="275" t="s">
        <v>965</v>
      </c>
      <c r="D589" s="266" t="s">
        <v>980</v>
      </c>
      <c r="E589" s="267" t="s">
        <v>980</v>
      </c>
      <c r="F589" s="268"/>
      <c r="G589" s="269">
        <v>289000.0</v>
      </c>
      <c r="H589" s="270">
        <v>0.0</v>
      </c>
      <c r="I589" s="269">
        <v>289000.0</v>
      </c>
      <c r="J589" s="271">
        <v>289000.0</v>
      </c>
      <c r="K589" s="272">
        <f t="shared" si="2"/>
        <v>0</v>
      </c>
      <c r="L589" s="273"/>
      <c r="M589" s="273"/>
      <c r="N589" s="273"/>
    </row>
    <row r="590" ht="26.25" customHeight="1">
      <c r="A590" s="273"/>
      <c r="B590" s="264">
        <v>45777.0</v>
      </c>
      <c r="C590" s="265" t="s">
        <v>957</v>
      </c>
      <c r="D590" s="266" t="s">
        <v>930</v>
      </c>
      <c r="E590" s="294" t="s">
        <v>1755</v>
      </c>
      <c r="F590" s="268"/>
      <c r="G590" s="269">
        <v>130000.0</v>
      </c>
      <c r="H590" s="270">
        <v>0.0</v>
      </c>
      <c r="I590" s="269">
        <v>130000.0</v>
      </c>
      <c r="J590" s="271">
        <v>130000.0</v>
      </c>
      <c r="K590" s="272">
        <f t="shared" si="2"/>
        <v>0</v>
      </c>
      <c r="L590" s="273"/>
      <c r="M590" s="273"/>
      <c r="N590" s="273"/>
    </row>
    <row r="591" ht="26.25" customHeight="1">
      <c r="A591" s="277" t="s">
        <v>1756</v>
      </c>
      <c r="B591" s="264">
        <v>45777.0</v>
      </c>
      <c r="C591" s="265" t="s">
        <v>960</v>
      </c>
      <c r="D591" s="266" t="s">
        <v>1340</v>
      </c>
      <c r="E591" s="267" t="s">
        <v>1757</v>
      </c>
      <c r="F591" s="289"/>
      <c r="G591" s="269">
        <v>80000.0</v>
      </c>
      <c r="H591" s="270">
        <v>0.0</v>
      </c>
      <c r="I591" s="269">
        <v>80000.0</v>
      </c>
      <c r="J591" s="271">
        <v>80000.0</v>
      </c>
      <c r="K591" s="272">
        <f t="shared" si="2"/>
        <v>0</v>
      </c>
      <c r="L591" s="290"/>
      <c r="M591" s="290"/>
      <c r="N591" s="290"/>
    </row>
    <row r="592" ht="26.25" customHeight="1">
      <c r="A592" s="274"/>
      <c r="B592" s="264">
        <v>45777.0</v>
      </c>
      <c r="C592" s="265" t="s">
        <v>960</v>
      </c>
      <c r="D592" s="266" t="s">
        <v>31</v>
      </c>
      <c r="E592" s="267" t="s">
        <v>1758</v>
      </c>
      <c r="F592" s="289"/>
      <c r="G592" s="269">
        <v>22000.0</v>
      </c>
      <c r="H592" s="270">
        <v>0.0</v>
      </c>
      <c r="I592" s="269">
        <v>22000.0</v>
      </c>
      <c r="J592" s="271">
        <v>22000.0</v>
      </c>
      <c r="K592" s="272">
        <f t="shared" si="2"/>
        <v>0</v>
      </c>
      <c r="L592" s="290"/>
      <c r="M592" s="290"/>
      <c r="N592" s="290"/>
    </row>
    <row r="593" ht="26.25" customHeight="1">
      <c r="A593" s="290"/>
      <c r="B593" s="264">
        <v>45777.0</v>
      </c>
      <c r="C593" s="265" t="s">
        <v>974</v>
      </c>
      <c r="D593" s="266" t="s">
        <v>1759</v>
      </c>
      <c r="E593" s="267" t="s">
        <v>1760</v>
      </c>
      <c r="F593" s="289"/>
      <c r="G593" s="269">
        <v>16000.0</v>
      </c>
      <c r="H593" s="270">
        <v>0.0</v>
      </c>
      <c r="I593" s="269">
        <v>16000.0</v>
      </c>
      <c r="J593" s="271">
        <v>16000.0</v>
      </c>
      <c r="K593" s="272">
        <f t="shared" si="2"/>
        <v>0</v>
      </c>
      <c r="L593" s="290"/>
      <c r="M593" s="290"/>
      <c r="N593" s="290"/>
    </row>
    <row r="594" ht="26.25" customHeight="1">
      <c r="A594" s="290"/>
      <c r="B594" s="264">
        <v>45777.0</v>
      </c>
      <c r="C594" s="265" t="s">
        <v>1057</v>
      </c>
      <c r="D594" s="266" t="s">
        <v>1407</v>
      </c>
      <c r="E594" s="267" t="s">
        <v>1761</v>
      </c>
      <c r="F594" s="289"/>
      <c r="G594" s="269">
        <v>10000.0</v>
      </c>
      <c r="H594" s="270">
        <v>0.0</v>
      </c>
      <c r="I594" s="269">
        <v>10000.0</v>
      </c>
      <c r="J594" s="271">
        <v>10000.0</v>
      </c>
      <c r="K594" s="272">
        <f t="shared" si="2"/>
        <v>0</v>
      </c>
      <c r="L594" s="290"/>
      <c r="M594" s="290"/>
      <c r="N594" s="290"/>
    </row>
    <row r="595" ht="26.25" customHeight="1">
      <c r="A595" s="290"/>
      <c r="B595" s="264">
        <v>45777.0</v>
      </c>
      <c r="C595" s="265" t="s">
        <v>974</v>
      </c>
      <c r="D595" s="266" t="s">
        <v>237</v>
      </c>
      <c r="E595" s="267" t="s">
        <v>1318</v>
      </c>
      <c r="F595" s="289"/>
      <c r="G595" s="269">
        <v>10000.0</v>
      </c>
      <c r="H595" s="270">
        <v>0.0</v>
      </c>
      <c r="I595" s="269">
        <v>10000.0</v>
      </c>
      <c r="J595" s="271">
        <v>10000.0</v>
      </c>
      <c r="K595" s="272">
        <f t="shared" si="2"/>
        <v>0</v>
      </c>
      <c r="L595" s="290"/>
      <c r="M595" s="290"/>
      <c r="N595" s="290"/>
    </row>
    <row r="596" ht="26.25" customHeight="1">
      <c r="A596" s="273"/>
      <c r="B596" s="264">
        <v>45777.0</v>
      </c>
      <c r="C596" s="275" t="s">
        <v>960</v>
      </c>
      <c r="D596" s="266" t="s">
        <v>1340</v>
      </c>
      <c r="E596" s="267" t="s">
        <v>1762</v>
      </c>
      <c r="F596" s="268"/>
      <c r="G596" s="269">
        <v>6000.0</v>
      </c>
      <c r="H596" s="270">
        <v>0.0</v>
      </c>
      <c r="I596" s="269">
        <v>6000.0</v>
      </c>
      <c r="J596" s="271">
        <v>6000.0</v>
      </c>
      <c r="K596" s="272">
        <f t="shared" si="2"/>
        <v>0</v>
      </c>
      <c r="L596" s="273"/>
      <c r="M596" s="273"/>
      <c r="N596" s="273"/>
    </row>
    <row r="597" ht="26.25" customHeight="1">
      <c r="A597" s="268"/>
      <c r="B597" s="264">
        <v>45777.0</v>
      </c>
      <c r="C597" s="275" t="s">
        <v>965</v>
      </c>
      <c r="D597" s="266" t="s">
        <v>1763</v>
      </c>
      <c r="E597" s="267" t="s">
        <v>1764</v>
      </c>
      <c r="F597" s="268"/>
      <c r="G597" s="269">
        <v>5000.0</v>
      </c>
      <c r="H597" s="270">
        <v>0.0</v>
      </c>
      <c r="I597" s="269">
        <v>5000.0</v>
      </c>
      <c r="J597" s="271">
        <v>5000.0</v>
      </c>
      <c r="K597" s="272">
        <f t="shared" si="2"/>
        <v>0</v>
      </c>
      <c r="L597" s="273"/>
      <c r="M597" s="273"/>
      <c r="N597" s="273"/>
    </row>
    <row r="598" ht="26.25" customHeight="1">
      <c r="A598" s="273"/>
      <c r="B598" s="264">
        <v>45777.0</v>
      </c>
      <c r="C598" s="275" t="s">
        <v>974</v>
      </c>
      <c r="D598" s="266" t="s">
        <v>1765</v>
      </c>
      <c r="E598" s="267" t="s">
        <v>1766</v>
      </c>
      <c r="F598" s="268"/>
      <c r="G598" s="269">
        <v>5000.0</v>
      </c>
      <c r="H598" s="270">
        <v>0.0</v>
      </c>
      <c r="I598" s="269">
        <v>5000.0</v>
      </c>
      <c r="J598" s="271">
        <v>5000.0</v>
      </c>
      <c r="K598" s="272">
        <f t="shared" si="2"/>
        <v>0</v>
      </c>
      <c r="L598" s="273"/>
      <c r="M598" s="273"/>
      <c r="N598" s="273"/>
    </row>
    <row r="599" ht="26.25" customHeight="1">
      <c r="A599" s="290"/>
      <c r="B599" s="264">
        <v>45777.0</v>
      </c>
      <c r="C599" s="265" t="s">
        <v>974</v>
      </c>
      <c r="D599" s="266" t="s">
        <v>980</v>
      </c>
      <c r="E599" s="267" t="s">
        <v>1690</v>
      </c>
      <c r="F599" s="289"/>
      <c r="G599" s="269">
        <v>5000.0</v>
      </c>
      <c r="H599" s="270">
        <v>0.0</v>
      </c>
      <c r="I599" s="269">
        <v>5000.0</v>
      </c>
      <c r="J599" s="271">
        <v>5000.0</v>
      </c>
      <c r="K599" s="272">
        <f t="shared" si="2"/>
        <v>0</v>
      </c>
      <c r="L599" s="290"/>
      <c r="M599" s="290"/>
      <c r="N599" s="290"/>
    </row>
    <row r="600" ht="26.25" customHeight="1">
      <c r="A600" s="295"/>
      <c r="B600" s="296">
        <v>45778.0</v>
      </c>
      <c r="C600" s="265" t="s">
        <v>1767</v>
      </c>
      <c r="D600" s="266" t="s">
        <v>31</v>
      </c>
      <c r="E600" s="267" t="s">
        <v>1768</v>
      </c>
      <c r="F600" s="268"/>
      <c r="G600" s="271">
        <v>2258335.0</v>
      </c>
      <c r="H600" s="297">
        <v>0.0</v>
      </c>
      <c r="I600" s="269">
        <v>2258335.0</v>
      </c>
      <c r="J600" s="271">
        <v>2258335.0</v>
      </c>
      <c r="K600" s="272">
        <f t="shared" si="2"/>
        <v>0</v>
      </c>
      <c r="L600" s="273"/>
      <c r="M600" s="273"/>
      <c r="N600" s="273"/>
    </row>
    <row r="601" ht="26.25" customHeight="1">
      <c r="A601" s="288" t="s">
        <v>1769</v>
      </c>
      <c r="B601" s="264">
        <v>45778.0</v>
      </c>
      <c r="C601" s="265" t="s">
        <v>1035</v>
      </c>
      <c r="D601" s="266" t="s">
        <v>1407</v>
      </c>
      <c r="E601" s="267" t="s">
        <v>1770</v>
      </c>
      <c r="F601" s="289"/>
      <c r="G601" s="269">
        <v>180000.0</v>
      </c>
      <c r="H601" s="270">
        <v>0.0</v>
      </c>
      <c r="I601" s="269">
        <v>180000.0</v>
      </c>
      <c r="J601" s="271">
        <v>180000.0</v>
      </c>
      <c r="K601" s="272">
        <f t="shared" si="2"/>
        <v>0</v>
      </c>
      <c r="L601" s="290"/>
      <c r="M601" s="290"/>
      <c r="N601" s="290"/>
    </row>
    <row r="602" ht="26.25" customHeight="1">
      <c r="A602" s="290"/>
      <c r="B602" s="264">
        <v>45778.0</v>
      </c>
      <c r="C602" s="265" t="s">
        <v>1339</v>
      </c>
      <c r="D602" s="266" t="s">
        <v>1029</v>
      </c>
      <c r="E602" s="267" t="s">
        <v>1771</v>
      </c>
      <c r="F602" s="289"/>
      <c r="G602" s="269">
        <v>50000.0</v>
      </c>
      <c r="H602" s="270">
        <v>0.0</v>
      </c>
      <c r="I602" s="269">
        <v>50000.0</v>
      </c>
      <c r="J602" s="271">
        <v>50000.0</v>
      </c>
      <c r="K602" s="272">
        <f t="shared" si="2"/>
        <v>0</v>
      </c>
      <c r="L602" s="290"/>
      <c r="M602" s="290"/>
      <c r="N602" s="290"/>
    </row>
    <row r="603" ht="31.5" customHeight="1">
      <c r="A603" s="290"/>
      <c r="B603" s="264">
        <v>45778.0</v>
      </c>
      <c r="C603" s="265" t="s">
        <v>974</v>
      </c>
      <c r="D603" s="266" t="s">
        <v>511</v>
      </c>
      <c r="E603" s="267" t="s">
        <v>1772</v>
      </c>
      <c r="F603" s="289"/>
      <c r="G603" s="269">
        <v>35000.0</v>
      </c>
      <c r="H603" s="270">
        <v>0.0</v>
      </c>
      <c r="I603" s="269">
        <v>35000.0</v>
      </c>
      <c r="J603" s="271">
        <v>35000.0</v>
      </c>
      <c r="K603" s="272">
        <f t="shared" si="2"/>
        <v>0</v>
      </c>
      <c r="L603" s="290"/>
      <c r="M603" s="290"/>
      <c r="N603" s="290"/>
    </row>
    <row r="604" ht="26.25" customHeight="1">
      <c r="A604" s="273"/>
      <c r="B604" s="264">
        <v>45778.0</v>
      </c>
      <c r="C604" s="275" t="s">
        <v>1057</v>
      </c>
      <c r="D604" s="266" t="s">
        <v>31</v>
      </c>
      <c r="E604" s="267" t="s">
        <v>1773</v>
      </c>
      <c r="F604" s="268"/>
      <c r="G604" s="269">
        <v>20000.0</v>
      </c>
      <c r="H604" s="270">
        <v>0.0</v>
      </c>
      <c r="I604" s="269">
        <v>20000.0</v>
      </c>
      <c r="J604" s="271">
        <v>20000.0</v>
      </c>
      <c r="K604" s="272">
        <f t="shared" si="2"/>
        <v>0</v>
      </c>
      <c r="L604" s="273"/>
      <c r="M604" s="273"/>
      <c r="N604" s="273"/>
    </row>
    <row r="605" ht="26.25" customHeight="1">
      <c r="A605" s="273"/>
      <c r="B605" s="264">
        <v>45778.0</v>
      </c>
      <c r="C605" s="275" t="s">
        <v>960</v>
      </c>
      <c r="D605" s="266" t="s">
        <v>1750</v>
      </c>
      <c r="E605" s="267" t="s">
        <v>1774</v>
      </c>
      <c r="F605" s="268"/>
      <c r="G605" s="269">
        <v>5000.0</v>
      </c>
      <c r="H605" s="270">
        <v>0.0</v>
      </c>
      <c r="I605" s="269">
        <v>5000.0</v>
      </c>
      <c r="J605" s="271">
        <v>5000.0</v>
      </c>
      <c r="K605" s="272">
        <f t="shared" si="2"/>
        <v>0</v>
      </c>
      <c r="L605" s="273"/>
      <c r="M605" s="273"/>
      <c r="N605" s="273"/>
    </row>
    <row r="606">
      <c r="A606" s="268"/>
      <c r="B606" s="264">
        <v>45778.0</v>
      </c>
      <c r="C606" s="275" t="s">
        <v>974</v>
      </c>
      <c r="D606" s="266" t="s">
        <v>1457</v>
      </c>
      <c r="E606" s="267" t="s">
        <v>1356</v>
      </c>
      <c r="F606" s="268"/>
      <c r="G606" s="269">
        <v>5000.0</v>
      </c>
      <c r="H606" s="270">
        <v>0.0</v>
      </c>
      <c r="I606" s="269">
        <v>5000.0</v>
      </c>
      <c r="J606" s="271">
        <v>5000.0</v>
      </c>
      <c r="K606" s="272">
        <f t="shared" si="2"/>
        <v>0</v>
      </c>
      <c r="L606" s="273"/>
      <c r="M606" s="273"/>
      <c r="N606" s="273"/>
    </row>
    <row r="607" ht="26.25" customHeight="1">
      <c r="A607" s="273"/>
      <c r="B607" s="264">
        <v>45780.0</v>
      </c>
      <c r="C607" s="275" t="s">
        <v>960</v>
      </c>
      <c r="D607" s="266" t="s">
        <v>31</v>
      </c>
      <c r="E607" s="267" t="s">
        <v>1775</v>
      </c>
      <c r="F607" s="268"/>
      <c r="G607" s="269">
        <v>25000.0</v>
      </c>
      <c r="H607" s="270">
        <v>0.0</v>
      </c>
      <c r="I607" s="269">
        <v>25000.0</v>
      </c>
      <c r="J607" s="271">
        <v>25000.0</v>
      </c>
      <c r="K607" s="272">
        <f t="shared" si="2"/>
        <v>0</v>
      </c>
      <c r="L607" s="273"/>
      <c r="M607" s="273"/>
      <c r="N607" s="273"/>
    </row>
    <row r="608" ht="26.25" customHeight="1">
      <c r="A608" s="288" t="s">
        <v>1776</v>
      </c>
      <c r="B608" s="264">
        <v>45781.0</v>
      </c>
      <c r="C608" s="265" t="s">
        <v>965</v>
      </c>
      <c r="D608" s="266" t="s">
        <v>980</v>
      </c>
      <c r="E608" s="267" t="s">
        <v>980</v>
      </c>
      <c r="F608" s="289"/>
      <c r="G608" s="269">
        <v>262000.0</v>
      </c>
      <c r="H608" s="270">
        <v>0.0</v>
      </c>
      <c r="I608" s="269">
        <v>262000.0</v>
      </c>
      <c r="J608" s="271">
        <v>262000.0</v>
      </c>
      <c r="K608" s="272">
        <f t="shared" si="2"/>
        <v>0</v>
      </c>
      <c r="L608" s="290"/>
      <c r="M608" s="290"/>
      <c r="N608" s="290"/>
    </row>
    <row r="609" ht="26.25" customHeight="1">
      <c r="A609" s="274"/>
      <c r="B609" s="264">
        <v>45781.0</v>
      </c>
      <c r="C609" s="265" t="s">
        <v>974</v>
      </c>
      <c r="D609" s="266" t="s">
        <v>1340</v>
      </c>
      <c r="E609" s="267" t="s">
        <v>1777</v>
      </c>
      <c r="F609" s="268"/>
      <c r="G609" s="269">
        <v>35000.0</v>
      </c>
      <c r="H609" s="270">
        <v>0.0</v>
      </c>
      <c r="I609" s="269">
        <v>35000.0</v>
      </c>
      <c r="J609" s="271">
        <v>35000.0</v>
      </c>
      <c r="K609" s="272">
        <f t="shared" si="2"/>
        <v>0</v>
      </c>
      <c r="L609" s="273"/>
      <c r="M609" s="273"/>
      <c r="N609" s="273"/>
    </row>
    <row r="610" ht="26.25" customHeight="1">
      <c r="A610" s="290"/>
      <c r="B610" s="264">
        <v>45781.0</v>
      </c>
      <c r="C610" s="265" t="s">
        <v>974</v>
      </c>
      <c r="D610" s="266" t="s">
        <v>1029</v>
      </c>
      <c r="E610" s="267" t="s">
        <v>1778</v>
      </c>
      <c r="F610" s="289"/>
      <c r="G610" s="269">
        <v>25000.0</v>
      </c>
      <c r="H610" s="270">
        <v>0.0</v>
      </c>
      <c r="I610" s="269">
        <v>25000.0</v>
      </c>
      <c r="J610" s="271">
        <v>25000.0</v>
      </c>
      <c r="K610" s="272">
        <f t="shared" si="2"/>
        <v>0</v>
      </c>
      <c r="L610" s="290"/>
      <c r="M610" s="290"/>
      <c r="N610" s="290"/>
    </row>
    <row r="611" ht="26.25" customHeight="1">
      <c r="A611" s="290"/>
      <c r="B611" s="264">
        <v>45781.0</v>
      </c>
      <c r="C611" s="265" t="s">
        <v>1035</v>
      </c>
      <c r="D611" s="266" t="s">
        <v>20</v>
      </c>
      <c r="E611" s="267" t="s">
        <v>1229</v>
      </c>
      <c r="F611" s="289"/>
      <c r="G611" s="269">
        <v>8500.0</v>
      </c>
      <c r="H611" s="270">
        <v>0.0</v>
      </c>
      <c r="I611" s="269">
        <v>8500.0</v>
      </c>
      <c r="J611" s="271">
        <v>8500.0</v>
      </c>
      <c r="K611" s="272">
        <f t="shared" si="2"/>
        <v>0</v>
      </c>
      <c r="L611" s="290"/>
      <c r="M611" s="290"/>
      <c r="N611" s="290"/>
    </row>
    <row r="612" ht="26.25" customHeight="1">
      <c r="A612" s="288" t="s">
        <v>1776</v>
      </c>
      <c r="B612" s="264">
        <v>45781.0</v>
      </c>
      <c r="C612" s="265" t="s">
        <v>974</v>
      </c>
      <c r="D612" s="266" t="s">
        <v>980</v>
      </c>
      <c r="E612" s="267" t="s">
        <v>1690</v>
      </c>
      <c r="F612" s="289"/>
      <c r="G612" s="269">
        <v>5000.0</v>
      </c>
      <c r="H612" s="270">
        <v>0.0</v>
      </c>
      <c r="I612" s="269">
        <v>5000.0</v>
      </c>
      <c r="J612" s="271">
        <v>5000.0</v>
      </c>
      <c r="K612" s="272">
        <f t="shared" si="2"/>
        <v>0</v>
      </c>
      <c r="L612" s="290"/>
      <c r="M612" s="290"/>
      <c r="N612" s="290"/>
    </row>
    <row r="613" ht="26.25" customHeight="1">
      <c r="A613" s="277" t="s">
        <v>1779</v>
      </c>
      <c r="B613" s="264">
        <v>45782.0</v>
      </c>
      <c r="C613" s="265" t="s">
        <v>965</v>
      </c>
      <c r="D613" s="266" t="s">
        <v>980</v>
      </c>
      <c r="E613" s="267" t="s">
        <v>980</v>
      </c>
      <c r="F613" s="289"/>
      <c r="G613" s="269">
        <v>120000.0</v>
      </c>
      <c r="H613" s="270">
        <v>0.0</v>
      </c>
      <c r="I613" s="269">
        <v>120000.0</v>
      </c>
      <c r="J613" s="271">
        <v>120000.0</v>
      </c>
      <c r="K613" s="272">
        <f t="shared" si="2"/>
        <v>0</v>
      </c>
      <c r="L613" s="290"/>
      <c r="M613" s="290"/>
      <c r="N613" s="290"/>
    </row>
    <row r="614" ht="26.25" customHeight="1">
      <c r="A614" s="281" t="s">
        <v>1780</v>
      </c>
      <c r="B614" s="264">
        <v>45782.0</v>
      </c>
      <c r="C614" s="275" t="s">
        <v>965</v>
      </c>
      <c r="D614" s="266" t="s">
        <v>45</v>
      </c>
      <c r="E614" s="267" t="s">
        <v>1112</v>
      </c>
      <c r="F614" s="268"/>
      <c r="G614" s="269">
        <v>40000.0</v>
      </c>
      <c r="H614" s="270">
        <v>0.0</v>
      </c>
      <c r="I614" s="269">
        <v>40000.0</v>
      </c>
      <c r="J614" s="271">
        <v>40000.0</v>
      </c>
      <c r="K614" s="272">
        <f t="shared" si="2"/>
        <v>0</v>
      </c>
      <c r="L614" s="273"/>
      <c r="M614" s="273"/>
      <c r="N614" s="273"/>
    </row>
    <row r="615" ht="26.25" customHeight="1">
      <c r="A615" s="273"/>
      <c r="B615" s="264">
        <v>45782.0</v>
      </c>
      <c r="C615" s="275" t="s">
        <v>974</v>
      </c>
      <c r="D615" s="266" t="s">
        <v>1029</v>
      </c>
      <c r="E615" s="267" t="s">
        <v>1781</v>
      </c>
      <c r="F615" s="268"/>
      <c r="G615" s="269">
        <v>35000.0</v>
      </c>
      <c r="H615" s="270">
        <v>0.0</v>
      </c>
      <c r="I615" s="269">
        <v>35000.0</v>
      </c>
      <c r="J615" s="271">
        <v>35000.0</v>
      </c>
      <c r="K615" s="272">
        <f t="shared" si="2"/>
        <v>0</v>
      </c>
      <c r="L615" s="273"/>
      <c r="M615" s="273"/>
      <c r="N615" s="273"/>
    </row>
    <row r="616" ht="26.25" customHeight="1">
      <c r="A616" s="288" t="s">
        <v>1782</v>
      </c>
      <c r="B616" s="264">
        <v>45782.0</v>
      </c>
      <c r="C616" s="265" t="s">
        <v>965</v>
      </c>
      <c r="D616" s="266" t="s">
        <v>45</v>
      </c>
      <c r="E616" s="267" t="s">
        <v>1783</v>
      </c>
      <c r="F616" s="289"/>
      <c r="G616" s="269">
        <v>17000.0</v>
      </c>
      <c r="H616" s="270">
        <v>0.0</v>
      </c>
      <c r="I616" s="269">
        <v>17000.0</v>
      </c>
      <c r="J616" s="271">
        <v>17000.0</v>
      </c>
      <c r="K616" s="272">
        <f t="shared" si="2"/>
        <v>0</v>
      </c>
      <c r="L616" s="290"/>
      <c r="M616" s="290"/>
      <c r="N616" s="290"/>
    </row>
    <row r="617" ht="26.25" customHeight="1">
      <c r="A617" s="274"/>
      <c r="B617" s="264">
        <v>45782.0</v>
      </c>
      <c r="C617" s="265" t="s">
        <v>974</v>
      </c>
      <c r="D617" s="266" t="s">
        <v>824</v>
      </c>
      <c r="E617" s="267" t="s">
        <v>1784</v>
      </c>
      <c r="F617" s="289"/>
      <c r="G617" s="269">
        <v>4000.0</v>
      </c>
      <c r="H617" s="270">
        <v>0.0</v>
      </c>
      <c r="I617" s="269">
        <v>4000.0</v>
      </c>
      <c r="J617" s="271">
        <v>4000.0</v>
      </c>
      <c r="K617" s="272">
        <f t="shared" si="2"/>
        <v>0</v>
      </c>
      <c r="L617" s="290"/>
      <c r="M617" s="290"/>
      <c r="N617" s="290"/>
    </row>
    <row r="618" ht="26.25" customHeight="1">
      <c r="A618" s="277" t="s">
        <v>1785</v>
      </c>
      <c r="B618" s="264">
        <v>45783.0</v>
      </c>
      <c r="C618" s="265" t="s">
        <v>965</v>
      </c>
      <c r="D618" s="266" t="s">
        <v>1029</v>
      </c>
      <c r="E618" s="267" t="s">
        <v>1786</v>
      </c>
      <c r="F618" s="289"/>
      <c r="G618" s="269">
        <v>80000.0</v>
      </c>
      <c r="H618" s="270">
        <v>0.0</v>
      </c>
      <c r="I618" s="269">
        <v>80000.0</v>
      </c>
      <c r="J618" s="271">
        <v>80000.0</v>
      </c>
      <c r="K618" s="272">
        <f t="shared" si="2"/>
        <v>0</v>
      </c>
      <c r="L618" s="290"/>
      <c r="M618" s="290"/>
      <c r="N618" s="290"/>
    </row>
    <row r="619" ht="26.25" customHeight="1">
      <c r="A619" s="277" t="s">
        <v>1787</v>
      </c>
      <c r="B619" s="264">
        <v>45783.0</v>
      </c>
      <c r="C619" s="265" t="s">
        <v>1035</v>
      </c>
      <c r="D619" s="266" t="s">
        <v>1407</v>
      </c>
      <c r="E619" s="267" t="s">
        <v>1599</v>
      </c>
      <c r="F619" s="268"/>
      <c r="G619" s="269">
        <v>43000.0</v>
      </c>
      <c r="H619" s="270">
        <v>0.0</v>
      </c>
      <c r="I619" s="269">
        <v>43000.0</v>
      </c>
      <c r="J619" s="271">
        <v>43000.0</v>
      </c>
      <c r="K619" s="272">
        <f t="shared" si="2"/>
        <v>0</v>
      </c>
      <c r="L619" s="273"/>
      <c r="M619" s="273"/>
      <c r="N619" s="273"/>
    </row>
    <row r="620" ht="26.25" customHeight="1">
      <c r="A620" s="274"/>
      <c r="B620" s="264">
        <v>45783.0</v>
      </c>
      <c r="C620" s="265" t="s">
        <v>974</v>
      </c>
      <c r="D620" s="266" t="s">
        <v>1204</v>
      </c>
      <c r="E620" s="267" t="s">
        <v>1788</v>
      </c>
      <c r="F620" s="289"/>
      <c r="G620" s="269">
        <v>8000.0</v>
      </c>
      <c r="H620" s="270">
        <v>0.0</v>
      </c>
      <c r="I620" s="269">
        <v>8000.0</v>
      </c>
      <c r="J620" s="271">
        <v>8000.0</v>
      </c>
      <c r="K620" s="272">
        <f t="shared" si="2"/>
        <v>0</v>
      </c>
      <c r="L620" s="290"/>
      <c r="M620" s="290"/>
      <c r="N620" s="290"/>
    </row>
    <row r="621" ht="26.25" customHeight="1">
      <c r="A621" s="290"/>
      <c r="B621" s="264">
        <v>45784.0</v>
      </c>
      <c r="C621" s="265" t="s">
        <v>974</v>
      </c>
      <c r="D621" s="266" t="s">
        <v>930</v>
      </c>
      <c r="E621" s="267" t="s">
        <v>1453</v>
      </c>
      <c r="F621" s="289"/>
      <c r="G621" s="269">
        <v>500000.0</v>
      </c>
      <c r="H621" s="270">
        <v>0.0</v>
      </c>
      <c r="I621" s="269">
        <v>500000.0</v>
      </c>
      <c r="J621" s="271">
        <v>500000.0</v>
      </c>
      <c r="K621" s="272">
        <f t="shared" si="2"/>
        <v>0</v>
      </c>
      <c r="L621" s="290"/>
      <c r="M621" s="290"/>
      <c r="N621" s="290"/>
    </row>
    <row r="622" ht="26.25" customHeight="1">
      <c r="A622" s="288" t="s">
        <v>1789</v>
      </c>
      <c r="B622" s="264">
        <v>45784.0</v>
      </c>
      <c r="C622" s="265" t="s">
        <v>965</v>
      </c>
      <c r="D622" s="266" t="s">
        <v>980</v>
      </c>
      <c r="E622" s="267" t="s">
        <v>980</v>
      </c>
      <c r="F622" s="289"/>
      <c r="G622" s="269">
        <v>295000.0</v>
      </c>
      <c r="H622" s="270">
        <v>0.0</v>
      </c>
      <c r="I622" s="269">
        <v>295000.0</v>
      </c>
      <c r="J622" s="271">
        <v>295000.0</v>
      </c>
      <c r="K622" s="272">
        <f t="shared" si="2"/>
        <v>0</v>
      </c>
      <c r="L622" s="290"/>
      <c r="M622" s="290"/>
      <c r="N622" s="290"/>
    </row>
    <row r="623" ht="26.25" customHeight="1">
      <c r="A623" s="281" t="s">
        <v>1790</v>
      </c>
      <c r="B623" s="264">
        <v>45784.0</v>
      </c>
      <c r="C623" s="265" t="s">
        <v>965</v>
      </c>
      <c r="D623" s="282"/>
      <c r="E623" s="267" t="s">
        <v>1285</v>
      </c>
      <c r="F623" s="268"/>
      <c r="G623" s="269">
        <v>90000.0</v>
      </c>
      <c r="H623" s="270">
        <v>0.0</v>
      </c>
      <c r="I623" s="269">
        <v>90000.0</v>
      </c>
      <c r="J623" s="271">
        <v>90000.0</v>
      </c>
      <c r="K623" s="272">
        <f t="shared" si="2"/>
        <v>0</v>
      </c>
      <c r="L623" s="273"/>
      <c r="M623" s="273"/>
      <c r="N623" s="273"/>
    </row>
    <row r="624" ht="26.25" customHeight="1">
      <c r="A624" s="273"/>
      <c r="B624" s="264">
        <v>45785.0</v>
      </c>
      <c r="C624" s="275" t="s">
        <v>960</v>
      </c>
      <c r="D624" s="266" t="s">
        <v>31</v>
      </c>
      <c r="E624" s="267" t="s">
        <v>1775</v>
      </c>
      <c r="F624" s="268"/>
      <c r="G624" s="269">
        <v>10000.0</v>
      </c>
      <c r="H624" s="270">
        <v>0.0</v>
      </c>
      <c r="I624" s="269">
        <v>10000.0</v>
      </c>
      <c r="J624" s="271">
        <v>10000.0</v>
      </c>
      <c r="K624" s="272">
        <f t="shared" si="2"/>
        <v>0</v>
      </c>
      <c r="L624" s="273"/>
      <c r="M624" s="273"/>
      <c r="N624" s="273"/>
    </row>
    <row r="625" ht="26.25" customHeight="1">
      <c r="A625" s="274"/>
      <c r="B625" s="264">
        <v>45786.0</v>
      </c>
      <c r="C625" s="265" t="s">
        <v>974</v>
      </c>
      <c r="D625" s="266" t="s">
        <v>1407</v>
      </c>
      <c r="E625" s="267" t="s">
        <v>1791</v>
      </c>
      <c r="F625" s="268"/>
      <c r="G625" s="269">
        <v>5000.0</v>
      </c>
      <c r="H625" s="270">
        <v>0.0</v>
      </c>
      <c r="I625" s="269">
        <v>5000.0</v>
      </c>
      <c r="J625" s="271">
        <v>5000.0</v>
      </c>
      <c r="K625" s="272">
        <f t="shared" si="2"/>
        <v>0</v>
      </c>
      <c r="L625" s="273"/>
      <c r="M625" s="273"/>
      <c r="N625" s="273"/>
    </row>
    <row r="626" ht="26.25" customHeight="1">
      <c r="A626" s="274"/>
      <c r="B626" s="264">
        <v>45787.0</v>
      </c>
      <c r="C626" s="265" t="s">
        <v>974</v>
      </c>
      <c r="D626" s="266" t="s">
        <v>824</v>
      </c>
      <c r="E626" s="267" t="s">
        <v>980</v>
      </c>
      <c r="F626" s="289"/>
      <c r="G626" s="269">
        <v>1948000.0</v>
      </c>
      <c r="H626" s="270">
        <v>0.0</v>
      </c>
      <c r="I626" s="269">
        <v>1948000.0</v>
      </c>
      <c r="J626" s="271">
        <v>1948000.0</v>
      </c>
      <c r="K626" s="272">
        <f t="shared" si="2"/>
        <v>0</v>
      </c>
      <c r="L626" s="290"/>
      <c r="M626" s="290"/>
      <c r="N626" s="290"/>
    </row>
    <row r="627" ht="26.25" customHeight="1">
      <c r="A627" s="290"/>
      <c r="B627" s="264">
        <v>45787.0</v>
      </c>
      <c r="C627" s="265" t="s">
        <v>1098</v>
      </c>
      <c r="D627" s="266" t="s">
        <v>1029</v>
      </c>
      <c r="E627" s="267" t="s">
        <v>1070</v>
      </c>
      <c r="F627" s="289"/>
      <c r="G627" s="269">
        <v>130000.0</v>
      </c>
      <c r="H627" s="270">
        <v>0.0</v>
      </c>
      <c r="I627" s="269">
        <v>130000.0</v>
      </c>
      <c r="J627" s="271">
        <v>130000.0</v>
      </c>
      <c r="K627" s="272">
        <f t="shared" si="2"/>
        <v>0</v>
      </c>
      <c r="L627" s="290"/>
      <c r="M627" s="290"/>
      <c r="N627" s="290"/>
    </row>
    <row r="628" ht="26.25" customHeight="1">
      <c r="A628" s="298"/>
      <c r="B628" s="264">
        <v>45787.0</v>
      </c>
      <c r="C628" s="265" t="s">
        <v>1035</v>
      </c>
      <c r="D628" s="266" t="s">
        <v>824</v>
      </c>
      <c r="E628" s="267" t="s">
        <v>1792</v>
      </c>
      <c r="F628" s="289"/>
      <c r="G628" s="269">
        <v>80000.0</v>
      </c>
      <c r="H628" s="270">
        <v>0.0</v>
      </c>
      <c r="I628" s="269">
        <v>80000.0</v>
      </c>
      <c r="J628" s="271">
        <v>80000.0</v>
      </c>
      <c r="K628" s="272">
        <f t="shared" si="2"/>
        <v>0</v>
      </c>
      <c r="L628" s="290"/>
      <c r="M628" s="290"/>
      <c r="N628" s="290"/>
    </row>
    <row r="629" ht="26.25" customHeight="1">
      <c r="A629" s="277" t="s">
        <v>1793</v>
      </c>
      <c r="B629" s="264">
        <v>45787.0</v>
      </c>
      <c r="C629" s="265" t="s">
        <v>1035</v>
      </c>
      <c r="D629" s="266" t="s">
        <v>824</v>
      </c>
      <c r="E629" s="267" t="s">
        <v>1792</v>
      </c>
      <c r="F629" s="289"/>
      <c r="G629" s="269">
        <v>65000.0</v>
      </c>
      <c r="H629" s="270">
        <v>0.0</v>
      </c>
      <c r="I629" s="269">
        <v>65000.0</v>
      </c>
      <c r="J629" s="271">
        <v>65000.0</v>
      </c>
      <c r="K629" s="272">
        <f t="shared" si="2"/>
        <v>0</v>
      </c>
      <c r="L629" s="290"/>
      <c r="M629" s="290"/>
      <c r="N629" s="290"/>
    </row>
    <row r="630" ht="26.25" customHeight="1">
      <c r="A630" s="274"/>
      <c r="B630" s="264">
        <v>45787.0</v>
      </c>
      <c r="C630" s="265" t="s">
        <v>965</v>
      </c>
      <c r="D630" s="266" t="s">
        <v>1794</v>
      </c>
      <c r="E630" s="267" t="s">
        <v>1795</v>
      </c>
      <c r="F630" s="289"/>
      <c r="G630" s="269">
        <v>55000.0</v>
      </c>
      <c r="H630" s="270">
        <v>0.0</v>
      </c>
      <c r="I630" s="269">
        <v>55000.0</v>
      </c>
      <c r="J630" s="271">
        <v>55000.0</v>
      </c>
      <c r="K630" s="272">
        <f t="shared" si="2"/>
        <v>0</v>
      </c>
      <c r="L630" s="290"/>
      <c r="M630" s="290"/>
      <c r="N630" s="290"/>
    </row>
    <row r="631" ht="26.25" customHeight="1">
      <c r="A631" s="290"/>
      <c r="B631" s="264">
        <v>45787.0</v>
      </c>
      <c r="C631" s="265" t="s">
        <v>960</v>
      </c>
      <c r="D631" s="266" t="s">
        <v>237</v>
      </c>
      <c r="E631" s="267" t="s">
        <v>1796</v>
      </c>
      <c r="F631" s="289"/>
      <c r="G631" s="269">
        <v>50000.0</v>
      </c>
      <c r="H631" s="270">
        <v>0.0</v>
      </c>
      <c r="I631" s="269">
        <v>50000.0</v>
      </c>
      <c r="J631" s="271">
        <v>50000.0</v>
      </c>
      <c r="K631" s="272">
        <f t="shared" si="2"/>
        <v>0</v>
      </c>
      <c r="L631" s="290"/>
      <c r="M631" s="290"/>
      <c r="N631" s="290"/>
    </row>
    <row r="632" ht="26.25" customHeight="1">
      <c r="A632" s="290"/>
      <c r="B632" s="264">
        <v>45787.0</v>
      </c>
      <c r="C632" s="265" t="s">
        <v>1057</v>
      </c>
      <c r="D632" s="266" t="s">
        <v>1029</v>
      </c>
      <c r="E632" s="267" t="s">
        <v>1797</v>
      </c>
      <c r="F632" s="289"/>
      <c r="G632" s="269">
        <v>25000.0</v>
      </c>
      <c r="H632" s="270">
        <v>0.0</v>
      </c>
      <c r="I632" s="269">
        <v>25000.0</v>
      </c>
      <c r="J632" s="271">
        <v>25000.0</v>
      </c>
      <c r="K632" s="272">
        <f t="shared" si="2"/>
        <v>0</v>
      </c>
      <c r="L632" s="290"/>
      <c r="M632" s="290"/>
      <c r="N632" s="290"/>
    </row>
    <row r="633" ht="26.25" customHeight="1">
      <c r="A633" s="274"/>
      <c r="B633" s="264">
        <v>45787.0</v>
      </c>
      <c r="C633" s="265" t="s">
        <v>974</v>
      </c>
      <c r="D633" s="266" t="s">
        <v>824</v>
      </c>
      <c r="E633" s="267" t="s">
        <v>1798</v>
      </c>
      <c r="F633" s="289"/>
      <c r="G633" s="269">
        <v>15000.0</v>
      </c>
      <c r="H633" s="270">
        <v>0.0</v>
      </c>
      <c r="I633" s="269">
        <v>15000.0</v>
      </c>
      <c r="J633" s="271">
        <v>15000.0</v>
      </c>
      <c r="K633" s="272">
        <f t="shared" si="2"/>
        <v>0</v>
      </c>
      <c r="L633" s="290"/>
      <c r="M633" s="290"/>
      <c r="N633" s="290"/>
    </row>
    <row r="634" ht="26.25" customHeight="1">
      <c r="A634" s="273"/>
      <c r="B634" s="264">
        <v>45787.0</v>
      </c>
      <c r="C634" s="275" t="s">
        <v>974</v>
      </c>
      <c r="D634" s="266" t="s">
        <v>1713</v>
      </c>
      <c r="E634" s="267" t="s">
        <v>1799</v>
      </c>
      <c r="F634" s="268"/>
      <c r="G634" s="269">
        <v>10000.0</v>
      </c>
      <c r="H634" s="270">
        <v>0.0</v>
      </c>
      <c r="I634" s="269">
        <v>10000.0</v>
      </c>
      <c r="J634" s="271">
        <v>10000.0</v>
      </c>
      <c r="K634" s="272">
        <f t="shared" si="2"/>
        <v>0</v>
      </c>
      <c r="L634" s="273"/>
      <c r="M634" s="273"/>
      <c r="N634" s="273"/>
    </row>
    <row r="635" ht="35.25" customHeight="1">
      <c r="A635" s="277" t="s">
        <v>1800</v>
      </c>
      <c r="B635" s="264">
        <v>45788.0</v>
      </c>
      <c r="C635" s="265" t="s">
        <v>965</v>
      </c>
      <c r="D635" s="266" t="s">
        <v>980</v>
      </c>
      <c r="E635" s="267" t="s">
        <v>980</v>
      </c>
      <c r="F635" s="289"/>
      <c r="G635" s="269">
        <v>398000.0</v>
      </c>
      <c r="H635" s="270">
        <v>0.0</v>
      </c>
      <c r="I635" s="269">
        <v>398000.0</v>
      </c>
      <c r="J635" s="271">
        <v>398000.0</v>
      </c>
      <c r="K635" s="272">
        <f t="shared" si="2"/>
        <v>0</v>
      </c>
      <c r="L635" s="290"/>
      <c r="M635" s="290"/>
      <c r="N635" s="290"/>
    </row>
    <row r="636" ht="26.25" customHeight="1">
      <c r="A636" s="274"/>
      <c r="B636" s="264">
        <v>45788.0</v>
      </c>
      <c r="C636" s="265" t="s">
        <v>965</v>
      </c>
      <c r="D636" s="266" t="s">
        <v>1340</v>
      </c>
      <c r="E636" s="267" t="s">
        <v>1269</v>
      </c>
      <c r="F636" s="268"/>
      <c r="G636" s="269">
        <v>210000.0</v>
      </c>
      <c r="H636" s="270">
        <v>0.0</v>
      </c>
      <c r="I636" s="269">
        <v>210000.0</v>
      </c>
      <c r="J636" s="271">
        <v>210000.0</v>
      </c>
      <c r="K636" s="272">
        <f t="shared" si="2"/>
        <v>0</v>
      </c>
      <c r="L636" s="273"/>
      <c r="M636" s="273"/>
      <c r="N636" s="273"/>
    </row>
    <row r="637" ht="26.25" customHeight="1">
      <c r="A637" s="277" t="s">
        <v>1801</v>
      </c>
      <c r="B637" s="264">
        <v>45788.0</v>
      </c>
      <c r="C637" s="265" t="s">
        <v>1035</v>
      </c>
      <c r="D637" s="266" t="s">
        <v>1792</v>
      </c>
      <c r="E637" s="267" t="s">
        <v>1792</v>
      </c>
      <c r="F637" s="289"/>
      <c r="G637" s="269">
        <v>180000.0</v>
      </c>
      <c r="H637" s="270">
        <v>0.0</v>
      </c>
      <c r="I637" s="269">
        <v>180000.0</v>
      </c>
      <c r="J637" s="271">
        <v>180000.0</v>
      </c>
      <c r="K637" s="272">
        <f t="shared" si="2"/>
        <v>0</v>
      </c>
      <c r="L637" s="290"/>
      <c r="M637" s="290"/>
      <c r="N637" s="290"/>
    </row>
    <row r="638" ht="26.25" customHeight="1">
      <c r="A638" s="290"/>
      <c r="B638" s="264">
        <v>45788.0</v>
      </c>
      <c r="C638" s="265" t="s">
        <v>974</v>
      </c>
      <c r="D638" s="299" t="s">
        <v>1029</v>
      </c>
      <c r="E638" s="267" t="s">
        <v>1802</v>
      </c>
      <c r="F638" s="289"/>
      <c r="G638" s="269">
        <v>75000.0</v>
      </c>
      <c r="H638" s="270">
        <v>0.0</v>
      </c>
      <c r="I638" s="269">
        <v>75000.0</v>
      </c>
      <c r="J638" s="271">
        <v>75000.0</v>
      </c>
      <c r="K638" s="272">
        <f t="shared" si="2"/>
        <v>0</v>
      </c>
      <c r="L638" s="290"/>
      <c r="M638" s="290"/>
      <c r="N638" s="290"/>
    </row>
    <row r="639" ht="26.25" customHeight="1">
      <c r="A639" s="273"/>
      <c r="B639" s="264">
        <v>45788.0</v>
      </c>
      <c r="C639" s="275" t="s">
        <v>960</v>
      </c>
      <c r="D639" s="266" t="s">
        <v>31</v>
      </c>
      <c r="E639" s="267" t="s">
        <v>1775</v>
      </c>
      <c r="F639" s="268"/>
      <c r="G639" s="269">
        <v>25000.0</v>
      </c>
      <c r="H639" s="270">
        <v>0.0</v>
      </c>
      <c r="I639" s="269">
        <v>25000.0</v>
      </c>
      <c r="J639" s="271">
        <v>25000.0</v>
      </c>
      <c r="K639" s="272">
        <f t="shared" si="2"/>
        <v>0</v>
      </c>
      <c r="L639" s="273"/>
      <c r="M639" s="273"/>
      <c r="N639" s="273"/>
    </row>
    <row r="640" ht="26.25" customHeight="1">
      <c r="A640" s="273"/>
      <c r="B640" s="264">
        <v>45788.0</v>
      </c>
      <c r="C640" s="265" t="s">
        <v>965</v>
      </c>
      <c r="D640" s="266" t="s">
        <v>1029</v>
      </c>
      <c r="E640" s="267" t="s">
        <v>1803</v>
      </c>
      <c r="F640" s="268"/>
      <c r="G640" s="269">
        <v>10000.0</v>
      </c>
      <c r="H640" s="270">
        <v>0.0</v>
      </c>
      <c r="I640" s="269">
        <v>10000.0</v>
      </c>
      <c r="J640" s="271">
        <v>10000.0</v>
      </c>
      <c r="K640" s="272">
        <f t="shared" si="2"/>
        <v>0</v>
      </c>
      <c r="L640" s="273"/>
      <c r="M640" s="273"/>
      <c r="N640" s="273"/>
    </row>
    <row r="641" ht="26.25" customHeight="1">
      <c r="A641" s="290"/>
      <c r="B641" s="264">
        <v>45788.0</v>
      </c>
      <c r="C641" s="265" t="s">
        <v>974</v>
      </c>
      <c r="D641" s="266" t="s">
        <v>980</v>
      </c>
      <c r="E641" s="267" t="s">
        <v>1804</v>
      </c>
      <c r="F641" s="289"/>
      <c r="G641" s="269">
        <v>10000.0</v>
      </c>
      <c r="H641" s="270">
        <v>0.0</v>
      </c>
      <c r="I641" s="269">
        <v>10000.0</v>
      </c>
      <c r="J641" s="271">
        <v>10000.0</v>
      </c>
      <c r="K641" s="272">
        <f t="shared" si="2"/>
        <v>0</v>
      </c>
      <c r="L641" s="290"/>
      <c r="M641" s="290"/>
      <c r="N641" s="290"/>
    </row>
    <row r="642" ht="26.25" customHeight="1">
      <c r="A642" s="274"/>
      <c r="B642" s="264">
        <v>45788.0</v>
      </c>
      <c r="C642" s="265" t="s">
        <v>974</v>
      </c>
      <c r="D642" s="266" t="s">
        <v>1029</v>
      </c>
      <c r="E642" s="267" t="s">
        <v>1805</v>
      </c>
      <c r="F642" s="289"/>
      <c r="G642" s="269">
        <v>8000.0</v>
      </c>
      <c r="H642" s="270">
        <v>0.0</v>
      </c>
      <c r="I642" s="269">
        <v>8000.0</v>
      </c>
      <c r="J642" s="271">
        <v>8000.0</v>
      </c>
      <c r="K642" s="272">
        <f t="shared" si="2"/>
        <v>0</v>
      </c>
      <c r="L642" s="290"/>
      <c r="M642" s="290"/>
      <c r="N642" s="290"/>
    </row>
    <row r="643" ht="40.5" customHeight="1">
      <c r="A643" s="274"/>
      <c r="B643" s="264">
        <v>45788.0</v>
      </c>
      <c r="C643" s="265" t="s">
        <v>974</v>
      </c>
      <c r="D643" s="266" t="s">
        <v>1029</v>
      </c>
      <c r="E643" s="267" t="s">
        <v>1806</v>
      </c>
      <c r="F643" s="268"/>
      <c r="G643" s="269">
        <v>5000.0</v>
      </c>
      <c r="H643" s="270">
        <v>0.0</v>
      </c>
      <c r="I643" s="269">
        <v>5000.0</v>
      </c>
      <c r="J643" s="271">
        <v>5000.0</v>
      </c>
      <c r="K643" s="272">
        <f t="shared" si="2"/>
        <v>0</v>
      </c>
      <c r="L643" s="273"/>
      <c r="M643" s="273"/>
      <c r="N643" s="273"/>
    </row>
    <row r="644" ht="26.25" customHeight="1">
      <c r="A644" s="290"/>
      <c r="B644" s="264">
        <v>45788.0</v>
      </c>
      <c r="C644" s="265" t="s">
        <v>1431</v>
      </c>
      <c r="D644" s="282"/>
      <c r="E644" s="267" t="s">
        <v>1431</v>
      </c>
      <c r="F644" s="289"/>
      <c r="G644" s="269">
        <v>5000.0</v>
      </c>
      <c r="H644" s="270">
        <v>0.0</v>
      </c>
      <c r="I644" s="269">
        <v>5000.0</v>
      </c>
      <c r="J644" s="271">
        <v>5000.0</v>
      </c>
      <c r="K644" s="272">
        <f t="shared" si="2"/>
        <v>0</v>
      </c>
      <c r="L644" s="290"/>
      <c r="M644" s="290"/>
      <c r="N644" s="290"/>
    </row>
    <row r="645" ht="26.25" customHeight="1">
      <c r="A645" s="273"/>
      <c r="B645" s="264">
        <v>45789.0</v>
      </c>
      <c r="C645" s="275" t="s">
        <v>985</v>
      </c>
      <c r="D645" s="266" t="s">
        <v>45</v>
      </c>
      <c r="E645" s="267" t="s">
        <v>1786</v>
      </c>
      <c r="F645" s="268"/>
      <c r="G645" s="269">
        <v>70000.0</v>
      </c>
      <c r="H645" s="270">
        <v>0.0</v>
      </c>
      <c r="I645" s="269">
        <v>70000.0</v>
      </c>
      <c r="J645" s="271">
        <v>70000.0</v>
      </c>
      <c r="K645" s="272">
        <f t="shared" si="2"/>
        <v>0</v>
      </c>
      <c r="L645" s="273"/>
      <c r="M645" s="273"/>
      <c r="N645" s="273"/>
    </row>
    <row r="646" ht="26.25" customHeight="1">
      <c r="A646" s="290"/>
      <c r="B646" s="264">
        <v>45789.0</v>
      </c>
      <c r="C646" s="265" t="s">
        <v>1057</v>
      </c>
      <c r="D646" s="266" t="s">
        <v>1204</v>
      </c>
      <c r="E646" s="267" t="s">
        <v>1807</v>
      </c>
      <c r="F646" s="289"/>
      <c r="G646" s="269">
        <v>10000.0</v>
      </c>
      <c r="H646" s="270">
        <v>0.0</v>
      </c>
      <c r="I646" s="269">
        <v>10000.0</v>
      </c>
      <c r="J646" s="271">
        <v>10000.0</v>
      </c>
      <c r="K646" s="272">
        <f t="shared" si="2"/>
        <v>0</v>
      </c>
      <c r="L646" s="290"/>
      <c r="M646" s="290"/>
      <c r="N646" s="290"/>
    </row>
    <row r="647" ht="26.25" customHeight="1">
      <c r="A647" s="288" t="s">
        <v>1808</v>
      </c>
      <c r="B647" s="264">
        <v>45790.0</v>
      </c>
      <c r="C647" s="265" t="s">
        <v>1057</v>
      </c>
      <c r="D647" s="266" t="s">
        <v>1204</v>
      </c>
      <c r="E647" s="267" t="s">
        <v>1809</v>
      </c>
      <c r="F647" s="289"/>
      <c r="G647" s="269">
        <v>112500.0</v>
      </c>
      <c r="H647" s="270">
        <v>0.0</v>
      </c>
      <c r="I647" s="269">
        <v>112500.0</v>
      </c>
      <c r="J647" s="271">
        <v>112500.0</v>
      </c>
      <c r="K647" s="272">
        <f t="shared" si="2"/>
        <v>0</v>
      </c>
      <c r="L647" s="290"/>
      <c r="M647" s="290"/>
      <c r="N647" s="290"/>
    </row>
    <row r="648" ht="26.25" customHeight="1">
      <c r="A648" s="300" t="s">
        <v>1810</v>
      </c>
      <c r="B648" s="264">
        <v>45790.0</v>
      </c>
      <c r="C648" s="265" t="s">
        <v>1057</v>
      </c>
      <c r="D648" s="266" t="s">
        <v>45</v>
      </c>
      <c r="E648" s="267" t="s">
        <v>1811</v>
      </c>
      <c r="F648" s="289"/>
      <c r="G648" s="269">
        <v>88000.0</v>
      </c>
      <c r="H648" s="270">
        <v>0.0</v>
      </c>
      <c r="I648" s="269">
        <v>88000.0</v>
      </c>
      <c r="J648" s="271">
        <v>88000.0</v>
      </c>
      <c r="K648" s="272">
        <f t="shared" si="2"/>
        <v>0</v>
      </c>
      <c r="L648" s="290"/>
      <c r="M648" s="290"/>
      <c r="N648" s="290"/>
    </row>
    <row r="649" ht="26.25" customHeight="1">
      <c r="A649" s="274"/>
      <c r="B649" s="264">
        <v>45790.0</v>
      </c>
      <c r="C649" s="265" t="s">
        <v>1057</v>
      </c>
      <c r="D649" s="266" t="s">
        <v>1407</v>
      </c>
      <c r="E649" s="267" t="s">
        <v>1791</v>
      </c>
      <c r="F649" s="268"/>
      <c r="G649" s="269">
        <v>25000.0</v>
      </c>
      <c r="H649" s="270">
        <v>0.0</v>
      </c>
      <c r="I649" s="269">
        <v>25000.0</v>
      </c>
      <c r="J649" s="271">
        <v>25000.0</v>
      </c>
      <c r="K649" s="272">
        <f t="shared" si="2"/>
        <v>0</v>
      </c>
      <c r="L649" s="273"/>
      <c r="M649" s="273"/>
      <c r="N649" s="273"/>
    </row>
    <row r="650" ht="26.25" customHeight="1">
      <c r="A650" s="290"/>
      <c r="B650" s="264">
        <v>45790.0</v>
      </c>
      <c r="C650" s="265" t="s">
        <v>1057</v>
      </c>
      <c r="D650" s="266" t="s">
        <v>1204</v>
      </c>
      <c r="E650" s="267" t="s">
        <v>1812</v>
      </c>
      <c r="F650" s="289"/>
      <c r="G650" s="269">
        <v>25000.0</v>
      </c>
      <c r="H650" s="270">
        <v>0.0</v>
      </c>
      <c r="I650" s="269">
        <v>25000.0</v>
      </c>
      <c r="J650" s="271">
        <v>25000.0</v>
      </c>
      <c r="K650" s="272">
        <f t="shared" si="2"/>
        <v>0</v>
      </c>
      <c r="L650" s="290"/>
      <c r="M650" s="290"/>
      <c r="N650" s="290"/>
    </row>
    <row r="651" ht="26.25" customHeight="1">
      <c r="A651" s="290"/>
      <c r="B651" s="264">
        <v>45790.0</v>
      </c>
      <c r="C651" s="265" t="s">
        <v>1057</v>
      </c>
      <c r="D651" s="266" t="s">
        <v>1029</v>
      </c>
      <c r="E651" s="267" t="s">
        <v>1813</v>
      </c>
      <c r="F651" s="289"/>
      <c r="G651" s="269">
        <v>10000.0</v>
      </c>
      <c r="H651" s="270">
        <v>0.0</v>
      </c>
      <c r="I651" s="269">
        <v>10000.0</v>
      </c>
      <c r="J651" s="271">
        <v>10000.0</v>
      </c>
      <c r="K651" s="272">
        <f t="shared" si="2"/>
        <v>0</v>
      </c>
      <c r="L651" s="290"/>
      <c r="M651" s="290"/>
      <c r="N651" s="290"/>
    </row>
    <row r="652" ht="26.25" customHeight="1">
      <c r="A652" s="290"/>
      <c r="B652" s="264">
        <v>45790.0</v>
      </c>
      <c r="C652" s="265" t="s">
        <v>974</v>
      </c>
      <c r="D652" s="266" t="s">
        <v>1029</v>
      </c>
      <c r="E652" s="267" t="s">
        <v>1814</v>
      </c>
      <c r="F652" s="289"/>
      <c r="G652" s="269">
        <v>10000.0</v>
      </c>
      <c r="H652" s="270">
        <v>0.0</v>
      </c>
      <c r="I652" s="269">
        <v>10000.0</v>
      </c>
      <c r="J652" s="271">
        <v>10000.0</v>
      </c>
      <c r="K652" s="272">
        <f t="shared" si="2"/>
        <v>0</v>
      </c>
      <c r="L652" s="290"/>
      <c r="M652" s="290"/>
      <c r="N652" s="290"/>
    </row>
    <row r="653" ht="26.25" customHeight="1">
      <c r="A653" s="290"/>
      <c r="B653" s="264">
        <v>45790.0</v>
      </c>
      <c r="C653" s="265" t="s">
        <v>1057</v>
      </c>
      <c r="D653" s="266" t="s">
        <v>1204</v>
      </c>
      <c r="E653" s="267" t="s">
        <v>1815</v>
      </c>
      <c r="F653" s="289"/>
      <c r="G653" s="269">
        <v>6000.0</v>
      </c>
      <c r="H653" s="270">
        <v>0.0</v>
      </c>
      <c r="I653" s="269">
        <v>6000.0</v>
      </c>
      <c r="J653" s="271">
        <v>6000.0</v>
      </c>
      <c r="K653" s="272">
        <f t="shared" si="2"/>
        <v>0</v>
      </c>
      <c r="L653" s="290"/>
      <c r="M653" s="290"/>
      <c r="N653" s="290"/>
    </row>
    <row r="654" ht="26.25" customHeight="1">
      <c r="A654" s="274"/>
      <c r="B654" s="264">
        <v>45790.0</v>
      </c>
      <c r="C654" s="301" t="s">
        <v>968</v>
      </c>
      <c r="D654" s="266" t="s">
        <v>1816</v>
      </c>
      <c r="E654" s="267" t="s">
        <v>1817</v>
      </c>
      <c r="F654" s="289"/>
      <c r="G654" s="269">
        <v>5000.0</v>
      </c>
      <c r="H654" s="270">
        <v>0.0</v>
      </c>
      <c r="I654" s="269">
        <v>5000.0</v>
      </c>
      <c r="J654" s="271">
        <v>5000.0</v>
      </c>
      <c r="K654" s="272">
        <f t="shared" si="2"/>
        <v>0</v>
      </c>
      <c r="L654" s="290"/>
      <c r="M654" s="290"/>
      <c r="N654" s="290"/>
    </row>
    <row r="655" ht="26.25" customHeight="1">
      <c r="A655" s="273"/>
      <c r="B655" s="264">
        <v>45790.0</v>
      </c>
      <c r="C655" s="275" t="s">
        <v>960</v>
      </c>
      <c r="D655" s="266" t="s">
        <v>1528</v>
      </c>
      <c r="E655" s="267" t="s">
        <v>1818</v>
      </c>
      <c r="F655" s="268"/>
      <c r="G655" s="269">
        <v>4000.0</v>
      </c>
      <c r="H655" s="270">
        <v>0.0</v>
      </c>
      <c r="I655" s="269">
        <v>4000.0</v>
      </c>
      <c r="J655" s="271">
        <v>4000.0</v>
      </c>
      <c r="K655" s="272">
        <f t="shared" si="2"/>
        <v>0</v>
      </c>
      <c r="L655" s="273"/>
      <c r="M655" s="273"/>
      <c r="N655" s="273"/>
    </row>
    <row r="656" ht="26.25" customHeight="1">
      <c r="A656" s="281" t="s">
        <v>1819</v>
      </c>
      <c r="B656" s="264">
        <v>45791.0</v>
      </c>
      <c r="C656" s="275" t="s">
        <v>965</v>
      </c>
      <c r="D656" s="266" t="s">
        <v>980</v>
      </c>
      <c r="E656" s="267" t="s">
        <v>980</v>
      </c>
      <c r="F656" s="268"/>
      <c r="G656" s="269">
        <v>168000.0</v>
      </c>
      <c r="H656" s="270">
        <v>0.0</v>
      </c>
      <c r="I656" s="269">
        <v>168000.0</v>
      </c>
      <c r="J656" s="271">
        <v>168000.0</v>
      </c>
      <c r="K656" s="272">
        <f t="shared" si="2"/>
        <v>0</v>
      </c>
      <c r="L656" s="273"/>
      <c r="M656" s="273"/>
      <c r="N656" s="273"/>
    </row>
    <row r="657" ht="26.25" customHeight="1">
      <c r="A657" s="281" t="s">
        <v>1820</v>
      </c>
      <c r="B657" s="264">
        <v>45791.0</v>
      </c>
      <c r="C657" s="275" t="s">
        <v>965</v>
      </c>
      <c r="D657" s="266" t="s">
        <v>980</v>
      </c>
      <c r="E657" s="267" t="s">
        <v>980</v>
      </c>
      <c r="F657" s="268"/>
      <c r="G657" s="269">
        <v>115000.0</v>
      </c>
      <c r="H657" s="270">
        <v>0.0</v>
      </c>
      <c r="I657" s="269">
        <v>115000.0</v>
      </c>
      <c r="J657" s="271">
        <v>115000.0</v>
      </c>
      <c r="K657" s="272">
        <f t="shared" si="2"/>
        <v>0</v>
      </c>
      <c r="L657" s="273"/>
      <c r="M657" s="273"/>
      <c r="N657" s="273"/>
    </row>
    <row r="658" ht="26.25" customHeight="1">
      <c r="A658" s="274"/>
      <c r="B658" s="264">
        <v>45791.0</v>
      </c>
      <c r="C658" s="265" t="s">
        <v>974</v>
      </c>
      <c r="D658" s="266" t="s">
        <v>1029</v>
      </c>
      <c r="E658" s="267" t="s">
        <v>1821</v>
      </c>
      <c r="F658" s="289"/>
      <c r="G658" s="269">
        <v>15000.0</v>
      </c>
      <c r="H658" s="270">
        <v>0.0</v>
      </c>
      <c r="I658" s="269">
        <v>15000.0</v>
      </c>
      <c r="J658" s="271">
        <v>15000.0</v>
      </c>
      <c r="K658" s="272">
        <f t="shared" si="2"/>
        <v>0</v>
      </c>
      <c r="L658" s="290"/>
      <c r="M658" s="290"/>
      <c r="N658" s="290"/>
    </row>
    <row r="659" ht="26.25" customHeight="1">
      <c r="A659" s="290"/>
      <c r="B659" s="264">
        <v>45791.0</v>
      </c>
      <c r="C659" s="265" t="s">
        <v>960</v>
      </c>
      <c r="D659" s="266" t="s">
        <v>704</v>
      </c>
      <c r="E659" s="267" t="s">
        <v>1822</v>
      </c>
      <c r="F659" s="289"/>
      <c r="G659" s="269">
        <v>10000.0</v>
      </c>
      <c r="H659" s="270">
        <v>0.0</v>
      </c>
      <c r="I659" s="269">
        <v>10000.0</v>
      </c>
      <c r="J659" s="271">
        <v>10000.0</v>
      </c>
      <c r="K659" s="272">
        <f t="shared" si="2"/>
        <v>0</v>
      </c>
      <c r="L659" s="290"/>
      <c r="M659" s="290"/>
      <c r="N659" s="290"/>
    </row>
    <row r="660" ht="26.25" customHeight="1">
      <c r="A660" s="277" t="s">
        <v>1823</v>
      </c>
      <c r="B660" s="264">
        <v>45791.0</v>
      </c>
      <c r="C660" s="265" t="s">
        <v>974</v>
      </c>
      <c r="D660" s="266" t="s">
        <v>980</v>
      </c>
      <c r="E660" s="267" t="s">
        <v>1824</v>
      </c>
      <c r="F660" s="289"/>
      <c r="G660" s="269">
        <v>10000.0</v>
      </c>
      <c r="H660" s="270">
        <v>0.0</v>
      </c>
      <c r="I660" s="269">
        <v>10000.0</v>
      </c>
      <c r="J660" s="271">
        <v>10000.0</v>
      </c>
      <c r="K660" s="272">
        <f t="shared" si="2"/>
        <v>0</v>
      </c>
      <c r="L660" s="290"/>
      <c r="M660" s="290"/>
      <c r="N660" s="290"/>
    </row>
    <row r="661" ht="26.25" customHeight="1">
      <c r="A661" s="273"/>
      <c r="B661" s="264">
        <v>45791.0</v>
      </c>
      <c r="C661" s="275" t="s">
        <v>960</v>
      </c>
      <c r="D661" s="266" t="s">
        <v>1825</v>
      </c>
      <c r="E661" s="267" t="s">
        <v>1229</v>
      </c>
      <c r="F661" s="268"/>
      <c r="G661" s="269">
        <v>5000.0</v>
      </c>
      <c r="H661" s="270">
        <v>0.0</v>
      </c>
      <c r="I661" s="269">
        <v>5000.0</v>
      </c>
      <c r="J661" s="271">
        <v>5000.0</v>
      </c>
      <c r="K661" s="272">
        <f t="shared" si="2"/>
        <v>0</v>
      </c>
      <c r="L661" s="273"/>
      <c r="M661" s="273"/>
      <c r="N661" s="273"/>
    </row>
    <row r="662" ht="26.25" customHeight="1">
      <c r="A662" s="273"/>
      <c r="B662" s="264">
        <v>45791.0</v>
      </c>
      <c r="C662" s="275" t="s">
        <v>974</v>
      </c>
      <c r="D662" s="266" t="s">
        <v>1340</v>
      </c>
      <c r="E662" s="267" t="s">
        <v>1563</v>
      </c>
      <c r="F662" s="268"/>
      <c r="G662" s="269">
        <v>5000.0</v>
      </c>
      <c r="H662" s="270">
        <v>0.0</v>
      </c>
      <c r="I662" s="269">
        <v>5000.0</v>
      </c>
      <c r="J662" s="271">
        <v>5000.0</v>
      </c>
      <c r="K662" s="272">
        <f t="shared" si="2"/>
        <v>0</v>
      </c>
      <c r="L662" s="273"/>
      <c r="M662" s="273"/>
      <c r="N662" s="273"/>
    </row>
    <row r="663" ht="26.25" customHeight="1">
      <c r="A663" s="277" t="s">
        <v>1826</v>
      </c>
      <c r="B663" s="264">
        <v>45792.0</v>
      </c>
      <c r="C663" s="265" t="s">
        <v>960</v>
      </c>
      <c r="D663" s="266" t="s">
        <v>45</v>
      </c>
      <c r="E663" s="267" t="s">
        <v>1827</v>
      </c>
      <c r="F663" s="268"/>
      <c r="G663" s="269">
        <v>108000.0</v>
      </c>
      <c r="H663" s="270">
        <v>0.0</v>
      </c>
      <c r="I663" s="269">
        <v>108000.0</v>
      </c>
      <c r="J663" s="271">
        <v>108000.0</v>
      </c>
      <c r="K663" s="272">
        <f t="shared" si="2"/>
        <v>0</v>
      </c>
      <c r="L663" s="273"/>
      <c r="M663" s="273"/>
      <c r="N663" s="273"/>
    </row>
    <row r="664" ht="26.25" customHeight="1">
      <c r="A664" s="288" t="s">
        <v>1823</v>
      </c>
      <c r="B664" s="264">
        <v>45792.0</v>
      </c>
      <c r="C664" s="265" t="s">
        <v>965</v>
      </c>
      <c r="D664" s="266" t="s">
        <v>20</v>
      </c>
      <c r="E664" s="267" t="s">
        <v>980</v>
      </c>
      <c r="F664" s="289"/>
      <c r="G664" s="269">
        <v>95000.0</v>
      </c>
      <c r="H664" s="270">
        <v>0.0</v>
      </c>
      <c r="I664" s="269">
        <v>95000.0</v>
      </c>
      <c r="J664" s="271">
        <v>95000.0</v>
      </c>
      <c r="K664" s="272">
        <f t="shared" si="2"/>
        <v>0</v>
      </c>
      <c r="L664" s="290"/>
      <c r="M664" s="290"/>
      <c r="N664" s="290"/>
    </row>
    <row r="665" ht="26.25" customHeight="1">
      <c r="A665" s="288" t="s">
        <v>1828</v>
      </c>
      <c r="B665" s="264">
        <v>45792.0</v>
      </c>
      <c r="C665" s="265" t="s">
        <v>1035</v>
      </c>
      <c r="D665" s="266" t="s">
        <v>1407</v>
      </c>
      <c r="E665" s="267" t="s">
        <v>1829</v>
      </c>
      <c r="F665" s="289"/>
      <c r="G665" s="269">
        <v>57000.0</v>
      </c>
      <c r="H665" s="270">
        <v>0.0</v>
      </c>
      <c r="I665" s="269">
        <v>57000.0</v>
      </c>
      <c r="J665" s="271">
        <v>57000.0</v>
      </c>
      <c r="K665" s="272">
        <f t="shared" si="2"/>
        <v>0</v>
      </c>
      <c r="L665" s="290"/>
      <c r="M665" s="290"/>
      <c r="N665" s="290"/>
    </row>
    <row r="666" ht="26.25" customHeight="1">
      <c r="A666" s="281" t="s">
        <v>1830</v>
      </c>
      <c r="B666" s="264">
        <v>45792.0</v>
      </c>
      <c r="C666" s="275" t="s">
        <v>965</v>
      </c>
      <c r="D666" s="266" t="s">
        <v>45</v>
      </c>
      <c r="E666" s="267" t="s">
        <v>1831</v>
      </c>
      <c r="F666" s="268"/>
      <c r="G666" s="269">
        <v>25000.0</v>
      </c>
      <c r="H666" s="270">
        <v>0.0</v>
      </c>
      <c r="I666" s="269">
        <v>25000.0</v>
      </c>
      <c r="J666" s="271">
        <v>25000.0</v>
      </c>
      <c r="K666" s="272">
        <f t="shared" si="2"/>
        <v>0</v>
      </c>
      <c r="L666" s="273"/>
      <c r="M666" s="273"/>
      <c r="N666" s="273"/>
    </row>
    <row r="667" ht="26.25" customHeight="1">
      <c r="A667" s="273"/>
      <c r="B667" s="264">
        <v>45792.0</v>
      </c>
      <c r="C667" s="275" t="s">
        <v>963</v>
      </c>
      <c r="D667" s="266" t="s">
        <v>1340</v>
      </c>
      <c r="E667" s="267" t="s">
        <v>963</v>
      </c>
      <c r="F667" s="268"/>
      <c r="G667" s="269">
        <v>10000.0</v>
      </c>
      <c r="H667" s="270">
        <v>0.0</v>
      </c>
      <c r="I667" s="269">
        <v>10000.0</v>
      </c>
      <c r="J667" s="271">
        <v>10000.0</v>
      </c>
      <c r="K667" s="272">
        <f t="shared" si="2"/>
        <v>0</v>
      </c>
      <c r="L667" s="273"/>
      <c r="M667" s="273"/>
      <c r="N667" s="273"/>
    </row>
    <row r="668" ht="26.25" customHeight="1">
      <c r="A668" s="274"/>
      <c r="B668" s="264">
        <v>45792.0</v>
      </c>
      <c r="C668" s="265" t="s">
        <v>974</v>
      </c>
      <c r="D668" s="266" t="s">
        <v>1340</v>
      </c>
      <c r="E668" s="267" t="s">
        <v>1563</v>
      </c>
      <c r="F668" s="268"/>
      <c r="G668" s="269">
        <v>5000.0</v>
      </c>
      <c r="H668" s="270">
        <v>0.0</v>
      </c>
      <c r="I668" s="269">
        <v>5000.0</v>
      </c>
      <c r="J668" s="271">
        <v>5000.0</v>
      </c>
      <c r="K668" s="272">
        <f t="shared" si="2"/>
        <v>0</v>
      </c>
      <c r="L668" s="273"/>
      <c r="M668" s="273"/>
      <c r="N668" s="273"/>
    </row>
    <row r="669" ht="26.25" customHeight="1">
      <c r="A669" s="290"/>
      <c r="B669" s="264">
        <v>45793.0</v>
      </c>
      <c r="C669" s="265" t="s">
        <v>974</v>
      </c>
      <c r="D669" s="266" t="s">
        <v>1204</v>
      </c>
      <c r="E669" s="267" t="s">
        <v>1832</v>
      </c>
      <c r="F669" s="289"/>
      <c r="G669" s="269">
        <v>75000.0</v>
      </c>
      <c r="H669" s="270">
        <v>0.0</v>
      </c>
      <c r="I669" s="269">
        <v>75000.0</v>
      </c>
      <c r="J669" s="271">
        <v>75000.0</v>
      </c>
      <c r="K669" s="272">
        <f t="shared" si="2"/>
        <v>0</v>
      </c>
      <c r="L669" s="290"/>
      <c r="M669" s="290"/>
      <c r="N669" s="290"/>
    </row>
    <row r="670" ht="26.25" customHeight="1">
      <c r="A670" s="273"/>
      <c r="B670" s="264">
        <v>45793.0</v>
      </c>
      <c r="C670" s="275" t="s">
        <v>965</v>
      </c>
      <c r="D670" s="266" t="s">
        <v>20</v>
      </c>
      <c r="E670" s="267" t="s">
        <v>1833</v>
      </c>
      <c r="F670" s="268"/>
      <c r="G670" s="269">
        <v>51000.0</v>
      </c>
      <c r="H670" s="270">
        <v>0.0</v>
      </c>
      <c r="I670" s="269">
        <v>51000.0</v>
      </c>
      <c r="J670" s="271">
        <v>51000.0</v>
      </c>
      <c r="K670" s="272">
        <f t="shared" si="2"/>
        <v>0</v>
      </c>
      <c r="L670" s="273"/>
      <c r="M670" s="273"/>
      <c r="N670" s="273"/>
    </row>
    <row r="671" ht="26.25" customHeight="1">
      <c r="A671" s="273"/>
      <c r="B671" s="264">
        <v>45793.0</v>
      </c>
      <c r="C671" s="275" t="s">
        <v>974</v>
      </c>
      <c r="D671" s="266" t="s">
        <v>237</v>
      </c>
      <c r="E671" s="267" t="s">
        <v>1834</v>
      </c>
      <c r="F671" s="268"/>
      <c r="G671" s="269">
        <v>13000.0</v>
      </c>
      <c r="H671" s="270">
        <v>0.0</v>
      </c>
      <c r="I671" s="269">
        <v>13000.0</v>
      </c>
      <c r="J671" s="271">
        <v>13000.0</v>
      </c>
      <c r="K671" s="272">
        <f t="shared" si="2"/>
        <v>0</v>
      </c>
      <c r="L671" s="273"/>
      <c r="M671" s="273"/>
      <c r="N671" s="273"/>
    </row>
    <row r="672" ht="26.25" customHeight="1">
      <c r="A672" s="274"/>
      <c r="B672" s="264">
        <v>45793.0</v>
      </c>
      <c r="C672" s="265" t="s">
        <v>963</v>
      </c>
      <c r="D672" s="266" t="s">
        <v>1204</v>
      </c>
      <c r="E672" s="267" t="s">
        <v>963</v>
      </c>
      <c r="F672" s="289"/>
      <c r="G672" s="269">
        <v>11000.0</v>
      </c>
      <c r="H672" s="270">
        <v>0.0</v>
      </c>
      <c r="I672" s="269">
        <v>11000.0</v>
      </c>
      <c r="J672" s="271">
        <v>11000.0</v>
      </c>
      <c r="K672" s="272">
        <f t="shared" si="2"/>
        <v>0</v>
      </c>
      <c r="L672" s="290"/>
      <c r="M672" s="290"/>
      <c r="N672" s="290"/>
    </row>
    <row r="673" ht="26.25" customHeight="1">
      <c r="A673" s="274"/>
      <c r="B673" s="264">
        <v>45794.0</v>
      </c>
      <c r="C673" s="265" t="s">
        <v>1057</v>
      </c>
      <c r="D673" s="266" t="s">
        <v>31</v>
      </c>
      <c r="E673" s="267" t="s">
        <v>1835</v>
      </c>
      <c r="F673" s="289"/>
      <c r="G673" s="269">
        <v>250000.0</v>
      </c>
      <c r="H673" s="270">
        <v>0.0</v>
      </c>
      <c r="I673" s="269">
        <v>250000.0</v>
      </c>
      <c r="J673" s="271">
        <v>250000.0</v>
      </c>
      <c r="K673" s="272">
        <f t="shared" si="2"/>
        <v>0</v>
      </c>
      <c r="L673" s="290"/>
      <c r="M673" s="290"/>
      <c r="N673" s="290"/>
    </row>
    <row r="674" ht="26.25" customHeight="1">
      <c r="A674" s="274"/>
      <c r="B674" s="264">
        <v>45794.0</v>
      </c>
      <c r="C674" s="265" t="s">
        <v>1035</v>
      </c>
      <c r="D674" s="266" t="s">
        <v>1407</v>
      </c>
      <c r="E674" s="267" t="s">
        <v>1836</v>
      </c>
      <c r="F674" s="289"/>
      <c r="G674" s="269">
        <v>69000.0</v>
      </c>
      <c r="H674" s="270">
        <v>0.0</v>
      </c>
      <c r="I674" s="269">
        <v>69000.0</v>
      </c>
      <c r="J674" s="271">
        <v>69000.0</v>
      </c>
      <c r="K674" s="272">
        <f t="shared" si="2"/>
        <v>0</v>
      </c>
      <c r="L674" s="290"/>
      <c r="M674" s="290"/>
      <c r="N674" s="290"/>
    </row>
    <row r="675" ht="26.25" customHeight="1">
      <c r="A675" s="281" t="s">
        <v>1837</v>
      </c>
      <c r="B675" s="264">
        <v>45794.0</v>
      </c>
      <c r="C675" s="275" t="s">
        <v>1035</v>
      </c>
      <c r="D675" s="266" t="s">
        <v>824</v>
      </c>
      <c r="E675" s="267" t="s">
        <v>1599</v>
      </c>
      <c r="F675" s="268"/>
      <c r="G675" s="269">
        <v>43000.0</v>
      </c>
      <c r="H675" s="270">
        <v>0.0</v>
      </c>
      <c r="I675" s="269">
        <v>43000.0</v>
      </c>
      <c r="J675" s="271">
        <v>43000.0</v>
      </c>
      <c r="K675" s="272">
        <f t="shared" si="2"/>
        <v>0</v>
      </c>
      <c r="L675" s="273"/>
      <c r="M675" s="273"/>
      <c r="N675" s="273"/>
    </row>
    <row r="676" ht="26.25" customHeight="1">
      <c r="A676" s="273"/>
      <c r="B676" s="264">
        <v>45795.0</v>
      </c>
      <c r="C676" s="275" t="s">
        <v>1057</v>
      </c>
      <c r="D676" s="266" t="s">
        <v>31</v>
      </c>
      <c r="E676" s="267" t="s">
        <v>1838</v>
      </c>
      <c r="F676" s="268"/>
      <c r="G676" s="269">
        <v>70000.0</v>
      </c>
      <c r="H676" s="270">
        <v>0.0</v>
      </c>
      <c r="I676" s="269">
        <v>70000.0</v>
      </c>
      <c r="J676" s="271">
        <v>70000.0</v>
      </c>
      <c r="K676" s="272">
        <f t="shared" si="2"/>
        <v>0</v>
      </c>
      <c r="L676" s="273"/>
      <c r="M676" s="273"/>
      <c r="N676" s="273"/>
    </row>
    <row r="677" ht="26.25" customHeight="1">
      <c r="A677" s="274"/>
      <c r="B677" s="264">
        <v>45795.0</v>
      </c>
      <c r="C677" s="265" t="s">
        <v>960</v>
      </c>
      <c r="D677" s="266" t="s">
        <v>824</v>
      </c>
      <c r="E677" s="267" t="s">
        <v>1579</v>
      </c>
      <c r="F677" s="289"/>
      <c r="G677" s="269">
        <v>10000.0</v>
      </c>
      <c r="H677" s="270">
        <v>0.0</v>
      </c>
      <c r="I677" s="269">
        <v>10000.0</v>
      </c>
      <c r="J677" s="271">
        <v>10000.0</v>
      </c>
      <c r="K677" s="272">
        <f t="shared" si="2"/>
        <v>0</v>
      </c>
      <c r="L677" s="290"/>
      <c r="M677" s="290"/>
      <c r="N677" s="290"/>
    </row>
    <row r="678" ht="26.25" customHeight="1">
      <c r="A678" s="290"/>
      <c r="B678" s="264">
        <v>45796.0</v>
      </c>
      <c r="C678" s="265" t="s">
        <v>1057</v>
      </c>
      <c r="D678" s="266" t="s">
        <v>31</v>
      </c>
      <c r="E678" s="267" t="s">
        <v>1839</v>
      </c>
      <c r="F678" s="289"/>
      <c r="G678" s="269">
        <v>500000.0</v>
      </c>
      <c r="H678" s="270">
        <v>0.0</v>
      </c>
      <c r="I678" s="269">
        <v>500000.0</v>
      </c>
      <c r="J678" s="271">
        <v>500000.0</v>
      </c>
      <c r="K678" s="272">
        <f t="shared" si="2"/>
        <v>0</v>
      </c>
      <c r="L678" s="290"/>
      <c r="M678" s="290"/>
      <c r="N678" s="290"/>
    </row>
    <row r="679" ht="26.25" customHeight="1">
      <c r="A679" s="290"/>
      <c r="B679" s="264">
        <v>45796.0</v>
      </c>
      <c r="C679" s="265" t="s">
        <v>974</v>
      </c>
      <c r="D679" s="266" t="s">
        <v>57</v>
      </c>
      <c r="E679" s="267" t="s">
        <v>1840</v>
      </c>
      <c r="F679" s="289"/>
      <c r="G679" s="269">
        <v>300000.0</v>
      </c>
      <c r="H679" s="270">
        <v>0.0</v>
      </c>
      <c r="I679" s="269">
        <v>300000.0</v>
      </c>
      <c r="J679" s="271">
        <v>300000.0</v>
      </c>
      <c r="K679" s="272">
        <f t="shared" si="2"/>
        <v>0</v>
      </c>
      <c r="L679" s="290"/>
      <c r="M679" s="290"/>
      <c r="N679" s="290"/>
    </row>
    <row r="680" ht="26.25" customHeight="1">
      <c r="A680" s="290"/>
      <c r="B680" s="264">
        <v>45796.0</v>
      </c>
      <c r="C680" s="265" t="s">
        <v>1057</v>
      </c>
      <c r="D680" s="266" t="s">
        <v>1204</v>
      </c>
      <c r="E680" s="267" t="s">
        <v>1841</v>
      </c>
      <c r="F680" s="289"/>
      <c r="G680" s="269">
        <v>145000.0</v>
      </c>
      <c r="H680" s="270">
        <v>0.0</v>
      </c>
      <c r="I680" s="269">
        <v>145000.0</v>
      </c>
      <c r="J680" s="271">
        <v>145000.0</v>
      </c>
      <c r="K680" s="272">
        <f t="shared" si="2"/>
        <v>0</v>
      </c>
      <c r="L680" s="290"/>
      <c r="M680" s="290"/>
      <c r="N680" s="290"/>
    </row>
    <row r="681" ht="26.25" customHeight="1">
      <c r="A681" s="274"/>
      <c r="B681" s="264">
        <v>45796.0</v>
      </c>
      <c r="C681" s="265" t="s">
        <v>1035</v>
      </c>
      <c r="D681" s="266" t="s">
        <v>45</v>
      </c>
      <c r="E681" s="267" t="s">
        <v>1599</v>
      </c>
      <c r="F681" s="289"/>
      <c r="G681" s="269">
        <v>95000.0</v>
      </c>
      <c r="H681" s="270">
        <v>0.0</v>
      </c>
      <c r="I681" s="269">
        <v>95000.0</v>
      </c>
      <c r="J681" s="271">
        <v>95000.0</v>
      </c>
      <c r="K681" s="272">
        <f t="shared" si="2"/>
        <v>0</v>
      </c>
      <c r="L681" s="290"/>
      <c r="M681" s="290"/>
      <c r="N681" s="290"/>
    </row>
    <row r="682" ht="26.25" customHeight="1">
      <c r="A682" s="273"/>
      <c r="B682" s="264">
        <v>45796.0</v>
      </c>
      <c r="C682" s="265" t="s">
        <v>960</v>
      </c>
      <c r="D682" s="266" t="s">
        <v>704</v>
      </c>
      <c r="E682" s="267" t="s">
        <v>1842</v>
      </c>
      <c r="F682" s="268"/>
      <c r="G682" s="269">
        <v>65000.0</v>
      </c>
      <c r="H682" s="270">
        <v>0.0</v>
      </c>
      <c r="I682" s="269">
        <v>65000.0</v>
      </c>
      <c r="J682" s="271">
        <v>65000.0</v>
      </c>
      <c r="K682" s="272">
        <f t="shared" si="2"/>
        <v>0</v>
      </c>
      <c r="L682" s="273"/>
      <c r="M682" s="273"/>
      <c r="N682" s="273"/>
    </row>
    <row r="683" ht="26.25" customHeight="1">
      <c r="A683" s="290"/>
      <c r="B683" s="264">
        <v>45796.0</v>
      </c>
      <c r="C683" s="265" t="s">
        <v>965</v>
      </c>
      <c r="D683" s="266" t="s">
        <v>45</v>
      </c>
      <c r="E683" s="267" t="s">
        <v>1843</v>
      </c>
      <c r="F683" s="289"/>
      <c r="G683" s="269">
        <v>53000.0</v>
      </c>
      <c r="H683" s="270">
        <v>0.0</v>
      </c>
      <c r="I683" s="269">
        <v>53000.0</v>
      </c>
      <c r="J683" s="271">
        <v>53000.0</v>
      </c>
      <c r="K683" s="272">
        <f t="shared" si="2"/>
        <v>0</v>
      </c>
      <c r="L683" s="290"/>
      <c r="M683" s="290"/>
      <c r="N683" s="290"/>
    </row>
    <row r="684" ht="26.25" customHeight="1">
      <c r="A684" s="274"/>
      <c r="B684" s="264">
        <v>45796.0</v>
      </c>
      <c r="C684" s="265" t="s">
        <v>974</v>
      </c>
      <c r="D684" s="266" t="s">
        <v>824</v>
      </c>
      <c r="E684" s="267" t="s">
        <v>1844</v>
      </c>
      <c r="F684" s="289"/>
      <c r="G684" s="269">
        <v>50000.0</v>
      </c>
      <c r="H684" s="270">
        <v>0.0</v>
      </c>
      <c r="I684" s="269">
        <v>50000.0</v>
      </c>
      <c r="J684" s="271">
        <v>50000.0</v>
      </c>
      <c r="K684" s="272">
        <f t="shared" si="2"/>
        <v>0</v>
      </c>
      <c r="L684" s="290"/>
      <c r="M684" s="290"/>
      <c r="N684" s="290"/>
    </row>
    <row r="685" ht="26.25" customHeight="1">
      <c r="A685" s="274"/>
      <c r="B685" s="264">
        <v>45796.0</v>
      </c>
      <c r="C685" s="265" t="s">
        <v>1057</v>
      </c>
      <c r="D685" s="266" t="s">
        <v>1204</v>
      </c>
      <c r="E685" s="267" t="s">
        <v>1812</v>
      </c>
      <c r="F685" s="289"/>
      <c r="G685" s="269">
        <v>36000.0</v>
      </c>
      <c r="H685" s="270">
        <v>0.0</v>
      </c>
      <c r="I685" s="269">
        <v>36000.0</v>
      </c>
      <c r="J685" s="271">
        <v>36000.0</v>
      </c>
      <c r="K685" s="272">
        <f t="shared" si="2"/>
        <v>0</v>
      </c>
      <c r="L685" s="290"/>
      <c r="M685" s="290"/>
      <c r="N685" s="290"/>
    </row>
    <row r="686" ht="26.25" customHeight="1">
      <c r="A686" s="273"/>
      <c r="B686" s="264">
        <v>45796.0</v>
      </c>
      <c r="C686" s="275" t="s">
        <v>1057</v>
      </c>
      <c r="D686" s="266" t="s">
        <v>31</v>
      </c>
      <c r="E686" s="267" t="s">
        <v>1845</v>
      </c>
      <c r="F686" s="268"/>
      <c r="G686" s="269">
        <v>25000.0</v>
      </c>
      <c r="H686" s="270">
        <v>0.0</v>
      </c>
      <c r="I686" s="269">
        <v>25000.0</v>
      </c>
      <c r="J686" s="271">
        <v>25000.0</v>
      </c>
      <c r="K686" s="272">
        <f t="shared" si="2"/>
        <v>0</v>
      </c>
      <c r="L686" s="273"/>
      <c r="M686" s="273"/>
      <c r="N686" s="273"/>
    </row>
    <row r="687" ht="26.25" customHeight="1">
      <c r="A687" s="273"/>
      <c r="B687" s="264">
        <v>45796.0</v>
      </c>
      <c r="C687" s="275" t="s">
        <v>960</v>
      </c>
      <c r="D687" s="266" t="s">
        <v>237</v>
      </c>
      <c r="E687" s="267" t="s">
        <v>1846</v>
      </c>
      <c r="F687" s="268"/>
      <c r="G687" s="269">
        <v>16000.0</v>
      </c>
      <c r="H687" s="270">
        <v>0.0</v>
      </c>
      <c r="I687" s="269">
        <v>16000.0</v>
      </c>
      <c r="J687" s="271">
        <v>16000.0</v>
      </c>
      <c r="K687" s="272">
        <f t="shared" si="2"/>
        <v>0</v>
      </c>
      <c r="L687" s="273"/>
      <c r="M687" s="273"/>
      <c r="N687" s="273"/>
    </row>
    <row r="688" ht="26.25" customHeight="1">
      <c r="A688" s="288" t="s">
        <v>1847</v>
      </c>
      <c r="B688" s="264">
        <v>45797.0</v>
      </c>
      <c r="C688" s="265" t="s">
        <v>965</v>
      </c>
      <c r="D688" s="266" t="s">
        <v>980</v>
      </c>
      <c r="E688" s="267" t="s">
        <v>980</v>
      </c>
      <c r="F688" s="289"/>
      <c r="G688" s="269">
        <v>332000.0</v>
      </c>
      <c r="H688" s="270">
        <v>0.0</v>
      </c>
      <c r="I688" s="269">
        <v>332000.0</v>
      </c>
      <c r="J688" s="271">
        <v>332000.0</v>
      </c>
      <c r="K688" s="272">
        <f t="shared" si="2"/>
        <v>0</v>
      </c>
      <c r="L688" s="290"/>
      <c r="M688" s="290"/>
      <c r="N688" s="290"/>
    </row>
    <row r="689" ht="26.25" customHeight="1">
      <c r="A689" s="290"/>
      <c r="B689" s="264">
        <v>45797.0</v>
      </c>
      <c r="C689" s="265" t="s">
        <v>1098</v>
      </c>
      <c r="D689" s="266" t="s">
        <v>930</v>
      </c>
      <c r="E689" s="267" t="s">
        <v>1848</v>
      </c>
      <c r="F689" s="289"/>
      <c r="G689" s="269">
        <v>255000.0</v>
      </c>
      <c r="H689" s="270">
        <v>0.0</v>
      </c>
      <c r="I689" s="269">
        <v>255000.0</v>
      </c>
      <c r="J689" s="271">
        <v>255000.0</v>
      </c>
      <c r="K689" s="272">
        <f t="shared" si="2"/>
        <v>0</v>
      </c>
      <c r="L689" s="290"/>
      <c r="M689" s="290"/>
      <c r="N689" s="290"/>
    </row>
    <row r="690" ht="26.25" customHeight="1">
      <c r="A690" s="290"/>
      <c r="B690" s="264">
        <v>45797.0</v>
      </c>
      <c r="C690" s="265" t="s">
        <v>1057</v>
      </c>
      <c r="D690" s="266" t="s">
        <v>31</v>
      </c>
      <c r="E690" s="267" t="s">
        <v>1849</v>
      </c>
      <c r="F690" s="289"/>
      <c r="G690" s="269">
        <v>180000.0</v>
      </c>
      <c r="H690" s="270">
        <v>0.0</v>
      </c>
      <c r="I690" s="269">
        <v>180000.0</v>
      </c>
      <c r="J690" s="271">
        <v>180000.0</v>
      </c>
      <c r="K690" s="272">
        <f t="shared" si="2"/>
        <v>0</v>
      </c>
      <c r="L690" s="290"/>
      <c r="M690" s="290"/>
      <c r="N690" s="290"/>
    </row>
    <row r="691" ht="26.25" customHeight="1">
      <c r="A691" s="274"/>
      <c r="B691" s="264">
        <v>45797.0</v>
      </c>
      <c r="C691" s="265" t="s">
        <v>1431</v>
      </c>
      <c r="D691" s="266" t="s">
        <v>45</v>
      </c>
      <c r="E691" s="267" t="s">
        <v>1850</v>
      </c>
      <c r="F691" s="289"/>
      <c r="G691" s="269">
        <v>126000.0</v>
      </c>
      <c r="H691" s="270">
        <v>0.0</v>
      </c>
      <c r="I691" s="269">
        <v>126000.0</v>
      </c>
      <c r="J691" s="271">
        <v>126000.0</v>
      </c>
      <c r="K691" s="272">
        <f t="shared" si="2"/>
        <v>0</v>
      </c>
      <c r="L691" s="290"/>
      <c r="M691" s="290"/>
      <c r="N691" s="290"/>
    </row>
    <row r="692" ht="26.25" customHeight="1">
      <c r="A692" s="290"/>
      <c r="B692" s="264">
        <v>45797.0</v>
      </c>
      <c r="C692" s="265" t="s">
        <v>965</v>
      </c>
      <c r="D692" s="266" t="s">
        <v>45</v>
      </c>
      <c r="E692" s="267" t="s">
        <v>1851</v>
      </c>
      <c r="F692" s="289"/>
      <c r="G692" s="269">
        <v>105000.0</v>
      </c>
      <c r="H692" s="270">
        <v>0.0</v>
      </c>
      <c r="I692" s="269">
        <v>105000.0</v>
      </c>
      <c r="J692" s="271">
        <v>105000.0</v>
      </c>
      <c r="K692" s="272">
        <f t="shared" si="2"/>
        <v>0</v>
      </c>
      <c r="L692" s="290"/>
      <c r="M692" s="290"/>
      <c r="N692" s="290"/>
    </row>
    <row r="693" ht="26.25" customHeight="1">
      <c r="A693" s="290"/>
      <c r="B693" s="264">
        <v>45797.0</v>
      </c>
      <c r="C693" s="265" t="s">
        <v>1057</v>
      </c>
      <c r="D693" s="266" t="s">
        <v>31</v>
      </c>
      <c r="E693" s="267" t="s">
        <v>1791</v>
      </c>
      <c r="F693" s="289"/>
      <c r="G693" s="269">
        <v>25000.0</v>
      </c>
      <c r="H693" s="270">
        <v>0.0</v>
      </c>
      <c r="I693" s="269">
        <v>25000.0</v>
      </c>
      <c r="J693" s="271">
        <v>25000.0</v>
      </c>
      <c r="K693" s="272">
        <f t="shared" si="2"/>
        <v>0</v>
      </c>
      <c r="L693" s="290"/>
      <c r="M693" s="290"/>
      <c r="N693" s="290"/>
    </row>
    <row r="694" ht="26.25" customHeight="1">
      <c r="A694" s="290"/>
      <c r="B694" s="264">
        <v>45797.0</v>
      </c>
      <c r="C694" s="265" t="s">
        <v>974</v>
      </c>
      <c r="D694" s="266" t="s">
        <v>824</v>
      </c>
      <c r="E694" s="267" t="s">
        <v>1852</v>
      </c>
      <c r="F694" s="289"/>
      <c r="G694" s="269">
        <v>10000.0</v>
      </c>
      <c r="H694" s="270">
        <v>0.0</v>
      </c>
      <c r="I694" s="269">
        <v>10000.0</v>
      </c>
      <c r="J694" s="271">
        <v>10000.0</v>
      </c>
      <c r="K694" s="272">
        <f t="shared" si="2"/>
        <v>0</v>
      </c>
      <c r="L694" s="290"/>
      <c r="M694" s="290"/>
      <c r="N694" s="290"/>
    </row>
    <row r="695" ht="26.25" customHeight="1">
      <c r="A695" s="290"/>
      <c r="B695" s="264">
        <v>45797.0</v>
      </c>
      <c r="C695" s="265" t="s">
        <v>1431</v>
      </c>
      <c r="D695" s="266" t="s">
        <v>824</v>
      </c>
      <c r="E695" s="267" t="s">
        <v>1853</v>
      </c>
      <c r="F695" s="289"/>
      <c r="G695" s="269">
        <v>10000.0</v>
      </c>
      <c r="H695" s="270">
        <v>0.0</v>
      </c>
      <c r="I695" s="269">
        <v>10000.0</v>
      </c>
      <c r="J695" s="271">
        <v>10000.0</v>
      </c>
      <c r="K695" s="272">
        <f t="shared" si="2"/>
        <v>0</v>
      </c>
      <c r="L695" s="290"/>
      <c r="M695" s="290"/>
      <c r="N695" s="290"/>
    </row>
    <row r="696" ht="26.25" customHeight="1">
      <c r="A696" s="290"/>
      <c r="B696" s="264">
        <v>45798.0</v>
      </c>
      <c r="C696" s="265" t="s">
        <v>960</v>
      </c>
      <c r="D696" s="266" t="s">
        <v>1340</v>
      </c>
      <c r="E696" s="267" t="s">
        <v>1328</v>
      </c>
      <c r="F696" s="289"/>
      <c r="G696" s="269">
        <v>80000.0</v>
      </c>
      <c r="H696" s="270">
        <v>0.0</v>
      </c>
      <c r="I696" s="269">
        <v>80000.0</v>
      </c>
      <c r="J696" s="271">
        <v>80000.0</v>
      </c>
      <c r="K696" s="272">
        <f t="shared" si="2"/>
        <v>0</v>
      </c>
      <c r="L696" s="290"/>
      <c r="M696" s="290"/>
      <c r="N696" s="290"/>
    </row>
    <row r="697" ht="26.25" customHeight="1">
      <c r="A697" s="290"/>
      <c r="B697" s="264">
        <v>45798.0</v>
      </c>
      <c r="C697" s="265" t="s">
        <v>1057</v>
      </c>
      <c r="D697" s="266" t="s">
        <v>31</v>
      </c>
      <c r="E697" s="267" t="s">
        <v>1594</v>
      </c>
      <c r="F697" s="289"/>
      <c r="G697" s="269">
        <v>60000.0</v>
      </c>
      <c r="H697" s="270">
        <v>0.0</v>
      </c>
      <c r="I697" s="269">
        <v>60000.0</v>
      </c>
      <c r="J697" s="271">
        <v>60000.0</v>
      </c>
      <c r="K697" s="272">
        <f t="shared" si="2"/>
        <v>0</v>
      </c>
      <c r="L697" s="290"/>
      <c r="M697" s="290"/>
      <c r="N697" s="290"/>
    </row>
    <row r="698" ht="26.25" customHeight="1">
      <c r="A698" s="290"/>
      <c r="B698" s="264">
        <v>45798.0</v>
      </c>
      <c r="C698" s="265" t="s">
        <v>1057</v>
      </c>
      <c r="D698" s="266" t="s">
        <v>31</v>
      </c>
      <c r="E698" s="267" t="s">
        <v>1854</v>
      </c>
      <c r="F698" s="289"/>
      <c r="G698" s="269">
        <v>50000.0</v>
      </c>
      <c r="H698" s="270">
        <v>0.0</v>
      </c>
      <c r="I698" s="269">
        <v>50000.0</v>
      </c>
      <c r="J698" s="271">
        <v>50000.0</v>
      </c>
      <c r="K698" s="272">
        <f t="shared" si="2"/>
        <v>0</v>
      </c>
      <c r="L698" s="290"/>
      <c r="M698" s="290"/>
      <c r="N698" s="290"/>
    </row>
    <row r="699" ht="26.25" customHeight="1">
      <c r="A699" s="290"/>
      <c r="B699" s="264">
        <v>45798.0</v>
      </c>
      <c r="C699" s="265" t="s">
        <v>1057</v>
      </c>
      <c r="D699" s="266" t="s">
        <v>704</v>
      </c>
      <c r="E699" s="267" t="s">
        <v>1855</v>
      </c>
      <c r="F699" s="289"/>
      <c r="G699" s="269">
        <v>20000.0</v>
      </c>
      <c r="H699" s="270">
        <v>0.0</v>
      </c>
      <c r="I699" s="269">
        <v>20000.0</v>
      </c>
      <c r="J699" s="271">
        <v>20000.0</v>
      </c>
      <c r="K699" s="272">
        <f t="shared" si="2"/>
        <v>0</v>
      </c>
      <c r="L699" s="290"/>
      <c r="M699" s="290"/>
      <c r="N699" s="290"/>
    </row>
    <row r="700" ht="26.25" customHeight="1">
      <c r="A700" s="290"/>
      <c r="B700" s="264">
        <v>45798.0</v>
      </c>
      <c r="C700" s="265" t="s">
        <v>974</v>
      </c>
      <c r="D700" s="282"/>
      <c r="E700" s="267" t="s">
        <v>1856</v>
      </c>
      <c r="F700" s="289"/>
      <c r="G700" s="269">
        <v>10000.0</v>
      </c>
      <c r="H700" s="270">
        <v>0.0</v>
      </c>
      <c r="I700" s="269">
        <v>10000.0</v>
      </c>
      <c r="J700" s="271">
        <v>10000.0</v>
      </c>
      <c r="K700" s="272">
        <f t="shared" si="2"/>
        <v>0</v>
      </c>
      <c r="L700" s="290"/>
      <c r="M700" s="290"/>
      <c r="N700" s="290"/>
    </row>
    <row r="701" ht="26.25" customHeight="1">
      <c r="A701" s="288" t="s">
        <v>1857</v>
      </c>
      <c r="B701" s="264">
        <v>45799.0</v>
      </c>
      <c r="C701" s="265" t="s">
        <v>965</v>
      </c>
      <c r="D701" s="266" t="s">
        <v>980</v>
      </c>
      <c r="E701" s="267" t="s">
        <v>980</v>
      </c>
      <c r="F701" s="289"/>
      <c r="G701" s="269">
        <v>647000.0</v>
      </c>
      <c r="H701" s="270">
        <v>0.0</v>
      </c>
      <c r="I701" s="269">
        <v>647000.0</v>
      </c>
      <c r="J701" s="271">
        <v>647000.0</v>
      </c>
      <c r="K701" s="272">
        <f t="shared" si="2"/>
        <v>0</v>
      </c>
      <c r="L701" s="290"/>
      <c r="M701" s="290"/>
      <c r="N701" s="290"/>
    </row>
    <row r="702" ht="26.25" customHeight="1">
      <c r="A702" s="288" t="s">
        <v>1858</v>
      </c>
      <c r="B702" s="264">
        <v>45799.0</v>
      </c>
      <c r="C702" s="265" t="s">
        <v>972</v>
      </c>
      <c r="D702" s="266" t="s">
        <v>1266</v>
      </c>
      <c r="E702" s="267" t="s">
        <v>1859</v>
      </c>
      <c r="F702" s="289"/>
      <c r="G702" s="269">
        <v>312000.0</v>
      </c>
      <c r="H702" s="270">
        <v>0.0</v>
      </c>
      <c r="I702" s="269">
        <v>312000.0</v>
      </c>
      <c r="J702" s="271">
        <v>312000.0</v>
      </c>
      <c r="K702" s="272">
        <f t="shared" si="2"/>
        <v>0</v>
      </c>
      <c r="L702" s="290"/>
      <c r="M702" s="290"/>
      <c r="N702" s="290"/>
    </row>
    <row r="703" ht="26.25" customHeight="1">
      <c r="A703" s="288" t="s">
        <v>1860</v>
      </c>
      <c r="B703" s="264">
        <v>45799.0</v>
      </c>
      <c r="C703" s="265" t="s">
        <v>1035</v>
      </c>
      <c r="D703" s="266" t="s">
        <v>1816</v>
      </c>
      <c r="E703" s="267" t="s">
        <v>1599</v>
      </c>
      <c r="F703" s="289"/>
      <c r="G703" s="269">
        <v>150000.0</v>
      </c>
      <c r="H703" s="270">
        <v>0.0</v>
      </c>
      <c r="I703" s="269">
        <v>150000.0</v>
      </c>
      <c r="J703" s="271">
        <v>150000.0</v>
      </c>
      <c r="K703" s="272">
        <f t="shared" si="2"/>
        <v>0</v>
      </c>
      <c r="L703" s="290"/>
      <c r="M703" s="290"/>
      <c r="N703" s="290"/>
    </row>
    <row r="704" ht="26.25" customHeight="1">
      <c r="A704" s="281" t="s">
        <v>1861</v>
      </c>
      <c r="B704" s="264">
        <v>45799.0</v>
      </c>
      <c r="C704" s="275" t="s">
        <v>974</v>
      </c>
      <c r="D704" s="266" t="s">
        <v>980</v>
      </c>
      <c r="E704" s="267" t="s">
        <v>980</v>
      </c>
      <c r="F704" s="268"/>
      <c r="G704" s="269">
        <v>95000.0</v>
      </c>
      <c r="H704" s="270">
        <v>0.0</v>
      </c>
      <c r="I704" s="269">
        <v>95000.0</v>
      </c>
      <c r="J704" s="271">
        <v>95000.0</v>
      </c>
      <c r="K704" s="272">
        <f t="shared" si="2"/>
        <v>0</v>
      </c>
      <c r="L704" s="273"/>
      <c r="M704" s="273"/>
      <c r="N704" s="273"/>
    </row>
    <row r="705" ht="26.25" customHeight="1">
      <c r="A705" s="273"/>
      <c r="B705" s="264">
        <v>45799.0</v>
      </c>
      <c r="C705" s="275" t="s">
        <v>974</v>
      </c>
      <c r="D705" s="266" t="s">
        <v>1029</v>
      </c>
      <c r="E705" s="267" t="s">
        <v>1862</v>
      </c>
      <c r="F705" s="268"/>
      <c r="G705" s="269">
        <v>10000.0</v>
      </c>
      <c r="H705" s="270">
        <v>0.0</v>
      </c>
      <c r="I705" s="269">
        <v>10000.0</v>
      </c>
      <c r="J705" s="271">
        <v>10000.0</v>
      </c>
      <c r="K705" s="272">
        <f t="shared" si="2"/>
        <v>0</v>
      </c>
      <c r="L705" s="273"/>
      <c r="M705" s="273"/>
      <c r="N705" s="273"/>
    </row>
    <row r="706" ht="26.25" customHeight="1">
      <c r="A706" s="274"/>
      <c r="B706" s="264">
        <v>45799.0</v>
      </c>
      <c r="C706" s="265" t="s">
        <v>974</v>
      </c>
      <c r="D706" s="266" t="s">
        <v>1863</v>
      </c>
      <c r="E706" s="267" t="s">
        <v>1864</v>
      </c>
      <c r="F706" s="268"/>
      <c r="G706" s="269">
        <v>10000.0</v>
      </c>
      <c r="H706" s="270">
        <v>0.0</v>
      </c>
      <c r="I706" s="269">
        <v>10000.0</v>
      </c>
      <c r="J706" s="271">
        <v>10000.0</v>
      </c>
      <c r="K706" s="272">
        <f t="shared" si="2"/>
        <v>0</v>
      </c>
      <c r="L706" s="273"/>
      <c r="M706" s="273"/>
      <c r="N706" s="273"/>
    </row>
    <row r="707" ht="26.25" customHeight="1">
      <c r="A707" s="290"/>
      <c r="B707" s="264">
        <v>45799.0</v>
      </c>
      <c r="C707" s="265" t="s">
        <v>974</v>
      </c>
      <c r="D707" s="266" t="s">
        <v>1863</v>
      </c>
      <c r="E707" s="267" t="s">
        <v>1864</v>
      </c>
      <c r="F707" s="289"/>
      <c r="G707" s="269">
        <v>5000.0</v>
      </c>
      <c r="H707" s="270">
        <v>0.0</v>
      </c>
      <c r="I707" s="269">
        <v>5000.0</v>
      </c>
      <c r="J707" s="271">
        <v>5000.0</v>
      </c>
      <c r="K707" s="272">
        <f t="shared" si="2"/>
        <v>0</v>
      </c>
      <c r="L707" s="290"/>
      <c r="M707" s="290"/>
      <c r="N707" s="290"/>
    </row>
    <row r="708" ht="26.25" customHeight="1">
      <c r="A708" s="281" t="s">
        <v>1865</v>
      </c>
      <c r="B708" s="264">
        <v>45801.0</v>
      </c>
      <c r="C708" s="275" t="s">
        <v>965</v>
      </c>
      <c r="D708" s="266" t="s">
        <v>980</v>
      </c>
      <c r="E708" s="267" t="s">
        <v>980</v>
      </c>
      <c r="F708" s="268"/>
      <c r="G708" s="269">
        <v>65000.0</v>
      </c>
      <c r="H708" s="270">
        <v>0.0</v>
      </c>
      <c r="I708" s="269">
        <v>65000.0</v>
      </c>
      <c r="J708" s="271">
        <v>65000.0</v>
      </c>
      <c r="K708" s="272">
        <f t="shared" si="2"/>
        <v>0</v>
      </c>
      <c r="L708" s="273"/>
      <c r="M708" s="273"/>
      <c r="N708" s="273"/>
    </row>
    <row r="709" ht="26.25" customHeight="1">
      <c r="A709" s="273"/>
      <c r="B709" s="264">
        <v>45801.0</v>
      </c>
      <c r="C709" s="275" t="s">
        <v>1057</v>
      </c>
      <c r="D709" s="266" t="s">
        <v>824</v>
      </c>
      <c r="E709" s="267" t="s">
        <v>1812</v>
      </c>
      <c r="F709" s="268"/>
      <c r="G709" s="269">
        <v>50000.0</v>
      </c>
      <c r="H709" s="270">
        <v>0.0</v>
      </c>
      <c r="I709" s="269">
        <v>50000.0</v>
      </c>
      <c r="J709" s="271">
        <v>50000.0</v>
      </c>
      <c r="K709" s="272">
        <f t="shared" si="2"/>
        <v>0</v>
      </c>
      <c r="L709" s="273"/>
      <c r="M709" s="273"/>
      <c r="N709" s="273"/>
    </row>
    <row r="710" ht="26.25" customHeight="1">
      <c r="A710" s="290"/>
      <c r="B710" s="264">
        <v>45801.0</v>
      </c>
      <c r="C710" s="265" t="s">
        <v>1057</v>
      </c>
      <c r="D710" s="266" t="s">
        <v>31</v>
      </c>
      <c r="E710" s="267" t="s">
        <v>1791</v>
      </c>
      <c r="F710" s="289"/>
      <c r="G710" s="269">
        <v>47000.0</v>
      </c>
      <c r="H710" s="270">
        <v>0.0</v>
      </c>
      <c r="I710" s="269">
        <v>47000.0</v>
      </c>
      <c r="J710" s="271">
        <v>47000.0</v>
      </c>
      <c r="K710" s="272">
        <f t="shared" si="2"/>
        <v>0</v>
      </c>
      <c r="L710" s="290"/>
      <c r="M710" s="290"/>
      <c r="N710" s="290"/>
    </row>
    <row r="711" ht="26.25" customHeight="1">
      <c r="A711" s="274"/>
      <c r="B711" s="264">
        <v>45801.0</v>
      </c>
      <c r="C711" s="265" t="s">
        <v>974</v>
      </c>
      <c r="D711" s="266" t="s">
        <v>237</v>
      </c>
      <c r="E711" s="267" t="s">
        <v>1866</v>
      </c>
      <c r="F711" s="289"/>
      <c r="G711" s="269">
        <v>10000.0</v>
      </c>
      <c r="H711" s="270">
        <v>0.0</v>
      </c>
      <c r="I711" s="269">
        <v>10000.0</v>
      </c>
      <c r="J711" s="271">
        <v>10000.0</v>
      </c>
      <c r="K711" s="272">
        <f t="shared" si="2"/>
        <v>0</v>
      </c>
      <c r="L711" s="290"/>
      <c r="M711" s="290"/>
      <c r="N711" s="290"/>
    </row>
    <row r="712" ht="26.25" customHeight="1">
      <c r="A712" s="274"/>
      <c r="B712" s="264">
        <v>45801.0</v>
      </c>
      <c r="C712" s="265" t="s">
        <v>974</v>
      </c>
      <c r="D712" s="266" t="s">
        <v>824</v>
      </c>
      <c r="E712" s="267" t="s">
        <v>1563</v>
      </c>
      <c r="F712" s="268"/>
      <c r="G712" s="269">
        <v>10000.0</v>
      </c>
      <c r="H712" s="270">
        <v>0.0</v>
      </c>
      <c r="I712" s="269">
        <v>10000.0</v>
      </c>
      <c r="J712" s="271">
        <v>10000.0</v>
      </c>
      <c r="K712" s="272">
        <f t="shared" si="2"/>
        <v>0</v>
      </c>
      <c r="L712" s="273"/>
      <c r="M712" s="273"/>
      <c r="N712" s="273"/>
    </row>
    <row r="713" ht="26.25" customHeight="1">
      <c r="A713" s="290"/>
      <c r="B713" s="264">
        <v>45801.0</v>
      </c>
      <c r="C713" s="265" t="s">
        <v>968</v>
      </c>
      <c r="D713" s="266" t="s">
        <v>31</v>
      </c>
      <c r="E713" s="267" t="s">
        <v>1732</v>
      </c>
      <c r="F713" s="289"/>
      <c r="G713" s="269">
        <v>6000.0</v>
      </c>
      <c r="H713" s="270">
        <v>0.0</v>
      </c>
      <c r="I713" s="269">
        <v>6000.0</v>
      </c>
      <c r="J713" s="271">
        <v>6000.0</v>
      </c>
      <c r="K713" s="272">
        <f t="shared" si="2"/>
        <v>0</v>
      </c>
      <c r="L713" s="290"/>
      <c r="M713" s="290"/>
      <c r="N713" s="290"/>
    </row>
    <row r="714" ht="26.25" customHeight="1">
      <c r="A714" s="290"/>
      <c r="B714" s="264">
        <v>45801.0</v>
      </c>
      <c r="C714" s="265" t="s">
        <v>974</v>
      </c>
      <c r="D714" s="266" t="s">
        <v>1863</v>
      </c>
      <c r="E714" s="267" t="s">
        <v>1356</v>
      </c>
      <c r="F714" s="289"/>
      <c r="G714" s="269">
        <v>5000.0</v>
      </c>
      <c r="H714" s="270">
        <v>0.0</v>
      </c>
      <c r="I714" s="269">
        <v>5000.0</v>
      </c>
      <c r="J714" s="271">
        <v>5000.0</v>
      </c>
      <c r="K714" s="272">
        <f t="shared" si="2"/>
        <v>0</v>
      </c>
      <c r="L714" s="290"/>
      <c r="M714" s="290"/>
      <c r="N714" s="290"/>
    </row>
    <row r="715" ht="26.25" customHeight="1">
      <c r="A715" s="290"/>
      <c r="B715" s="264">
        <v>45801.0</v>
      </c>
      <c r="C715" s="265" t="s">
        <v>968</v>
      </c>
      <c r="D715" s="266" t="s">
        <v>20</v>
      </c>
      <c r="E715" s="267" t="s">
        <v>1867</v>
      </c>
      <c r="F715" s="289"/>
      <c r="G715" s="269">
        <v>4000.0</v>
      </c>
      <c r="H715" s="270">
        <v>0.0</v>
      </c>
      <c r="I715" s="269">
        <v>4000.0</v>
      </c>
      <c r="J715" s="271">
        <v>4000.0</v>
      </c>
      <c r="K715" s="272">
        <f t="shared" si="2"/>
        <v>0</v>
      </c>
      <c r="L715" s="290"/>
      <c r="M715" s="290"/>
      <c r="N715" s="290"/>
    </row>
    <row r="716" ht="26.25" customHeight="1">
      <c r="A716" s="273"/>
      <c r="B716" s="264">
        <v>45802.0</v>
      </c>
      <c r="C716" s="275" t="s">
        <v>963</v>
      </c>
      <c r="D716" s="266" t="s">
        <v>824</v>
      </c>
      <c r="E716" s="267" t="s">
        <v>1868</v>
      </c>
      <c r="F716" s="268"/>
      <c r="G716" s="269">
        <v>145000.0</v>
      </c>
      <c r="H716" s="270">
        <v>0.0</v>
      </c>
      <c r="I716" s="269">
        <v>145000.0</v>
      </c>
      <c r="J716" s="271">
        <v>145000.0</v>
      </c>
      <c r="K716" s="272">
        <f t="shared" si="2"/>
        <v>0</v>
      </c>
      <c r="L716" s="273"/>
      <c r="M716" s="273"/>
      <c r="N716" s="273"/>
    </row>
    <row r="717" ht="26.25" customHeight="1">
      <c r="A717" s="273"/>
      <c r="B717" s="264">
        <v>45802.0</v>
      </c>
      <c r="C717" s="275" t="s">
        <v>1098</v>
      </c>
      <c r="D717" s="266" t="s">
        <v>31</v>
      </c>
      <c r="E717" s="267" t="s">
        <v>1869</v>
      </c>
      <c r="F717" s="268"/>
      <c r="G717" s="269">
        <v>125000.0</v>
      </c>
      <c r="H717" s="270">
        <v>0.0</v>
      </c>
      <c r="I717" s="269">
        <v>125000.0</v>
      </c>
      <c r="J717" s="271">
        <v>125000.0</v>
      </c>
      <c r="K717" s="272">
        <f t="shared" si="2"/>
        <v>0</v>
      </c>
      <c r="L717" s="273"/>
      <c r="M717" s="273"/>
      <c r="N717" s="273"/>
    </row>
    <row r="718" ht="26.25" customHeight="1">
      <c r="A718" s="273"/>
      <c r="B718" s="264">
        <v>45802.0</v>
      </c>
      <c r="C718" s="275" t="s">
        <v>1035</v>
      </c>
      <c r="D718" s="266" t="s">
        <v>1740</v>
      </c>
      <c r="E718" s="267" t="s">
        <v>1599</v>
      </c>
      <c r="F718" s="268"/>
      <c r="G718" s="269">
        <v>100000.0</v>
      </c>
      <c r="H718" s="270">
        <v>0.0</v>
      </c>
      <c r="I718" s="269">
        <v>100000.0</v>
      </c>
      <c r="J718" s="271">
        <v>100000.0</v>
      </c>
      <c r="K718" s="272">
        <f t="shared" si="2"/>
        <v>0</v>
      </c>
      <c r="L718" s="273"/>
      <c r="M718" s="273"/>
      <c r="N718" s="273"/>
    </row>
    <row r="719" ht="26.25" customHeight="1">
      <c r="A719" s="290"/>
      <c r="B719" s="264">
        <v>45802.0</v>
      </c>
      <c r="C719" s="265" t="s">
        <v>1057</v>
      </c>
      <c r="D719" s="266" t="s">
        <v>45</v>
      </c>
      <c r="E719" s="267" t="s">
        <v>1870</v>
      </c>
      <c r="F719" s="289"/>
      <c r="G719" s="269">
        <v>75000.0</v>
      </c>
      <c r="H719" s="270">
        <v>0.0</v>
      </c>
      <c r="I719" s="269">
        <v>75000.0</v>
      </c>
      <c r="J719" s="271">
        <v>75000.0</v>
      </c>
      <c r="K719" s="272">
        <f t="shared" si="2"/>
        <v>0</v>
      </c>
      <c r="L719" s="290"/>
      <c r="M719" s="290"/>
      <c r="N719" s="290"/>
    </row>
    <row r="720" ht="26.25" customHeight="1">
      <c r="A720" s="290"/>
      <c r="B720" s="264">
        <v>45802.0</v>
      </c>
      <c r="C720" s="265" t="s">
        <v>965</v>
      </c>
      <c r="D720" s="266" t="s">
        <v>45</v>
      </c>
      <c r="E720" s="267" t="s">
        <v>1285</v>
      </c>
      <c r="F720" s="289"/>
      <c r="G720" s="269">
        <v>45000.0</v>
      </c>
      <c r="H720" s="270">
        <v>0.0</v>
      </c>
      <c r="I720" s="269">
        <v>45000.0</v>
      </c>
      <c r="J720" s="271">
        <v>45000.0</v>
      </c>
      <c r="K720" s="272">
        <f t="shared" si="2"/>
        <v>0</v>
      </c>
      <c r="L720" s="290"/>
      <c r="M720" s="290"/>
      <c r="N720" s="290"/>
    </row>
    <row r="721" ht="26.25" customHeight="1">
      <c r="A721" s="274"/>
      <c r="B721" s="264">
        <v>45802.0</v>
      </c>
      <c r="C721" s="265" t="s">
        <v>1035</v>
      </c>
      <c r="D721" s="266" t="s">
        <v>1816</v>
      </c>
      <c r="E721" s="267" t="s">
        <v>1871</v>
      </c>
      <c r="F721" s="289"/>
      <c r="G721" s="269">
        <v>35000.0</v>
      </c>
      <c r="H721" s="270">
        <v>0.0</v>
      </c>
      <c r="I721" s="269">
        <v>35000.0</v>
      </c>
      <c r="J721" s="271">
        <v>35000.0</v>
      </c>
      <c r="K721" s="272">
        <f t="shared" si="2"/>
        <v>0</v>
      </c>
      <c r="L721" s="290"/>
      <c r="M721" s="290"/>
      <c r="N721" s="290"/>
    </row>
    <row r="722" ht="26.25" customHeight="1">
      <c r="A722" s="290"/>
      <c r="B722" s="264">
        <v>45802.0</v>
      </c>
      <c r="C722" s="265" t="s">
        <v>960</v>
      </c>
      <c r="D722" s="266" t="s">
        <v>1872</v>
      </c>
      <c r="E722" s="267" t="s">
        <v>1245</v>
      </c>
      <c r="F722" s="289"/>
      <c r="G722" s="269">
        <v>25000.0</v>
      </c>
      <c r="H722" s="270">
        <v>0.0</v>
      </c>
      <c r="I722" s="269">
        <v>25000.0</v>
      </c>
      <c r="J722" s="271">
        <v>25000.0</v>
      </c>
      <c r="K722" s="272">
        <f t="shared" si="2"/>
        <v>0</v>
      </c>
      <c r="L722" s="290"/>
      <c r="M722" s="290"/>
      <c r="N722" s="290"/>
    </row>
    <row r="723" ht="26.25" customHeight="1">
      <c r="A723" s="274"/>
      <c r="B723" s="264">
        <v>45802.0</v>
      </c>
      <c r="C723" s="265" t="s">
        <v>1057</v>
      </c>
      <c r="D723" s="266" t="s">
        <v>1340</v>
      </c>
      <c r="E723" s="267" t="s">
        <v>1812</v>
      </c>
      <c r="F723" s="289"/>
      <c r="G723" s="269">
        <v>12000.0</v>
      </c>
      <c r="H723" s="270">
        <v>0.0</v>
      </c>
      <c r="I723" s="269">
        <v>12000.0</v>
      </c>
      <c r="J723" s="271">
        <v>12000.0</v>
      </c>
      <c r="K723" s="272">
        <f t="shared" si="2"/>
        <v>0</v>
      </c>
      <c r="L723" s="290"/>
      <c r="M723" s="290"/>
      <c r="N723" s="290"/>
    </row>
    <row r="724" ht="26.25" customHeight="1">
      <c r="A724" s="274"/>
      <c r="B724" s="264">
        <v>45802.0</v>
      </c>
      <c r="C724" s="265" t="s">
        <v>968</v>
      </c>
      <c r="D724" s="266" t="s">
        <v>1872</v>
      </c>
      <c r="E724" s="267" t="s">
        <v>1873</v>
      </c>
      <c r="F724" s="289"/>
      <c r="G724" s="269">
        <v>10000.0</v>
      </c>
      <c r="H724" s="270">
        <v>0.0</v>
      </c>
      <c r="I724" s="269">
        <v>10000.0</v>
      </c>
      <c r="J724" s="271">
        <v>10000.0</v>
      </c>
      <c r="K724" s="272">
        <f t="shared" si="2"/>
        <v>0</v>
      </c>
      <c r="L724" s="290"/>
      <c r="M724" s="290"/>
      <c r="N724" s="290"/>
    </row>
    <row r="725" ht="26.25" customHeight="1">
      <c r="A725" s="298"/>
      <c r="B725" s="264">
        <v>45803.0</v>
      </c>
      <c r="C725" s="265" t="s">
        <v>1431</v>
      </c>
      <c r="D725" s="266" t="s">
        <v>45</v>
      </c>
      <c r="E725" s="267" t="s">
        <v>1874</v>
      </c>
      <c r="F725" s="289"/>
      <c r="G725" s="269">
        <v>300000.0</v>
      </c>
      <c r="H725" s="270">
        <v>0.0</v>
      </c>
      <c r="I725" s="269">
        <v>300000.0</v>
      </c>
      <c r="J725" s="271">
        <v>300000.0</v>
      </c>
      <c r="K725" s="272">
        <f t="shared" si="2"/>
        <v>0</v>
      </c>
      <c r="L725" s="290"/>
      <c r="M725" s="290"/>
      <c r="N725" s="290"/>
    </row>
    <row r="726" ht="26.25" customHeight="1">
      <c r="A726" s="274"/>
      <c r="B726" s="264">
        <v>45803.0</v>
      </c>
      <c r="C726" s="265" t="s">
        <v>1057</v>
      </c>
      <c r="D726" s="266" t="s">
        <v>31</v>
      </c>
      <c r="E726" s="267" t="s">
        <v>1875</v>
      </c>
      <c r="F726" s="289"/>
      <c r="G726" s="269">
        <v>200000.0</v>
      </c>
      <c r="H726" s="270">
        <v>0.0</v>
      </c>
      <c r="I726" s="269">
        <v>200000.0</v>
      </c>
      <c r="J726" s="271">
        <v>200000.0</v>
      </c>
      <c r="K726" s="272">
        <f t="shared" si="2"/>
        <v>0</v>
      </c>
      <c r="L726" s="290"/>
      <c r="M726" s="290"/>
      <c r="N726" s="290"/>
    </row>
    <row r="727" ht="26.25" customHeight="1">
      <c r="A727" s="273"/>
      <c r="B727" s="302">
        <v>45803.0</v>
      </c>
      <c r="C727" s="275" t="s">
        <v>974</v>
      </c>
      <c r="D727" s="266" t="s">
        <v>1029</v>
      </c>
      <c r="E727" s="267" t="s">
        <v>1876</v>
      </c>
      <c r="F727" s="268"/>
      <c r="G727" s="269">
        <v>25000.0</v>
      </c>
      <c r="H727" s="270">
        <v>0.0</v>
      </c>
      <c r="I727" s="269">
        <v>25000.0</v>
      </c>
      <c r="J727" s="271">
        <v>25000.0</v>
      </c>
      <c r="K727" s="272">
        <f t="shared" si="2"/>
        <v>0</v>
      </c>
      <c r="L727" s="273"/>
      <c r="M727" s="273"/>
      <c r="N727" s="273"/>
    </row>
    <row r="728" ht="26.25" customHeight="1">
      <c r="A728" s="273"/>
      <c r="B728" s="264">
        <v>45803.0</v>
      </c>
      <c r="C728" s="275" t="s">
        <v>1035</v>
      </c>
      <c r="D728" s="266" t="s">
        <v>1528</v>
      </c>
      <c r="E728" s="267" t="s">
        <v>1229</v>
      </c>
      <c r="F728" s="268"/>
      <c r="G728" s="269">
        <v>10000.0</v>
      </c>
      <c r="H728" s="270">
        <v>0.0</v>
      </c>
      <c r="I728" s="269">
        <v>10000.0</v>
      </c>
      <c r="J728" s="271">
        <v>10000.0</v>
      </c>
      <c r="K728" s="272">
        <f t="shared" si="2"/>
        <v>0</v>
      </c>
      <c r="L728" s="273"/>
      <c r="M728" s="273"/>
      <c r="N728" s="273"/>
    </row>
    <row r="729" ht="26.25" customHeight="1">
      <c r="A729" s="273"/>
      <c r="B729" s="264">
        <v>45803.0</v>
      </c>
      <c r="C729" s="275" t="s">
        <v>974</v>
      </c>
      <c r="D729" s="266" t="s">
        <v>824</v>
      </c>
      <c r="E729" s="267" t="s">
        <v>1877</v>
      </c>
      <c r="F729" s="268"/>
      <c r="G729" s="269">
        <v>10000.0</v>
      </c>
      <c r="H729" s="270">
        <v>0.0</v>
      </c>
      <c r="I729" s="269">
        <v>10000.0</v>
      </c>
      <c r="J729" s="271">
        <v>10000.0</v>
      </c>
      <c r="K729" s="272">
        <f t="shared" si="2"/>
        <v>0</v>
      </c>
      <c r="L729" s="273"/>
      <c r="M729" s="273"/>
      <c r="N729" s="273"/>
    </row>
    <row r="730" ht="26.25" customHeight="1">
      <c r="A730" s="273"/>
      <c r="B730" s="264">
        <v>45803.0</v>
      </c>
      <c r="C730" s="265" t="s">
        <v>968</v>
      </c>
      <c r="D730" s="266" t="s">
        <v>31</v>
      </c>
      <c r="E730" s="267" t="s">
        <v>1878</v>
      </c>
      <c r="F730" s="268"/>
      <c r="G730" s="269">
        <v>5000.0</v>
      </c>
      <c r="H730" s="270">
        <v>0.0</v>
      </c>
      <c r="I730" s="269">
        <v>5000.0</v>
      </c>
      <c r="J730" s="271">
        <v>5000.0</v>
      </c>
      <c r="K730" s="272">
        <f t="shared" si="2"/>
        <v>0</v>
      </c>
      <c r="L730" s="273"/>
      <c r="M730" s="273"/>
      <c r="N730" s="273"/>
    </row>
    <row r="731" ht="26.25" customHeight="1">
      <c r="A731" s="274"/>
      <c r="B731" s="264">
        <v>45804.0</v>
      </c>
      <c r="C731" s="265" t="s">
        <v>1088</v>
      </c>
      <c r="D731" s="266" t="s">
        <v>31</v>
      </c>
      <c r="E731" s="267" t="s">
        <v>1879</v>
      </c>
      <c r="F731" s="289"/>
      <c r="G731" s="269">
        <v>875000.0</v>
      </c>
      <c r="H731" s="270">
        <v>0.0</v>
      </c>
      <c r="I731" s="269">
        <v>875000.0</v>
      </c>
      <c r="J731" s="271">
        <v>875000.0</v>
      </c>
      <c r="K731" s="272">
        <f t="shared" si="2"/>
        <v>0</v>
      </c>
      <c r="L731" s="290"/>
      <c r="M731" s="290"/>
      <c r="N731" s="290"/>
    </row>
    <row r="732" ht="26.25" customHeight="1">
      <c r="A732" s="277" t="s">
        <v>1880</v>
      </c>
      <c r="B732" s="264">
        <v>45804.0</v>
      </c>
      <c r="C732" s="265" t="s">
        <v>974</v>
      </c>
      <c r="D732" s="266" t="s">
        <v>1029</v>
      </c>
      <c r="E732" s="267" t="s">
        <v>1091</v>
      </c>
      <c r="F732" s="289"/>
      <c r="G732" s="269">
        <v>55000.0</v>
      </c>
      <c r="H732" s="270">
        <v>0.0</v>
      </c>
      <c r="I732" s="269">
        <v>55000.0</v>
      </c>
      <c r="J732" s="271">
        <v>55000.0</v>
      </c>
      <c r="K732" s="272">
        <f t="shared" si="2"/>
        <v>0</v>
      </c>
      <c r="L732" s="290"/>
      <c r="M732" s="290"/>
      <c r="N732" s="290"/>
    </row>
    <row r="733" ht="26.25" customHeight="1">
      <c r="A733" s="290"/>
      <c r="B733" s="264">
        <v>45804.0</v>
      </c>
      <c r="C733" s="265" t="s">
        <v>965</v>
      </c>
      <c r="D733" s="266" t="s">
        <v>45</v>
      </c>
      <c r="E733" s="267" t="s">
        <v>1881</v>
      </c>
      <c r="F733" s="289"/>
      <c r="G733" s="269">
        <v>50000.0</v>
      </c>
      <c r="H733" s="270">
        <v>0.0</v>
      </c>
      <c r="I733" s="269">
        <v>50000.0</v>
      </c>
      <c r="J733" s="271">
        <v>50000.0</v>
      </c>
      <c r="K733" s="272">
        <f t="shared" si="2"/>
        <v>0</v>
      </c>
      <c r="L733" s="290"/>
      <c r="M733" s="290"/>
      <c r="N733" s="290"/>
    </row>
    <row r="734" ht="26.25" customHeight="1">
      <c r="A734" s="288" t="s">
        <v>1882</v>
      </c>
      <c r="B734" s="264">
        <v>45805.0</v>
      </c>
      <c r="C734" s="265" t="s">
        <v>965</v>
      </c>
      <c r="D734" s="266" t="s">
        <v>980</v>
      </c>
      <c r="E734" s="267" t="s">
        <v>980</v>
      </c>
      <c r="F734" s="289"/>
      <c r="G734" s="269">
        <v>480000.0</v>
      </c>
      <c r="H734" s="270">
        <v>0.0</v>
      </c>
      <c r="I734" s="269">
        <v>480000.0</v>
      </c>
      <c r="J734" s="271">
        <v>480000.0</v>
      </c>
      <c r="K734" s="272">
        <f t="shared" si="2"/>
        <v>0</v>
      </c>
      <c r="L734" s="290"/>
      <c r="M734" s="290"/>
      <c r="N734" s="290"/>
    </row>
    <row r="735" ht="26.25" customHeight="1">
      <c r="A735" s="273"/>
      <c r="B735" s="264">
        <v>45805.0</v>
      </c>
      <c r="C735" s="275" t="s">
        <v>965</v>
      </c>
      <c r="D735" s="266" t="s">
        <v>1029</v>
      </c>
      <c r="E735" s="267" t="s">
        <v>1883</v>
      </c>
      <c r="F735" s="268"/>
      <c r="G735" s="269">
        <v>370000.0</v>
      </c>
      <c r="H735" s="270">
        <v>0.0</v>
      </c>
      <c r="I735" s="269">
        <v>370000.0</v>
      </c>
      <c r="J735" s="271">
        <v>370000.0</v>
      </c>
      <c r="K735" s="272">
        <f t="shared" si="2"/>
        <v>0</v>
      </c>
      <c r="L735" s="273"/>
      <c r="M735" s="273"/>
      <c r="N735" s="273"/>
    </row>
    <row r="736" ht="26.25" customHeight="1">
      <c r="A736" s="290"/>
      <c r="B736" s="264">
        <v>45805.0</v>
      </c>
      <c r="C736" s="265" t="s">
        <v>1057</v>
      </c>
      <c r="D736" s="266" t="s">
        <v>31</v>
      </c>
      <c r="E736" s="267" t="s">
        <v>1884</v>
      </c>
      <c r="F736" s="289"/>
      <c r="G736" s="269">
        <v>55000.0</v>
      </c>
      <c r="H736" s="270">
        <v>0.0</v>
      </c>
      <c r="I736" s="269">
        <v>55000.0</v>
      </c>
      <c r="J736" s="271">
        <v>55000.0</v>
      </c>
      <c r="K736" s="272">
        <f t="shared" si="2"/>
        <v>0</v>
      </c>
      <c r="L736" s="290"/>
      <c r="M736" s="290"/>
      <c r="N736" s="290"/>
    </row>
    <row r="737" ht="26.25" customHeight="1">
      <c r="A737" s="290"/>
      <c r="B737" s="264">
        <v>45805.0</v>
      </c>
      <c r="C737" s="265" t="s">
        <v>960</v>
      </c>
      <c r="D737" s="266" t="s">
        <v>1872</v>
      </c>
      <c r="E737" s="267" t="s">
        <v>1885</v>
      </c>
      <c r="F737" s="289"/>
      <c r="G737" s="269">
        <v>25000.0</v>
      </c>
      <c r="H737" s="270">
        <v>0.0</v>
      </c>
      <c r="I737" s="269">
        <v>25000.0</v>
      </c>
      <c r="J737" s="271">
        <v>25000.0</v>
      </c>
      <c r="K737" s="272">
        <f t="shared" si="2"/>
        <v>0</v>
      </c>
      <c r="L737" s="290"/>
      <c r="M737" s="290"/>
      <c r="N737" s="290"/>
    </row>
    <row r="738" ht="26.25" customHeight="1">
      <c r="A738" s="274"/>
      <c r="B738" s="264">
        <v>45805.0</v>
      </c>
      <c r="C738" s="265" t="s">
        <v>974</v>
      </c>
      <c r="D738" s="266" t="s">
        <v>1029</v>
      </c>
      <c r="E738" s="267" t="s">
        <v>1886</v>
      </c>
      <c r="F738" s="268"/>
      <c r="G738" s="269">
        <v>25000.0</v>
      </c>
      <c r="H738" s="270">
        <v>0.0</v>
      </c>
      <c r="I738" s="269">
        <v>25000.0</v>
      </c>
      <c r="J738" s="271">
        <v>25000.0</v>
      </c>
      <c r="K738" s="272">
        <f t="shared" si="2"/>
        <v>0</v>
      </c>
      <c r="L738" s="273"/>
      <c r="M738" s="273"/>
      <c r="N738" s="273"/>
    </row>
    <row r="739" ht="26.25" customHeight="1">
      <c r="A739" s="274"/>
      <c r="B739" s="264">
        <v>45805.0</v>
      </c>
      <c r="C739" s="265" t="s">
        <v>974</v>
      </c>
      <c r="D739" s="266" t="s">
        <v>45</v>
      </c>
      <c r="E739" s="267" t="s">
        <v>1887</v>
      </c>
      <c r="F739" s="289"/>
      <c r="G739" s="269">
        <v>25000.0</v>
      </c>
      <c r="H739" s="270">
        <v>0.0</v>
      </c>
      <c r="I739" s="269">
        <v>25000.0</v>
      </c>
      <c r="J739" s="271">
        <v>25000.0</v>
      </c>
      <c r="K739" s="272">
        <f t="shared" si="2"/>
        <v>0</v>
      </c>
      <c r="L739" s="290"/>
      <c r="M739" s="290"/>
      <c r="N739" s="290"/>
    </row>
    <row r="740" ht="26.25" customHeight="1">
      <c r="A740" s="290"/>
      <c r="B740" s="264">
        <v>45805.0</v>
      </c>
      <c r="C740" s="265" t="s">
        <v>1057</v>
      </c>
      <c r="D740" s="266" t="s">
        <v>31</v>
      </c>
      <c r="E740" s="267" t="s">
        <v>1888</v>
      </c>
      <c r="F740" s="289"/>
      <c r="G740" s="269">
        <v>15000.0</v>
      </c>
      <c r="H740" s="270">
        <v>0.0</v>
      </c>
      <c r="I740" s="269">
        <v>15000.0</v>
      </c>
      <c r="J740" s="271">
        <v>15000.0</v>
      </c>
      <c r="K740" s="272">
        <f t="shared" si="2"/>
        <v>0</v>
      </c>
      <c r="L740" s="290"/>
      <c r="M740" s="290"/>
      <c r="N740" s="290"/>
    </row>
    <row r="741" ht="26.25" customHeight="1">
      <c r="A741" s="274"/>
      <c r="B741" s="264">
        <v>45805.0</v>
      </c>
      <c r="C741" s="265" t="s">
        <v>960</v>
      </c>
      <c r="D741" s="266" t="s">
        <v>20</v>
      </c>
      <c r="E741" s="267" t="s">
        <v>1889</v>
      </c>
      <c r="F741" s="289"/>
      <c r="G741" s="269">
        <v>10000.0</v>
      </c>
      <c r="H741" s="270">
        <v>0.0</v>
      </c>
      <c r="I741" s="269">
        <v>10000.0</v>
      </c>
      <c r="J741" s="271">
        <v>10000.0</v>
      </c>
      <c r="K741" s="272">
        <f t="shared" si="2"/>
        <v>0</v>
      </c>
      <c r="L741" s="290"/>
      <c r="M741" s="290"/>
      <c r="N741" s="290"/>
    </row>
    <row r="742" ht="26.25" customHeight="1">
      <c r="A742" s="290"/>
      <c r="B742" s="264">
        <v>45805.0</v>
      </c>
      <c r="C742" s="265" t="s">
        <v>974</v>
      </c>
      <c r="D742" s="266" t="s">
        <v>824</v>
      </c>
      <c r="E742" s="267" t="s">
        <v>1690</v>
      </c>
      <c r="F742" s="289"/>
      <c r="G742" s="269">
        <v>10000.0</v>
      </c>
      <c r="H742" s="270">
        <v>0.0</v>
      </c>
      <c r="I742" s="269">
        <v>10000.0</v>
      </c>
      <c r="J742" s="271">
        <v>10000.0</v>
      </c>
      <c r="K742" s="272">
        <f t="shared" si="2"/>
        <v>0</v>
      </c>
      <c r="L742" s="290"/>
      <c r="M742" s="290"/>
      <c r="N742" s="290"/>
    </row>
    <row r="743" ht="26.25" customHeight="1">
      <c r="A743" s="274"/>
      <c r="B743" s="264">
        <v>45805.0</v>
      </c>
      <c r="C743" s="265" t="s">
        <v>974</v>
      </c>
      <c r="D743" s="266" t="s">
        <v>824</v>
      </c>
      <c r="E743" s="267" t="s">
        <v>1890</v>
      </c>
      <c r="F743" s="289"/>
      <c r="G743" s="269">
        <v>10000.0</v>
      </c>
      <c r="H743" s="270">
        <v>0.0</v>
      </c>
      <c r="I743" s="269">
        <v>10000.0</v>
      </c>
      <c r="J743" s="271">
        <v>10000.0</v>
      </c>
      <c r="K743" s="272">
        <f t="shared" si="2"/>
        <v>0</v>
      </c>
      <c r="L743" s="290"/>
      <c r="M743" s="290"/>
      <c r="N743" s="290"/>
    </row>
    <row r="744" ht="26.25" customHeight="1">
      <c r="A744" s="290"/>
      <c r="B744" s="264">
        <v>45805.0</v>
      </c>
      <c r="C744" s="265" t="s">
        <v>960</v>
      </c>
      <c r="D744" s="266" t="s">
        <v>1872</v>
      </c>
      <c r="E744" s="267" t="s">
        <v>1891</v>
      </c>
      <c r="F744" s="289"/>
      <c r="G744" s="269">
        <v>5000.0</v>
      </c>
      <c r="H744" s="270">
        <v>0.0</v>
      </c>
      <c r="I744" s="269">
        <v>5000.0</v>
      </c>
      <c r="J744" s="271">
        <v>5000.0</v>
      </c>
      <c r="K744" s="272">
        <f t="shared" si="2"/>
        <v>0</v>
      </c>
      <c r="L744" s="290"/>
      <c r="M744" s="290"/>
      <c r="N744" s="290"/>
    </row>
    <row r="745" ht="26.25" customHeight="1">
      <c r="A745" s="288" t="s">
        <v>1892</v>
      </c>
      <c r="B745" s="264">
        <v>45806.0</v>
      </c>
      <c r="C745" s="265" t="s">
        <v>972</v>
      </c>
      <c r="D745" s="266" t="s">
        <v>31</v>
      </c>
      <c r="E745" s="267" t="s">
        <v>1266</v>
      </c>
      <c r="F745" s="289"/>
      <c r="G745" s="269">
        <v>236000.0</v>
      </c>
      <c r="H745" s="270">
        <v>0.0</v>
      </c>
      <c r="I745" s="269">
        <v>236000.0</v>
      </c>
      <c r="J745" s="271">
        <v>236000.0</v>
      </c>
      <c r="K745" s="272">
        <f t="shared" si="2"/>
        <v>0</v>
      </c>
      <c r="L745" s="290"/>
      <c r="M745" s="290"/>
      <c r="N745" s="290"/>
    </row>
    <row r="746" ht="26.25" customHeight="1">
      <c r="A746" s="288" t="s">
        <v>1893</v>
      </c>
      <c r="B746" s="264">
        <v>45806.0</v>
      </c>
      <c r="C746" s="265" t="s">
        <v>965</v>
      </c>
      <c r="D746" s="266" t="s">
        <v>45</v>
      </c>
      <c r="E746" s="267" t="s">
        <v>980</v>
      </c>
      <c r="F746" s="289"/>
      <c r="G746" s="269">
        <v>85000.0</v>
      </c>
      <c r="H746" s="270">
        <v>0.0</v>
      </c>
      <c r="I746" s="269">
        <v>85000.0</v>
      </c>
      <c r="J746" s="271">
        <v>85000.0</v>
      </c>
      <c r="K746" s="272">
        <f t="shared" si="2"/>
        <v>0</v>
      </c>
      <c r="L746" s="290"/>
      <c r="M746" s="290"/>
      <c r="N746" s="290"/>
    </row>
    <row r="747" ht="26.25" customHeight="1">
      <c r="A747" s="281" t="s">
        <v>1894</v>
      </c>
      <c r="B747" s="264">
        <v>45806.0</v>
      </c>
      <c r="C747" s="275" t="s">
        <v>957</v>
      </c>
      <c r="D747" s="266" t="s">
        <v>45</v>
      </c>
      <c r="E747" s="267" t="s">
        <v>1895</v>
      </c>
      <c r="F747" s="268"/>
      <c r="G747" s="269">
        <v>75000.0</v>
      </c>
      <c r="H747" s="270">
        <v>0.0</v>
      </c>
      <c r="I747" s="269">
        <v>75000.0</v>
      </c>
      <c r="J747" s="271">
        <v>75000.0</v>
      </c>
      <c r="K747" s="272">
        <f t="shared" si="2"/>
        <v>0</v>
      </c>
      <c r="L747" s="273"/>
      <c r="M747" s="273"/>
      <c r="N747" s="273"/>
    </row>
    <row r="748" ht="26.25" customHeight="1">
      <c r="A748" s="281" t="s">
        <v>1896</v>
      </c>
      <c r="B748" s="264">
        <v>45806.0</v>
      </c>
      <c r="C748" s="275" t="s">
        <v>965</v>
      </c>
      <c r="D748" s="266" t="s">
        <v>20</v>
      </c>
      <c r="E748" s="267" t="s">
        <v>1038</v>
      </c>
      <c r="F748" s="268"/>
      <c r="G748" s="269">
        <v>18000.0</v>
      </c>
      <c r="H748" s="270">
        <v>0.0</v>
      </c>
      <c r="I748" s="269">
        <v>18000.0</v>
      </c>
      <c r="J748" s="271">
        <v>18000.0</v>
      </c>
      <c r="K748" s="272">
        <f t="shared" si="2"/>
        <v>0</v>
      </c>
      <c r="L748" s="273"/>
      <c r="M748" s="273"/>
      <c r="N748" s="273"/>
    </row>
    <row r="749" ht="26.25" customHeight="1">
      <c r="A749" s="273"/>
      <c r="B749" s="264">
        <v>45807.0</v>
      </c>
      <c r="C749" s="275" t="s">
        <v>957</v>
      </c>
      <c r="D749" s="266" t="s">
        <v>31</v>
      </c>
      <c r="E749" s="267" t="s">
        <v>1897</v>
      </c>
      <c r="F749" s="268"/>
      <c r="G749" s="269">
        <v>25000.0</v>
      </c>
      <c r="H749" s="270">
        <v>0.0</v>
      </c>
      <c r="I749" s="269">
        <v>25000.0</v>
      </c>
      <c r="J749" s="271">
        <v>25000.0</v>
      </c>
      <c r="K749" s="272">
        <f t="shared" si="2"/>
        <v>0</v>
      </c>
      <c r="L749" s="273"/>
      <c r="M749" s="273"/>
      <c r="N749" s="273"/>
    </row>
    <row r="750" ht="26.25" customHeight="1">
      <c r="A750" s="277" t="s">
        <v>1898</v>
      </c>
      <c r="B750" s="264">
        <v>45808.0</v>
      </c>
      <c r="C750" s="265" t="s">
        <v>965</v>
      </c>
      <c r="D750" s="266" t="s">
        <v>980</v>
      </c>
      <c r="E750" s="267" t="s">
        <v>980</v>
      </c>
      <c r="F750" s="289"/>
      <c r="G750" s="269">
        <v>846000.0</v>
      </c>
      <c r="H750" s="270">
        <v>0.0</v>
      </c>
      <c r="I750" s="269">
        <v>846000.0</v>
      </c>
      <c r="J750" s="271">
        <v>846000.0</v>
      </c>
      <c r="K750" s="272">
        <f t="shared" si="2"/>
        <v>0</v>
      </c>
      <c r="L750" s="290"/>
      <c r="M750" s="290"/>
      <c r="N750" s="290"/>
    </row>
    <row r="751" ht="26.25" customHeight="1">
      <c r="A751" s="273"/>
      <c r="B751" s="264">
        <v>45809.0</v>
      </c>
      <c r="C751" s="265" t="s">
        <v>1767</v>
      </c>
      <c r="D751" s="266" t="s">
        <v>31</v>
      </c>
      <c r="E751" s="267" t="s">
        <v>1768</v>
      </c>
      <c r="F751" s="268"/>
      <c r="G751" s="269">
        <v>2258335.0</v>
      </c>
      <c r="H751" s="270">
        <v>0.0</v>
      </c>
      <c r="I751" s="269">
        <v>2258335.0</v>
      </c>
      <c r="J751" s="271">
        <v>2258335.0</v>
      </c>
      <c r="K751" s="272">
        <f t="shared" si="2"/>
        <v>0</v>
      </c>
      <c r="L751" s="273"/>
      <c r="M751" s="273"/>
      <c r="N751" s="273"/>
    </row>
    <row r="752" ht="26.25" customHeight="1">
      <c r="A752" s="277" t="s">
        <v>1899</v>
      </c>
      <c r="B752" s="264">
        <v>45809.0</v>
      </c>
      <c r="C752" s="265" t="s">
        <v>965</v>
      </c>
      <c r="D752" s="266" t="s">
        <v>980</v>
      </c>
      <c r="E752" s="267" t="s">
        <v>980</v>
      </c>
      <c r="F752" s="289"/>
      <c r="G752" s="269">
        <v>927000.0</v>
      </c>
      <c r="H752" s="270">
        <v>0.0</v>
      </c>
      <c r="I752" s="269">
        <v>927000.0</v>
      </c>
      <c r="J752" s="271">
        <v>927000.0</v>
      </c>
      <c r="K752" s="272">
        <f t="shared" si="2"/>
        <v>0</v>
      </c>
      <c r="L752" s="290"/>
      <c r="M752" s="290"/>
      <c r="N752" s="290"/>
    </row>
    <row r="753" ht="26.25" customHeight="1">
      <c r="A753" s="274"/>
      <c r="B753" s="264">
        <v>45809.0</v>
      </c>
      <c r="C753" s="265" t="s">
        <v>1057</v>
      </c>
      <c r="D753" s="266" t="s">
        <v>31</v>
      </c>
      <c r="E753" s="267" t="s">
        <v>1875</v>
      </c>
      <c r="F753" s="268"/>
      <c r="G753" s="269">
        <v>400000.0</v>
      </c>
      <c r="H753" s="270">
        <v>0.0</v>
      </c>
      <c r="I753" s="269">
        <v>400000.0</v>
      </c>
      <c r="J753" s="271">
        <v>400000.0</v>
      </c>
      <c r="K753" s="272">
        <f t="shared" si="2"/>
        <v>0</v>
      </c>
      <c r="L753" s="273"/>
      <c r="M753" s="273"/>
      <c r="N753" s="273"/>
    </row>
    <row r="754" ht="26.25" customHeight="1">
      <c r="A754" s="277" t="s">
        <v>1900</v>
      </c>
      <c r="B754" s="264">
        <v>45809.0</v>
      </c>
      <c r="C754" s="265" t="s">
        <v>965</v>
      </c>
      <c r="D754" s="266" t="s">
        <v>1407</v>
      </c>
      <c r="E754" s="267" t="s">
        <v>1901</v>
      </c>
      <c r="F754" s="289"/>
      <c r="G754" s="269">
        <v>261000.0</v>
      </c>
      <c r="H754" s="270">
        <v>0.0</v>
      </c>
      <c r="I754" s="269">
        <v>261000.0</v>
      </c>
      <c r="J754" s="271">
        <v>261000.0</v>
      </c>
      <c r="K754" s="272">
        <f t="shared" si="2"/>
        <v>0</v>
      </c>
      <c r="L754" s="290"/>
      <c r="M754" s="290"/>
      <c r="N754" s="290"/>
    </row>
    <row r="755" ht="26.25" customHeight="1">
      <c r="A755" s="288" t="s">
        <v>1902</v>
      </c>
      <c r="B755" s="264">
        <v>45809.0</v>
      </c>
      <c r="C755" s="265" t="s">
        <v>965</v>
      </c>
      <c r="D755" s="266" t="s">
        <v>980</v>
      </c>
      <c r="E755" s="267" t="s">
        <v>980</v>
      </c>
      <c r="F755" s="289"/>
      <c r="G755" s="269">
        <v>237000.0</v>
      </c>
      <c r="H755" s="270">
        <v>0.0</v>
      </c>
      <c r="I755" s="269">
        <v>237000.0</v>
      </c>
      <c r="J755" s="271">
        <v>237000.0</v>
      </c>
      <c r="K755" s="272">
        <f t="shared" si="2"/>
        <v>0</v>
      </c>
      <c r="L755" s="290"/>
      <c r="M755" s="290"/>
      <c r="N755" s="290"/>
    </row>
    <row r="756" ht="26.25" customHeight="1">
      <c r="A756" s="290"/>
      <c r="B756" s="264">
        <v>45809.0</v>
      </c>
      <c r="C756" s="265" t="s">
        <v>1035</v>
      </c>
      <c r="D756" s="266" t="s">
        <v>31</v>
      </c>
      <c r="E756" s="267" t="s">
        <v>1599</v>
      </c>
      <c r="F756" s="289"/>
      <c r="G756" s="269">
        <v>90000.0</v>
      </c>
      <c r="H756" s="270">
        <v>0.0</v>
      </c>
      <c r="I756" s="269">
        <v>90000.0</v>
      </c>
      <c r="J756" s="271">
        <v>90000.0</v>
      </c>
      <c r="K756" s="272">
        <f t="shared" si="2"/>
        <v>0</v>
      </c>
      <c r="L756" s="290"/>
      <c r="M756" s="290"/>
      <c r="N756" s="290"/>
    </row>
    <row r="757" ht="26.25" customHeight="1">
      <c r="A757" s="290"/>
      <c r="B757" s="264">
        <v>45809.0</v>
      </c>
      <c r="C757" s="265" t="s">
        <v>965</v>
      </c>
      <c r="D757" s="266" t="s">
        <v>224</v>
      </c>
      <c r="E757" s="267" t="s">
        <v>1903</v>
      </c>
      <c r="F757" s="289"/>
      <c r="G757" s="269">
        <v>50000.0</v>
      </c>
      <c r="H757" s="270">
        <v>0.0</v>
      </c>
      <c r="I757" s="269">
        <v>50000.0</v>
      </c>
      <c r="J757" s="271">
        <v>50000.0</v>
      </c>
      <c r="K757" s="272">
        <f t="shared" si="2"/>
        <v>0</v>
      </c>
      <c r="L757" s="290"/>
      <c r="M757" s="290"/>
      <c r="N757" s="290"/>
    </row>
    <row r="758" ht="26.25" customHeight="1">
      <c r="A758" s="290"/>
      <c r="B758" s="264">
        <v>45809.0</v>
      </c>
      <c r="C758" s="265" t="s">
        <v>960</v>
      </c>
      <c r="D758" s="266" t="s">
        <v>1740</v>
      </c>
      <c r="E758" s="267" t="s">
        <v>1904</v>
      </c>
      <c r="F758" s="289"/>
      <c r="G758" s="269">
        <v>5000.0</v>
      </c>
      <c r="H758" s="270">
        <v>0.0</v>
      </c>
      <c r="I758" s="269">
        <v>5000.0</v>
      </c>
      <c r="J758" s="271">
        <v>5000.0</v>
      </c>
      <c r="K758" s="272">
        <f t="shared" si="2"/>
        <v>0</v>
      </c>
      <c r="L758" s="290"/>
      <c r="M758" s="290"/>
      <c r="N758" s="290"/>
    </row>
    <row r="759" ht="26.25" customHeight="1">
      <c r="A759" s="290"/>
      <c r="B759" s="264">
        <v>45810.0</v>
      </c>
      <c r="C759" s="265" t="s">
        <v>1057</v>
      </c>
      <c r="D759" s="266" t="s">
        <v>1453</v>
      </c>
      <c r="E759" s="267" t="s">
        <v>1905</v>
      </c>
      <c r="F759" s="289"/>
      <c r="G759" s="269">
        <v>300000.0</v>
      </c>
      <c r="H759" s="270">
        <v>0.0</v>
      </c>
      <c r="I759" s="269">
        <v>300000.0</v>
      </c>
      <c r="J759" s="271">
        <v>300000.0</v>
      </c>
      <c r="K759" s="272">
        <f t="shared" si="2"/>
        <v>0</v>
      </c>
      <c r="L759" s="290"/>
      <c r="M759" s="290"/>
      <c r="N759" s="290"/>
    </row>
    <row r="760" ht="26.25" customHeight="1">
      <c r="A760" s="274"/>
      <c r="B760" s="264">
        <v>45810.0</v>
      </c>
      <c r="C760" s="265" t="s">
        <v>974</v>
      </c>
      <c r="D760" s="266" t="s">
        <v>1453</v>
      </c>
      <c r="E760" s="267" t="s">
        <v>1453</v>
      </c>
      <c r="F760" s="289"/>
      <c r="G760" s="269">
        <v>300000.0</v>
      </c>
      <c r="H760" s="270">
        <v>0.0</v>
      </c>
      <c r="I760" s="269">
        <v>300000.0</v>
      </c>
      <c r="J760" s="271">
        <v>300000.0</v>
      </c>
      <c r="K760" s="272">
        <f t="shared" si="2"/>
        <v>0</v>
      </c>
      <c r="L760" s="290"/>
      <c r="M760" s="290"/>
      <c r="N760" s="290"/>
    </row>
    <row r="761" ht="26.25" customHeight="1">
      <c r="A761" s="277" t="s">
        <v>1906</v>
      </c>
      <c r="B761" s="264">
        <v>45810.0</v>
      </c>
      <c r="C761" s="265" t="s">
        <v>972</v>
      </c>
      <c r="D761" s="266" t="s">
        <v>45</v>
      </c>
      <c r="E761" s="267" t="s">
        <v>1266</v>
      </c>
      <c r="F761" s="289"/>
      <c r="G761" s="269">
        <v>166000.0</v>
      </c>
      <c r="H761" s="270">
        <v>0.0</v>
      </c>
      <c r="I761" s="269">
        <v>166000.0</v>
      </c>
      <c r="J761" s="271">
        <v>166000.0</v>
      </c>
      <c r="K761" s="272">
        <f t="shared" si="2"/>
        <v>0</v>
      </c>
      <c r="L761" s="290"/>
      <c r="M761" s="290"/>
      <c r="N761" s="290"/>
    </row>
    <row r="762" ht="26.25" customHeight="1">
      <c r="A762" s="290"/>
      <c r="B762" s="264">
        <v>45810.0</v>
      </c>
      <c r="C762" s="265" t="s">
        <v>965</v>
      </c>
      <c r="D762" s="266" t="s">
        <v>1029</v>
      </c>
      <c r="E762" s="267" t="s">
        <v>1070</v>
      </c>
      <c r="F762" s="289"/>
      <c r="G762" s="269">
        <v>126000.0</v>
      </c>
      <c r="H762" s="270">
        <v>0.0</v>
      </c>
      <c r="I762" s="269">
        <v>126000.0</v>
      </c>
      <c r="J762" s="271">
        <v>126000.0</v>
      </c>
      <c r="K762" s="272">
        <f t="shared" si="2"/>
        <v>0</v>
      </c>
      <c r="L762" s="290"/>
      <c r="M762" s="290"/>
      <c r="N762" s="290"/>
    </row>
    <row r="763" ht="26.25" customHeight="1">
      <c r="A763" s="277" t="s">
        <v>1907</v>
      </c>
      <c r="B763" s="264">
        <v>45810.0</v>
      </c>
      <c r="C763" s="265" t="s">
        <v>965</v>
      </c>
      <c r="D763" s="266" t="s">
        <v>980</v>
      </c>
      <c r="E763" s="267" t="s">
        <v>980</v>
      </c>
      <c r="F763" s="268"/>
      <c r="G763" s="269">
        <v>90000.0</v>
      </c>
      <c r="H763" s="270">
        <v>0.0</v>
      </c>
      <c r="I763" s="269">
        <v>90000.0</v>
      </c>
      <c r="J763" s="271">
        <v>90000.0</v>
      </c>
      <c r="K763" s="272">
        <f t="shared" si="2"/>
        <v>0</v>
      </c>
      <c r="L763" s="273"/>
      <c r="M763" s="273"/>
      <c r="N763" s="273"/>
    </row>
    <row r="764" ht="26.25" customHeight="1">
      <c r="A764" s="273"/>
      <c r="B764" s="264">
        <v>45810.0</v>
      </c>
      <c r="C764" s="275" t="s">
        <v>965</v>
      </c>
      <c r="D764" s="266" t="s">
        <v>1029</v>
      </c>
      <c r="E764" s="267" t="s">
        <v>1908</v>
      </c>
      <c r="F764" s="268"/>
      <c r="G764" s="269">
        <v>50000.0</v>
      </c>
      <c r="H764" s="270">
        <v>0.0</v>
      </c>
      <c r="I764" s="269">
        <v>50000.0</v>
      </c>
      <c r="J764" s="271">
        <v>50000.0</v>
      </c>
      <c r="K764" s="272">
        <f t="shared" si="2"/>
        <v>0</v>
      </c>
      <c r="L764" s="273"/>
      <c r="M764" s="273"/>
      <c r="N764" s="273"/>
    </row>
    <row r="765" ht="26.25" customHeight="1">
      <c r="A765" s="288" t="s">
        <v>1909</v>
      </c>
      <c r="B765" s="264">
        <v>45810.0</v>
      </c>
      <c r="C765" s="265" t="s">
        <v>965</v>
      </c>
      <c r="D765" s="266" t="s">
        <v>824</v>
      </c>
      <c r="E765" s="267" t="s">
        <v>1910</v>
      </c>
      <c r="F765" s="289"/>
      <c r="G765" s="269">
        <v>35000.0</v>
      </c>
      <c r="H765" s="270">
        <v>0.0</v>
      </c>
      <c r="I765" s="269">
        <v>35000.0</v>
      </c>
      <c r="J765" s="271">
        <v>35000.0</v>
      </c>
      <c r="K765" s="272">
        <f t="shared" si="2"/>
        <v>0</v>
      </c>
      <c r="L765" s="290"/>
      <c r="M765" s="290"/>
      <c r="N765" s="290"/>
    </row>
    <row r="766" ht="26.25" customHeight="1">
      <c r="A766" s="288" t="s">
        <v>1911</v>
      </c>
      <c r="B766" s="264">
        <v>45810.0</v>
      </c>
      <c r="C766" s="265" t="s">
        <v>960</v>
      </c>
      <c r="D766" s="266" t="s">
        <v>45</v>
      </c>
      <c r="E766" s="267" t="s">
        <v>1245</v>
      </c>
      <c r="F766" s="289"/>
      <c r="G766" s="269">
        <v>25000.0</v>
      </c>
      <c r="H766" s="270">
        <v>0.0</v>
      </c>
      <c r="I766" s="269">
        <v>25000.0</v>
      </c>
      <c r="J766" s="271">
        <v>25000.0</v>
      </c>
      <c r="K766" s="272">
        <f t="shared" si="2"/>
        <v>0</v>
      </c>
      <c r="L766" s="290"/>
      <c r="M766" s="290"/>
      <c r="N766" s="290"/>
    </row>
    <row r="767" ht="26.25" customHeight="1">
      <c r="A767" s="273"/>
      <c r="B767" s="264">
        <v>45810.0</v>
      </c>
      <c r="C767" s="265" t="s">
        <v>974</v>
      </c>
      <c r="D767" s="266" t="s">
        <v>1872</v>
      </c>
      <c r="E767" s="267" t="s">
        <v>1519</v>
      </c>
      <c r="F767" s="268"/>
      <c r="G767" s="269">
        <v>5000.0</v>
      </c>
      <c r="H767" s="270">
        <v>0.0</v>
      </c>
      <c r="I767" s="269">
        <v>5000.0</v>
      </c>
      <c r="J767" s="271">
        <v>5000.0</v>
      </c>
      <c r="K767" s="272">
        <f t="shared" si="2"/>
        <v>0</v>
      </c>
      <c r="L767" s="273"/>
      <c r="M767" s="273"/>
      <c r="N767" s="273"/>
    </row>
    <row r="768" ht="26.25" customHeight="1">
      <c r="A768" s="290"/>
      <c r="B768" s="264">
        <v>45811.0</v>
      </c>
      <c r="C768" s="265" t="s">
        <v>1431</v>
      </c>
      <c r="D768" s="266" t="s">
        <v>31</v>
      </c>
      <c r="E768" s="267" t="s">
        <v>1912</v>
      </c>
      <c r="F768" s="289"/>
      <c r="G768" s="269">
        <v>750000.0</v>
      </c>
      <c r="H768" s="270">
        <v>0.0</v>
      </c>
      <c r="I768" s="269">
        <v>750000.0</v>
      </c>
      <c r="J768" s="271">
        <v>750000.0</v>
      </c>
      <c r="K768" s="272">
        <f t="shared" si="2"/>
        <v>0</v>
      </c>
      <c r="L768" s="290"/>
      <c r="M768" s="290"/>
      <c r="N768" s="290"/>
    </row>
    <row r="769" ht="26.25" customHeight="1">
      <c r="A769" s="290"/>
      <c r="B769" s="264">
        <v>45811.0</v>
      </c>
      <c r="C769" s="265" t="s">
        <v>1057</v>
      </c>
      <c r="D769" s="266" t="s">
        <v>1204</v>
      </c>
      <c r="E769" s="267" t="s">
        <v>1913</v>
      </c>
      <c r="F769" s="289"/>
      <c r="G769" s="269">
        <v>260000.0</v>
      </c>
      <c r="H769" s="270">
        <v>0.0</v>
      </c>
      <c r="I769" s="269">
        <v>260000.0</v>
      </c>
      <c r="J769" s="271">
        <v>260000.0</v>
      </c>
      <c r="K769" s="272">
        <f t="shared" si="2"/>
        <v>0</v>
      </c>
      <c r="L769" s="290"/>
      <c r="M769" s="290"/>
      <c r="N769" s="290"/>
    </row>
    <row r="770" ht="26.25" customHeight="1">
      <c r="A770" s="273"/>
      <c r="B770" s="264">
        <v>45811.0</v>
      </c>
      <c r="C770" s="275" t="s">
        <v>968</v>
      </c>
      <c r="D770" s="266" t="s">
        <v>1407</v>
      </c>
      <c r="E770" s="267" t="s">
        <v>1914</v>
      </c>
      <c r="F770" s="268"/>
      <c r="G770" s="269">
        <v>10000.0</v>
      </c>
      <c r="H770" s="270">
        <v>0.0</v>
      </c>
      <c r="I770" s="269">
        <v>10000.0</v>
      </c>
      <c r="J770" s="271">
        <v>10000.0</v>
      </c>
      <c r="K770" s="272">
        <f t="shared" si="2"/>
        <v>0</v>
      </c>
      <c r="L770" s="273"/>
      <c r="M770" s="273"/>
      <c r="N770" s="273"/>
    </row>
    <row r="771" ht="26.25" customHeight="1">
      <c r="A771" s="274"/>
      <c r="B771" s="264">
        <v>45811.0</v>
      </c>
      <c r="C771" s="265" t="s">
        <v>960</v>
      </c>
      <c r="D771" s="266" t="s">
        <v>31</v>
      </c>
      <c r="E771" s="267" t="s">
        <v>1915</v>
      </c>
      <c r="F771" s="289"/>
      <c r="G771" s="269">
        <v>5000.0</v>
      </c>
      <c r="H771" s="270">
        <v>0.0</v>
      </c>
      <c r="I771" s="269">
        <v>5000.0</v>
      </c>
      <c r="J771" s="271">
        <v>5000.0</v>
      </c>
      <c r="K771" s="272">
        <f t="shared" si="2"/>
        <v>0</v>
      </c>
      <c r="L771" s="290"/>
      <c r="M771" s="290"/>
      <c r="N771" s="290"/>
    </row>
    <row r="772" ht="26.25" customHeight="1">
      <c r="A772" s="290"/>
      <c r="B772" s="264">
        <v>45811.0</v>
      </c>
      <c r="C772" s="265" t="s">
        <v>960</v>
      </c>
      <c r="D772" s="266" t="s">
        <v>237</v>
      </c>
      <c r="E772" s="267" t="s">
        <v>1916</v>
      </c>
      <c r="F772" s="289"/>
      <c r="G772" s="269">
        <v>5000.0</v>
      </c>
      <c r="H772" s="270">
        <v>0.0</v>
      </c>
      <c r="I772" s="269">
        <v>5000.0</v>
      </c>
      <c r="J772" s="271">
        <v>5000.0</v>
      </c>
      <c r="K772" s="272">
        <f t="shared" si="2"/>
        <v>0</v>
      </c>
      <c r="L772" s="290"/>
      <c r="M772" s="290"/>
      <c r="N772" s="290"/>
    </row>
    <row r="773" ht="26.25" customHeight="1">
      <c r="A773" s="288" t="s">
        <v>1917</v>
      </c>
      <c r="B773" s="264">
        <v>45812.0</v>
      </c>
      <c r="C773" s="265" t="s">
        <v>965</v>
      </c>
      <c r="D773" s="266" t="s">
        <v>980</v>
      </c>
      <c r="E773" s="267" t="s">
        <v>980</v>
      </c>
      <c r="F773" s="289"/>
      <c r="G773" s="269">
        <v>315000.0</v>
      </c>
      <c r="H773" s="270">
        <v>0.0</v>
      </c>
      <c r="I773" s="269">
        <v>315000.0</v>
      </c>
      <c r="J773" s="271">
        <v>315000.0</v>
      </c>
      <c r="K773" s="272">
        <f t="shared" si="2"/>
        <v>0</v>
      </c>
      <c r="L773" s="290"/>
      <c r="M773" s="290"/>
      <c r="N773" s="290"/>
    </row>
    <row r="774" ht="26.25" customHeight="1">
      <c r="A774" s="288" t="s">
        <v>1918</v>
      </c>
      <c r="B774" s="264">
        <v>45812.0</v>
      </c>
      <c r="C774" s="265" t="s">
        <v>965</v>
      </c>
      <c r="D774" s="266" t="s">
        <v>1919</v>
      </c>
      <c r="E774" s="267" t="s">
        <v>980</v>
      </c>
      <c r="F774" s="289"/>
      <c r="G774" s="269">
        <v>271000.0</v>
      </c>
      <c r="H774" s="270">
        <v>0.0</v>
      </c>
      <c r="I774" s="269">
        <v>271000.0</v>
      </c>
      <c r="J774" s="271">
        <v>271000.0</v>
      </c>
      <c r="K774" s="272">
        <f t="shared" si="2"/>
        <v>0</v>
      </c>
      <c r="L774" s="290"/>
      <c r="M774" s="290"/>
      <c r="N774" s="290"/>
    </row>
    <row r="775" ht="26.25" customHeight="1">
      <c r="A775" s="288" t="s">
        <v>1920</v>
      </c>
      <c r="B775" s="264">
        <v>45812.0</v>
      </c>
      <c r="C775" s="265" t="s">
        <v>1098</v>
      </c>
      <c r="D775" s="266" t="s">
        <v>1029</v>
      </c>
      <c r="E775" s="267" t="s">
        <v>1921</v>
      </c>
      <c r="F775" s="289"/>
      <c r="G775" s="269">
        <v>165000.0</v>
      </c>
      <c r="H775" s="270">
        <v>0.0</v>
      </c>
      <c r="I775" s="269">
        <v>165000.0</v>
      </c>
      <c r="J775" s="271">
        <v>165000.0</v>
      </c>
      <c r="K775" s="272">
        <f t="shared" si="2"/>
        <v>0</v>
      </c>
      <c r="L775" s="290"/>
      <c r="M775" s="290"/>
      <c r="N775" s="290"/>
    </row>
    <row r="776" ht="26.25" customHeight="1">
      <c r="A776" s="288" t="s">
        <v>1922</v>
      </c>
      <c r="B776" s="264">
        <v>45812.0</v>
      </c>
      <c r="C776" s="265" t="s">
        <v>972</v>
      </c>
      <c r="D776" s="266" t="s">
        <v>45</v>
      </c>
      <c r="E776" s="267" t="s">
        <v>1266</v>
      </c>
      <c r="F776" s="289"/>
      <c r="G776" s="269">
        <v>155000.0</v>
      </c>
      <c r="H776" s="270">
        <v>0.0</v>
      </c>
      <c r="I776" s="269">
        <v>155000.0</v>
      </c>
      <c r="J776" s="271">
        <v>155000.0</v>
      </c>
      <c r="K776" s="272">
        <f t="shared" si="2"/>
        <v>0</v>
      </c>
      <c r="L776" s="290"/>
      <c r="M776" s="290"/>
      <c r="N776" s="290"/>
    </row>
    <row r="777" ht="26.25" customHeight="1">
      <c r="A777" s="281" t="s">
        <v>1923</v>
      </c>
      <c r="B777" s="264">
        <v>45812.0</v>
      </c>
      <c r="C777" s="275" t="s">
        <v>965</v>
      </c>
      <c r="D777" s="266" t="s">
        <v>980</v>
      </c>
      <c r="E777" s="267" t="s">
        <v>980</v>
      </c>
      <c r="F777" s="268"/>
      <c r="G777" s="269">
        <v>150000.0</v>
      </c>
      <c r="H777" s="270">
        <v>0.0</v>
      </c>
      <c r="I777" s="269">
        <v>150000.0</v>
      </c>
      <c r="J777" s="271">
        <v>150000.0</v>
      </c>
      <c r="K777" s="272">
        <f t="shared" si="2"/>
        <v>0</v>
      </c>
      <c r="L777" s="273"/>
      <c r="M777" s="273"/>
      <c r="N777" s="273"/>
    </row>
    <row r="778" ht="26.25" customHeight="1">
      <c r="A778" s="281" t="s">
        <v>1924</v>
      </c>
      <c r="B778" s="264">
        <v>45812.0</v>
      </c>
      <c r="C778" s="265" t="s">
        <v>965</v>
      </c>
      <c r="D778" s="266" t="s">
        <v>980</v>
      </c>
      <c r="E778" s="267" t="s">
        <v>980</v>
      </c>
      <c r="F778" s="268"/>
      <c r="G778" s="269">
        <v>115000.0</v>
      </c>
      <c r="H778" s="270">
        <v>0.0</v>
      </c>
      <c r="I778" s="269">
        <v>115000.0</v>
      </c>
      <c r="J778" s="271">
        <v>115000.0</v>
      </c>
      <c r="K778" s="272">
        <f t="shared" si="2"/>
        <v>0</v>
      </c>
      <c r="L778" s="273"/>
      <c r="M778" s="273"/>
      <c r="N778" s="273"/>
    </row>
    <row r="779" ht="26.25" customHeight="1">
      <c r="A779" s="290"/>
      <c r="B779" s="264">
        <v>45812.0</v>
      </c>
      <c r="C779" s="265" t="s">
        <v>974</v>
      </c>
      <c r="D779" s="266" t="s">
        <v>1029</v>
      </c>
      <c r="E779" s="267" t="s">
        <v>1111</v>
      </c>
      <c r="F779" s="289"/>
      <c r="G779" s="269">
        <v>100000.0</v>
      </c>
      <c r="H779" s="270">
        <v>0.0</v>
      </c>
      <c r="I779" s="269">
        <v>100000.0</v>
      </c>
      <c r="J779" s="271">
        <v>100000.0</v>
      </c>
      <c r="K779" s="272">
        <f t="shared" si="2"/>
        <v>0</v>
      </c>
      <c r="L779" s="290"/>
      <c r="M779" s="290"/>
      <c r="N779" s="290"/>
    </row>
    <row r="780" ht="26.25" customHeight="1">
      <c r="A780" s="274"/>
      <c r="B780" s="264">
        <v>45812.0</v>
      </c>
      <c r="C780" s="265" t="s">
        <v>974</v>
      </c>
      <c r="D780" s="266" t="s">
        <v>31</v>
      </c>
      <c r="E780" s="267" t="s">
        <v>1925</v>
      </c>
      <c r="F780" s="268"/>
      <c r="G780" s="269">
        <v>53000.0</v>
      </c>
      <c r="H780" s="270">
        <v>0.0</v>
      </c>
      <c r="I780" s="269">
        <v>53000.0</v>
      </c>
      <c r="J780" s="271">
        <v>53000.0</v>
      </c>
      <c r="K780" s="272">
        <f t="shared" si="2"/>
        <v>0</v>
      </c>
      <c r="L780" s="273"/>
      <c r="M780" s="273"/>
      <c r="N780" s="273"/>
    </row>
    <row r="781" ht="26.25" customHeight="1">
      <c r="A781" s="288" t="s">
        <v>1926</v>
      </c>
      <c r="B781" s="264">
        <v>45812.0</v>
      </c>
      <c r="C781" s="265" t="s">
        <v>960</v>
      </c>
      <c r="D781" s="266" t="s">
        <v>1029</v>
      </c>
      <c r="E781" s="267" t="s">
        <v>1180</v>
      </c>
      <c r="F781" s="289"/>
      <c r="G781" s="269">
        <v>25000.0</v>
      </c>
      <c r="H781" s="270">
        <v>0.0</v>
      </c>
      <c r="I781" s="269">
        <v>25000.0</v>
      </c>
      <c r="J781" s="271">
        <v>25000.0</v>
      </c>
      <c r="K781" s="272">
        <f t="shared" si="2"/>
        <v>0</v>
      </c>
      <c r="L781" s="290"/>
      <c r="M781" s="290"/>
      <c r="N781" s="290"/>
    </row>
    <row r="782" ht="26.25" customHeight="1">
      <c r="A782" s="273"/>
      <c r="B782" s="264">
        <v>45812.0</v>
      </c>
      <c r="C782" s="265" t="s">
        <v>974</v>
      </c>
      <c r="D782" s="266" t="s">
        <v>1029</v>
      </c>
      <c r="E782" s="267" t="s">
        <v>1927</v>
      </c>
      <c r="F782" s="268"/>
      <c r="G782" s="269">
        <v>17000.0</v>
      </c>
      <c r="H782" s="270">
        <v>0.0</v>
      </c>
      <c r="I782" s="269">
        <v>17000.0</v>
      </c>
      <c r="J782" s="271">
        <v>17000.0</v>
      </c>
      <c r="K782" s="272">
        <f t="shared" si="2"/>
        <v>0</v>
      </c>
      <c r="L782" s="273"/>
      <c r="M782" s="273"/>
      <c r="N782" s="273"/>
    </row>
    <row r="783" ht="26.25" customHeight="1">
      <c r="A783" s="288" t="s">
        <v>1918</v>
      </c>
      <c r="B783" s="264">
        <v>45812.0</v>
      </c>
      <c r="C783" s="265" t="s">
        <v>965</v>
      </c>
      <c r="D783" s="266" t="s">
        <v>980</v>
      </c>
      <c r="E783" s="267" t="s">
        <v>1563</v>
      </c>
      <c r="F783" s="289"/>
      <c r="G783" s="269">
        <v>5000.0</v>
      </c>
      <c r="H783" s="270">
        <v>0.0</v>
      </c>
      <c r="I783" s="269">
        <v>5000.0</v>
      </c>
      <c r="J783" s="271">
        <v>5000.0</v>
      </c>
      <c r="K783" s="272">
        <f t="shared" si="2"/>
        <v>0</v>
      </c>
      <c r="L783" s="290"/>
      <c r="M783" s="290"/>
      <c r="N783" s="290"/>
    </row>
    <row r="784" ht="26.25" customHeight="1">
      <c r="A784" s="290"/>
      <c r="B784" s="264">
        <v>45813.0</v>
      </c>
      <c r="C784" s="265" t="s">
        <v>1431</v>
      </c>
      <c r="D784" s="266" t="s">
        <v>1029</v>
      </c>
      <c r="E784" s="267" t="s">
        <v>1928</v>
      </c>
      <c r="F784" s="289"/>
      <c r="G784" s="269">
        <v>400000.0</v>
      </c>
      <c r="H784" s="270">
        <v>0.0</v>
      </c>
      <c r="I784" s="269">
        <v>400000.0</v>
      </c>
      <c r="J784" s="271">
        <v>400000.0</v>
      </c>
      <c r="K784" s="272">
        <f t="shared" si="2"/>
        <v>0</v>
      </c>
      <c r="L784" s="290"/>
      <c r="M784" s="290"/>
      <c r="N784" s="290"/>
    </row>
    <row r="785" ht="26.25" customHeight="1">
      <c r="A785" s="277" t="s">
        <v>1929</v>
      </c>
      <c r="B785" s="264">
        <v>45813.0</v>
      </c>
      <c r="C785" s="265" t="s">
        <v>965</v>
      </c>
      <c r="D785" s="266" t="s">
        <v>1029</v>
      </c>
      <c r="E785" s="267" t="s">
        <v>1285</v>
      </c>
      <c r="F785" s="268"/>
      <c r="G785" s="269">
        <v>393000.0</v>
      </c>
      <c r="H785" s="270">
        <v>0.0</v>
      </c>
      <c r="I785" s="269">
        <v>393000.0</v>
      </c>
      <c r="J785" s="271">
        <v>393000.0</v>
      </c>
      <c r="K785" s="272">
        <f t="shared" si="2"/>
        <v>0</v>
      </c>
      <c r="L785" s="273"/>
      <c r="M785" s="273"/>
      <c r="N785" s="273"/>
    </row>
    <row r="786" ht="26.25" customHeight="1">
      <c r="A786" s="281" t="s">
        <v>1930</v>
      </c>
      <c r="B786" s="264">
        <v>45813.0</v>
      </c>
      <c r="C786" s="275" t="s">
        <v>965</v>
      </c>
      <c r="D786" s="266" t="s">
        <v>980</v>
      </c>
      <c r="E786" s="267" t="s">
        <v>980</v>
      </c>
      <c r="F786" s="268"/>
      <c r="G786" s="269">
        <v>50000.0</v>
      </c>
      <c r="H786" s="270">
        <v>0.0</v>
      </c>
      <c r="I786" s="269">
        <v>50000.0</v>
      </c>
      <c r="J786" s="271">
        <v>50000.0</v>
      </c>
      <c r="K786" s="272">
        <f t="shared" si="2"/>
        <v>0</v>
      </c>
      <c r="L786" s="273"/>
      <c r="M786" s="273"/>
      <c r="N786" s="273"/>
    </row>
    <row r="787" ht="26.25" customHeight="1">
      <c r="A787" s="273"/>
      <c r="B787" s="264">
        <v>45813.0</v>
      </c>
      <c r="C787" s="275" t="s">
        <v>974</v>
      </c>
      <c r="D787" s="266" t="s">
        <v>31</v>
      </c>
      <c r="E787" s="267" t="s">
        <v>1931</v>
      </c>
      <c r="F787" s="268"/>
      <c r="G787" s="269">
        <v>25000.0</v>
      </c>
      <c r="H787" s="270">
        <v>0.0</v>
      </c>
      <c r="I787" s="269">
        <v>25000.0</v>
      </c>
      <c r="J787" s="271">
        <v>25000.0</v>
      </c>
      <c r="K787" s="272">
        <f t="shared" si="2"/>
        <v>0</v>
      </c>
      <c r="L787" s="273"/>
      <c r="M787" s="273"/>
      <c r="N787" s="273"/>
    </row>
    <row r="788" ht="26.25" customHeight="1">
      <c r="A788" s="273"/>
      <c r="B788" s="264">
        <v>45813.0</v>
      </c>
      <c r="C788" s="275" t="s">
        <v>965</v>
      </c>
      <c r="D788" s="266" t="s">
        <v>1029</v>
      </c>
      <c r="E788" s="267" t="s">
        <v>1932</v>
      </c>
      <c r="F788" s="268"/>
      <c r="G788" s="269">
        <v>22000.0</v>
      </c>
      <c r="H788" s="270">
        <v>0.0</v>
      </c>
      <c r="I788" s="269">
        <v>22000.0</v>
      </c>
      <c r="J788" s="271">
        <v>22000.0</v>
      </c>
      <c r="K788" s="272">
        <f t="shared" si="2"/>
        <v>0</v>
      </c>
      <c r="L788" s="273"/>
      <c r="M788" s="273"/>
      <c r="N788" s="273"/>
    </row>
    <row r="789" ht="26.25" customHeight="1">
      <c r="A789" s="273"/>
      <c r="B789" s="264">
        <v>45813.0</v>
      </c>
      <c r="C789" s="275" t="s">
        <v>960</v>
      </c>
      <c r="D789" s="266" t="s">
        <v>237</v>
      </c>
      <c r="E789" s="267" t="s">
        <v>1846</v>
      </c>
      <c r="F789" s="268"/>
      <c r="G789" s="269">
        <v>15000.0</v>
      </c>
      <c r="H789" s="270">
        <v>0.0</v>
      </c>
      <c r="I789" s="269">
        <v>15000.0</v>
      </c>
      <c r="J789" s="271">
        <v>15000.0</v>
      </c>
      <c r="K789" s="272">
        <f t="shared" si="2"/>
        <v>0</v>
      </c>
      <c r="L789" s="273"/>
      <c r="M789" s="273"/>
      <c r="N789" s="273"/>
    </row>
    <row r="790" ht="26.25" customHeight="1">
      <c r="A790" s="274"/>
      <c r="B790" s="264">
        <v>45813.0</v>
      </c>
      <c r="C790" s="265" t="s">
        <v>974</v>
      </c>
      <c r="D790" s="282"/>
      <c r="E790" s="267" t="s">
        <v>1933</v>
      </c>
      <c r="F790" s="268"/>
      <c r="G790" s="269">
        <v>15000.0</v>
      </c>
      <c r="H790" s="270">
        <v>0.0</v>
      </c>
      <c r="I790" s="269">
        <v>15000.0</v>
      </c>
      <c r="J790" s="271">
        <v>15000.0</v>
      </c>
      <c r="K790" s="272">
        <f t="shared" si="2"/>
        <v>0</v>
      </c>
      <c r="L790" s="273"/>
      <c r="M790" s="273"/>
      <c r="N790" s="273"/>
    </row>
    <row r="791" ht="26.25" customHeight="1">
      <c r="A791" s="290"/>
      <c r="B791" s="264">
        <v>45813.0</v>
      </c>
      <c r="C791" s="265" t="s">
        <v>974</v>
      </c>
      <c r="D791" s="266" t="s">
        <v>1863</v>
      </c>
      <c r="E791" s="267" t="s">
        <v>1933</v>
      </c>
      <c r="F791" s="289"/>
      <c r="G791" s="269">
        <v>5000.0</v>
      </c>
      <c r="H791" s="270">
        <v>0.0</v>
      </c>
      <c r="I791" s="269">
        <v>5000.0</v>
      </c>
      <c r="J791" s="271">
        <v>5000.0</v>
      </c>
      <c r="K791" s="272">
        <f t="shared" si="2"/>
        <v>0</v>
      </c>
      <c r="L791" s="290"/>
      <c r="M791" s="290"/>
      <c r="N791" s="290"/>
    </row>
    <row r="792" ht="26.25" customHeight="1">
      <c r="A792" s="288" t="s">
        <v>1934</v>
      </c>
      <c r="B792" s="264">
        <v>45814.0</v>
      </c>
      <c r="C792" s="265" t="s">
        <v>965</v>
      </c>
      <c r="D792" s="266" t="s">
        <v>1029</v>
      </c>
      <c r="E792" s="267" t="s">
        <v>1935</v>
      </c>
      <c r="F792" s="289"/>
      <c r="G792" s="269">
        <v>560000.0</v>
      </c>
      <c r="H792" s="270">
        <v>0.0</v>
      </c>
      <c r="I792" s="269">
        <v>560000.0</v>
      </c>
      <c r="J792" s="271">
        <v>560000.0</v>
      </c>
      <c r="K792" s="272">
        <f t="shared" si="2"/>
        <v>0</v>
      </c>
      <c r="L792" s="290"/>
      <c r="M792" s="290"/>
      <c r="N792" s="290"/>
    </row>
    <row r="793" ht="26.25" customHeight="1">
      <c r="A793" s="290"/>
      <c r="B793" s="264">
        <v>45814.0</v>
      </c>
      <c r="C793" s="265" t="s">
        <v>974</v>
      </c>
      <c r="D793" s="266" t="s">
        <v>1029</v>
      </c>
      <c r="E793" s="267" t="s">
        <v>1814</v>
      </c>
      <c r="F793" s="289"/>
      <c r="G793" s="269">
        <v>78000.0</v>
      </c>
      <c r="H793" s="270">
        <v>0.0</v>
      </c>
      <c r="I793" s="269">
        <v>78000.0</v>
      </c>
      <c r="J793" s="271">
        <v>78000.0</v>
      </c>
      <c r="K793" s="272">
        <f t="shared" si="2"/>
        <v>0</v>
      </c>
      <c r="L793" s="290"/>
      <c r="M793" s="290"/>
      <c r="N793" s="290"/>
    </row>
    <row r="794" ht="26.25" customHeight="1">
      <c r="A794" s="298"/>
      <c r="B794" s="264">
        <v>45814.0</v>
      </c>
      <c r="C794" s="265" t="s">
        <v>960</v>
      </c>
      <c r="D794" s="266" t="s">
        <v>1872</v>
      </c>
      <c r="E794" s="267" t="s">
        <v>1936</v>
      </c>
      <c r="F794" s="289"/>
      <c r="G794" s="269">
        <v>25000.0</v>
      </c>
      <c r="H794" s="270">
        <v>0.0</v>
      </c>
      <c r="I794" s="269">
        <v>25000.0</v>
      </c>
      <c r="J794" s="271">
        <v>25000.0</v>
      </c>
      <c r="K794" s="272">
        <f t="shared" si="2"/>
        <v>0</v>
      </c>
      <c r="L794" s="290"/>
      <c r="M794" s="290"/>
      <c r="N794" s="290"/>
    </row>
    <row r="795" ht="26.25" customHeight="1">
      <c r="A795" s="290"/>
      <c r="B795" s="264">
        <v>45814.0</v>
      </c>
      <c r="C795" s="265" t="s">
        <v>974</v>
      </c>
      <c r="D795" s="266" t="s">
        <v>31</v>
      </c>
      <c r="E795" s="267" t="s">
        <v>1937</v>
      </c>
      <c r="F795" s="289"/>
      <c r="G795" s="269">
        <v>25000.0</v>
      </c>
      <c r="H795" s="270">
        <v>0.0</v>
      </c>
      <c r="I795" s="269">
        <v>25000.0</v>
      </c>
      <c r="J795" s="271">
        <v>25000.0</v>
      </c>
      <c r="K795" s="272">
        <f t="shared" si="2"/>
        <v>0</v>
      </c>
      <c r="L795" s="290"/>
      <c r="M795" s="290"/>
      <c r="N795" s="290"/>
    </row>
    <row r="796" ht="26.25" customHeight="1">
      <c r="A796" s="290"/>
      <c r="B796" s="264">
        <v>45815.0</v>
      </c>
      <c r="C796" s="265" t="s">
        <v>974</v>
      </c>
      <c r="D796" s="266" t="s">
        <v>224</v>
      </c>
      <c r="E796" s="267" t="s">
        <v>1938</v>
      </c>
      <c r="F796" s="289"/>
      <c r="G796" s="269">
        <v>40000.0</v>
      </c>
      <c r="H796" s="270">
        <v>0.0</v>
      </c>
      <c r="I796" s="269">
        <v>40000.0</v>
      </c>
      <c r="J796" s="271">
        <v>40000.0</v>
      </c>
      <c r="K796" s="272">
        <f t="shared" si="2"/>
        <v>0</v>
      </c>
      <c r="L796" s="290"/>
      <c r="M796" s="290"/>
      <c r="N796" s="290"/>
    </row>
    <row r="797" ht="26.25" customHeight="1">
      <c r="A797" s="288" t="s">
        <v>1939</v>
      </c>
      <c r="B797" s="264">
        <v>45817.0</v>
      </c>
      <c r="C797" s="265" t="s">
        <v>965</v>
      </c>
      <c r="D797" s="266" t="s">
        <v>1029</v>
      </c>
      <c r="E797" s="267" t="s">
        <v>980</v>
      </c>
      <c r="F797" s="289"/>
      <c r="G797" s="269">
        <v>463000.0</v>
      </c>
      <c r="H797" s="270">
        <v>0.0</v>
      </c>
      <c r="I797" s="269">
        <v>463000.0</v>
      </c>
      <c r="J797" s="271">
        <v>463000.0</v>
      </c>
      <c r="K797" s="272">
        <f t="shared" si="2"/>
        <v>0</v>
      </c>
      <c r="L797" s="290"/>
      <c r="M797" s="290"/>
      <c r="N797" s="290"/>
    </row>
    <row r="798" ht="26.25" customHeight="1">
      <c r="A798" s="277" t="s">
        <v>1940</v>
      </c>
      <c r="B798" s="264">
        <v>45817.0</v>
      </c>
      <c r="C798" s="265" t="s">
        <v>965</v>
      </c>
      <c r="D798" s="266" t="s">
        <v>1029</v>
      </c>
      <c r="E798" s="267" t="s">
        <v>1285</v>
      </c>
      <c r="F798" s="289"/>
      <c r="G798" s="269">
        <v>50000.0</v>
      </c>
      <c r="H798" s="270">
        <v>0.0</v>
      </c>
      <c r="I798" s="269">
        <v>50000.0</v>
      </c>
      <c r="J798" s="271">
        <v>50000.0</v>
      </c>
      <c r="K798" s="272">
        <f t="shared" si="2"/>
        <v>0</v>
      </c>
      <c r="L798" s="290"/>
      <c r="M798" s="290"/>
      <c r="N798" s="290"/>
    </row>
    <row r="799" ht="26.25" customHeight="1">
      <c r="A799" s="290"/>
      <c r="B799" s="264">
        <v>45817.0</v>
      </c>
      <c r="C799" s="265" t="s">
        <v>963</v>
      </c>
      <c r="D799" s="266" t="s">
        <v>824</v>
      </c>
      <c r="E799" s="267" t="s">
        <v>1941</v>
      </c>
      <c r="F799" s="289"/>
      <c r="G799" s="269">
        <v>16000.0</v>
      </c>
      <c r="H799" s="270">
        <v>0.0</v>
      </c>
      <c r="I799" s="269">
        <v>16000.0</v>
      </c>
      <c r="J799" s="271">
        <v>16000.0</v>
      </c>
      <c r="K799" s="272">
        <f t="shared" si="2"/>
        <v>0</v>
      </c>
      <c r="L799" s="290"/>
      <c r="M799" s="290"/>
      <c r="N799" s="290"/>
    </row>
    <row r="800" ht="26.25" customHeight="1">
      <c r="A800" s="290"/>
      <c r="B800" s="264">
        <v>45817.0</v>
      </c>
      <c r="C800" s="265" t="s">
        <v>960</v>
      </c>
      <c r="D800" s="266" t="s">
        <v>1340</v>
      </c>
      <c r="E800" s="267" t="s">
        <v>1942</v>
      </c>
      <c r="F800" s="289"/>
      <c r="G800" s="269">
        <v>10000.0</v>
      </c>
      <c r="H800" s="270">
        <v>0.0</v>
      </c>
      <c r="I800" s="269">
        <v>10000.0</v>
      </c>
      <c r="J800" s="271">
        <v>10000.0</v>
      </c>
      <c r="K800" s="272">
        <f t="shared" si="2"/>
        <v>0</v>
      </c>
      <c r="L800" s="290"/>
      <c r="M800" s="290"/>
      <c r="N800" s="290"/>
    </row>
    <row r="801" ht="26.25" customHeight="1">
      <c r="A801" s="273"/>
      <c r="B801" s="264">
        <v>45817.0</v>
      </c>
      <c r="C801" s="275" t="s">
        <v>960</v>
      </c>
      <c r="D801" s="266" t="s">
        <v>20</v>
      </c>
      <c r="E801" s="267" t="s">
        <v>1943</v>
      </c>
      <c r="F801" s="268"/>
      <c r="G801" s="269">
        <v>10000.0</v>
      </c>
      <c r="H801" s="270">
        <v>0.0</v>
      </c>
      <c r="I801" s="269">
        <v>10000.0</v>
      </c>
      <c r="J801" s="271">
        <v>10000.0</v>
      </c>
      <c r="K801" s="272">
        <f t="shared" si="2"/>
        <v>0</v>
      </c>
      <c r="L801" s="273"/>
      <c r="M801" s="273"/>
      <c r="N801" s="273"/>
    </row>
    <row r="802" ht="26.25" customHeight="1">
      <c r="A802" s="273"/>
      <c r="B802" s="264">
        <v>45817.0</v>
      </c>
      <c r="C802" s="275" t="s">
        <v>960</v>
      </c>
      <c r="D802" s="266" t="s">
        <v>1340</v>
      </c>
      <c r="E802" s="267" t="s">
        <v>1944</v>
      </c>
      <c r="F802" s="268"/>
      <c r="G802" s="269">
        <v>5000.0</v>
      </c>
      <c r="H802" s="270">
        <v>0.0</v>
      </c>
      <c r="I802" s="269">
        <v>5000.0</v>
      </c>
      <c r="J802" s="271">
        <v>5000.0</v>
      </c>
      <c r="K802" s="272">
        <f t="shared" si="2"/>
        <v>0</v>
      </c>
      <c r="L802" s="273"/>
      <c r="M802" s="273"/>
      <c r="N802" s="273"/>
    </row>
    <row r="803" ht="26.25" customHeight="1">
      <c r="A803" s="273"/>
      <c r="B803" s="264">
        <v>45817.0</v>
      </c>
      <c r="C803" s="275" t="s">
        <v>974</v>
      </c>
      <c r="D803" s="266" t="s">
        <v>1029</v>
      </c>
      <c r="E803" s="267" t="s">
        <v>1945</v>
      </c>
      <c r="F803" s="268"/>
      <c r="G803" s="269">
        <v>5000.0</v>
      </c>
      <c r="H803" s="270">
        <v>0.0</v>
      </c>
      <c r="I803" s="269">
        <v>5000.0</v>
      </c>
      <c r="J803" s="271">
        <v>5000.0</v>
      </c>
      <c r="K803" s="272">
        <f t="shared" si="2"/>
        <v>0</v>
      </c>
      <c r="L803" s="273"/>
      <c r="M803" s="273"/>
      <c r="N803" s="273"/>
    </row>
    <row r="804" ht="26.25" customHeight="1">
      <c r="A804" s="290"/>
      <c r="B804" s="264">
        <v>45818.0</v>
      </c>
      <c r="C804" s="265" t="s">
        <v>974</v>
      </c>
      <c r="D804" s="266" t="s">
        <v>45</v>
      </c>
      <c r="E804" s="267" t="s">
        <v>1946</v>
      </c>
      <c r="F804" s="289"/>
      <c r="G804" s="269">
        <v>105000.0</v>
      </c>
      <c r="H804" s="270">
        <v>0.0</v>
      </c>
      <c r="I804" s="269">
        <v>105000.0</v>
      </c>
      <c r="J804" s="271">
        <v>105000.0</v>
      </c>
      <c r="K804" s="272">
        <f t="shared" si="2"/>
        <v>0</v>
      </c>
      <c r="L804" s="290"/>
      <c r="M804" s="290"/>
      <c r="N804" s="290"/>
    </row>
    <row r="805" ht="26.25" customHeight="1">
      <c r="A805" s="290"/>
      <c r="B805" s="264">
        <v>45818.0</v>
      </c>
      <c r="C805" s="265" t="s">
        <v>974</v>
      </c>
      <c r="D805" s="266" t="s">
        <v>31</v>
      </c>
      <c r="E805" s="267" t="s">
        <v>1947</v>
      </c>
      <c r="F805" s="289"/>
      <c r="G805" s="269">
        <v>80000.0</v>
      </c>
      <c r="H805" s="270">
        <v>0.0</v>
      </c>
      <c r="I805" s="269">
        <v>80000.0</v>
      </c>
      <c r="J805" s="271">
        <v>80000.0</v>
      </c>
      <c r="K805" s="272">
        <f t="shared" si="2"/>
        <v>0</v>
      </c>
      <c r="L805" s="290"/>
      <c r="M805" s="290"/>
      <c r="N805" s="290"/>
    </row>
    <row r="806" ht="26.25" customHeight="1">
      <c r="A806" s="273"/>
      <c r="B806" s="264">
        <v>45818.0</v>
      </c>
      <c r="C806" s="275" t="s">
        <v>974</v>
      </c>
      <c r="D806" s="266" t="s">
        <v>1863</v>
      </c>
      <c r="E806" s="267" t="s">
        <v>1948</v>
      </c>
      <c r="F806" s="268"/>
      <c r="G806" s="269">
        <v>30000.0</v>
      </c>
      <c r="H806" s="270">
        <v>0.0</v>
      </c>
      <c r="I806" s="269">
        <v>30000.0</v>
      </c>
      <c r="J806" s="271">
        <v>30000.0</v>
      </c>
      <c r="K806" s="272">
        <f t="shared" si="2"/>
        <v>0</v>
      </c>
      <c r="L806" s="273"/>
      <c r="M806" s="273"/>
      <c r="N806" s="273"/>
    </row>
    <row r="807" ht="26.25" customHeight="1">
      <c r="A807" s="273"/>
      <c r="B807" s="264">
        <v>45818.0</v>
      </c>
      <c r="C807" s="275" t="s">
        <v>974</v>
      </c>
      <c r="D807" s="266" t="s">
        <v>1029</v>
      </c>
      <c r="E807" s="267" t="s">
        <v>1949</v>
      </c>
      <c r="F807" s="268"/>
      <c r="G807" s="269">
        <v>25000.0</v>
      </c>
      <c r="H807" s="270">
        <v>0.0</v>
      </c>
      <c r="I807" s="269">
        <v>25000.0</v>
      </c>
      <c r="J807" s="271">
        <v>25000.0</v>
      </c>
      <c r="K807" s="272">
        <f t="shared" si="2"/>
        <v>0</v>
      </c>
      <c r="L807" s="273"/>
      <c r="M807" s="273"/>
      <c r="N807" s="273"/>
    </row>
    <row r="808" ht="26.25" customHeight="1">
      <c r="A808" s="273"/>
      <c r="B808" s="264">
        <v>45819.0</v>
      </c>
      <c r="C808" s="275" t="s">
        <v>1035</v>
      </c>
      <c r="D808" s="266" t="s">
        <v>45</v>
      </c>
      <c r="E808" s="267" t="s">
        <v>1829</v>
      </c>
      <c r="F808" s="268"/>
      <c r="G808" s="269">
        <v>100000.0</v>
      </c>
      <c r="H808" s="270">
        <v>0.0</v>
      </c>
      <c r="I808" s="269">
        <v>100000.0</v>
      </c>
      <c r="J808" s="271">
        <v>100000.0</v>
      </c>
      <c r="K808" s="272">
        <f t="shared" si="2"/>
        <v>0</v>
      </c>
      <c r="L808" s="273"/>
      <c r="M808" s="273"/>
      <c r="N808" s="273"/>
    </row>
    <row r="809" ht="26.25" customHeight="1">
      <c r="A809" s="273"/>
      <c r="B809" s="264">
        <v>45819.0</v>
      </c>
      <c r="C809" s="275" t="s">
        <v>974</v>
      </c>
      <c r="D809" s="266" t="s">
        <v>824</v>
      </c>
      <c r="E809" s="267" t="s">
        <v>1950</v>
      </c>
      <c r="F809" s="268"/>
      <c r="G809" s="269">
        <v>5000.0</v>
      </c>
      <c r="H809" s="270">
        <v>0.0</v>
      </c>
      <c r="I809" s="269">
        <v>5000.0</v>
      </c>
      <c r="J809" s="271">
        <v>5000.0</v>
      </c>
      <c r="K809" s="272">
        <f t="shared" si="2"/>
        <v>0</v>
      </c>
      <c r="L809" s="273"/>
      <c r="M809" s="273"/>
      <c r="N809" s="273"/>
    </row>
    <row r="810" ht="26.25" customHeight="1">
      <c r="A810" s="273"/>
      <c r="B810" s="264">
        <v>45819.0</v>
      </c>
      <c r="C810" s="275" t="s">
        <v>974</v>
      </c>
      <c r="D810" s="266" t="s">
        <v>1872</v>
      </c>
      <c r="E810" s="267" t="s">
        <v>1631</v>
      </c>
      <c r="F810" s="268"/>
      <c r="G810" s="269">
        <v>4000.0</v>
      </c>
      <c r="H810" s="270">
        <v>0.0</v>
      </c>
      <c r="I810" s="269">
        <v>4000.0</v>
      </c>
      <c r="J810" s="271">
        <v>4000.0</v>
      </c>
      <c r="K810" s="272">
        <f t="shared" si="2"/>
        <v>0</v>
      </c>
      <c r="L810" s="273"/>
      <c r="M810" s="273"/>
      <c r="N810" s="273"/>
    </row>
    <row r="811" ht="26.25" customHeight="1">
      <c r="A811" s="288" t="s">
        <v>1951</v>
      </c>
      <c r="B811" s="264">
        <v>45820.0</v>
      </c>
      <c r="C811" s="265" t="s">
        <v>965</v>
      </c>
      <c r="D811" s="266" t="s">
        <v>1029</v>
      </c>
      <c r="E811" s="267" t="s">
        <v>980</v>
      </c>
      <c r="F811" s="289"/>
      <c r="G811" s="269">
        <v>464000.0</v>
      </c>
      <c r="H811" s="270">
        <v>0.0</v>
      </c>
      <c r="I811" s="269">
        <v>464000.0</v>
      </c>
      <c r="J811" s="271">
        <v>464000.0</v>
      </c>
      <c r="K811" s="272">
        <f t="shared" si="2"/>
        <v>0</v>
      </c>
      <c r="L811" s="290"/>
      <c r="M811" s="290"/>
      <c r="N811" s="290"/>
    </row>
    <row r="812" ht="26.25" customHeight="1">
      <c r="A812" s="290"/>
      <c r="B812" s="264">
        <v>45820.0</v>
      </c>
      <c r="C812" s="265" t="s">
        <v>974</v>
      </c>
      <c r="D812" s="266" t="s">
        <v>1340</v>
      </c>
      <c r="E812" s="267" t="s">
        <v>1952</v>
      </c>
      <c r="F812" s="289"/>
      <c r="G812" s="269">
        <v>120000.0</v>
      </c>
      <c r="H812" s="270">
        <v>0.0</v>
      </c>
      <c r="I812" s="269">
        <v>120000.0</v>
      </c>
      <c r="J812" s="271">
        <v>120000.0</v>
      </c>
      <c r="K812" s="272">
        <f t="shared" si="2"/>
        <v>0</v>
      </c>
      <c r="L812" s="290"/>
      <c r="M812" s="290"/>
      <c r="N812" s="290"/>
    </row>
    <row r="813" ht="26.25" customHeight="1">
      <c r="A813" s="274"/>
      <c r="B813" s="264">
        <v>45820.0</v>
      </c>
      <c r="C813" s="265" t="s">
        <v>974</v>
      </c>
      <c r="D813" s="266" t="s">
        <v>824</v>
      </c>
      <c r="E813" s="267" t="s">
        <v>1953</v>
      </c>
      <c r="F813" s="289"/>
      <c r="G813" s="269">
        <v>25000.0</v>
      </c>
      <c r="H813" s="270">
        <v>0.0</v>
      </c>
      <c r="I813" s="269">
        <v>25000.0</v>
      </c>
      <c r="J813" s="271">
        <v>25000.0</v>
      </c>
      <c r="K813" s="272">
        <f t="shared" si="2"/>
        <v>0</v>
      </c>
      <c r="L813" s="290"/>
      <c r="M813" s="290"/>
      <c r="N813" s="290"/>
    </row>
    <row r="814" ht="26.25" customHeight="1">
      <c r="A814" s="290"/>
      <c r="B814" s="264">
        <v>45820.0</v>
      </c>
      <c r="C814" s="265" t="s">
        <v>974</v>
      </c>
      <c r="D814" s="266" t="s">
        <v>1863</v>
      </c>
      <c r="E814" s="267" t="s">
        <v>1933</v>
      </c>
      <c r="F814" s="289"/>
      <c r="G814" s="269">
        <v>10000.0</v>
      </c>
      <c r="H814" s="270">
        <v>0.0</v>
      </c>
      <c r="I814" s="269">
        <v>10000.0</v>
      </c>
      <c r="J814" s="271">
        <v>10000.0</v>
      </c>
      <c r="K814" s="272">
        <f t="shared" si="2"/>
        <v>0</v>
      </c>
      <c r="L814" s="290"/>
      <c r="M814" s="290"/>
      <c r="N814" s="290"/>
    </row>
    <row r="815" ht="26.25" customHeight="1">
      <c r="A815" s="290"/>
      <c r="B815" s="264">
        <v>45821.0</v>
      </c>
      <c r="C815" s="265" t="s">
        <v>974</v>
      </c>
      <c r="D815" s="266" t="s">
        <v>1340</v>
      </c>
      <c r="E815" s="267" t="s">
        <v>1954</v>
      </c>
      <c r="F815" s="289"/>
      <c r="G815" s="269">
        <v>15000.0</v>
      </c>
      <c r="H815" s="270">
        <v>0.0</v>
      </c>
      <c r="I815" s="269">
        <v>15000.0</v>
      </c>
      <c r="J815" s="271">
        <v>15000.0</v>
      </c>
      <c r="K815" s="272">
        <f t="shared" si="2"/>
        <v>0</v>
      </c>
      <c r="L815" s="290"/>
      <c r="M815" s="290"/>
      <c r="N815" s="290"/>
    </row>
    <row r="816" ht="26.25" customHeight="1">
      <c r="A816" s="277" t="s">
        <v>1955</v>
      </c>
      <c r="B816" s="264">
        <v>45822.0</v>
      </c>
      <c r="C816" s="265" t="s">
        <v>965</v>
      </c>
      <c r="D816" s="266" t="s">
        <v>980</v>
      </c>
      <c r="E816" s="267" t="s">
        <v>980</v>
      </c>
      <c r="F816" s="268"/>
      <c r="G816" s="269">
        <v>1507000.0</v>
      </c>
      <c r="H816" s="270">
        <v>0.0</v>
      </c>
      <c r="I816" s="269">
        <v>1507000.0</v>
      </c>
      <c r="J816" s="271">
        <v>1507000.0</v>
      </c>
      <c r="K816" s="272">
        <f t="shared" si="2"/>
        <v>0</v>
      </c>
      <c r="L816" s="273"/>
      <c r="M816" s="273"/>
      <c r="N816" s="273"/>
    </row>
    <row r="817" ht="26.25" customHeight="1">
      <c r="A817" s="288" t="s">
        <v>1956</v>
      </c>
      <c r="B817" s="264">
        <v>45822.0</v>
      </c>
      <c r="C817" s="265" t="s">
        <v>965</v>
      </c>
      <c r="D817" s="266" t="s">
        <v>824</v>
      </c>
      <c r="E817" s="267" t="s">
        <v>253</v>
      </c>
      <c r="F817" s="289"/>
      <c r="G817" s="269">
        <v>21000.0</v>
      </c>
      <c r="H817" s="270">
        <v>0.0</v>
      </c>
      <c r="I817" s="269">
        <v>21000.0</v>
      </c>
      <c r="J817" s="271">
        <v>21000.0</v>
      </c>
      <c r="K817" s="272">
        <f t="shared" si="2"/>
        <v>0</v>
      </c>
      <c r="L817" s="290"/>
      <c r="M817" s="290"/>
      <c r="N817" s="290"/>
    </row>
    <row r="818" ht="26.25" customHeight="1">
      <c r="A818" s="290"/>
      <c r="B818" s="264">
        <v>45824.0</v>
      </c>
      <c r="C818" s="265" t="s">
        <v>974</v>
      </c>
      <c r="D818" s="266" t="s">
        <v>824</v>
      </c>
      <c r="E818" s="267" t="s">
        <v>1957</v>
      </c>
      <c r="F818" s="289"/>
      <c r="G818" s="269">
        <v>150000.0</v>
      </c>
      <c r="H818" s="270">
        <v>0.0</v>
      </c>
      <c r="I818" s="269">
        <v>150000.0</v>
      </c>
      <c r="J818" s="271">
        <v>150000.0</v>
      </c>
      <c r="K818" s="272">
        <f t="shared" si="2"/>
        <v>0</v>
      </c>
      <c r="L818" s="290"/>
      <c r="M818" s="290"/>
      <c r="N818" s="290"/>
    </row>
    <row r="819" ht="26.25" customHeight="1">
      <c r="A819" s="290"/>
      <c r="B819" s="264">
        <v>45825.0</v>
      </c>
      <c r="C819" s="265" t="s">
        <v>974</v>
      </c>
      <c r="D819" s="266" t="s">
        <v>31</v>
      </c>
      <c r="E819" s="267" t="s">
        <v>1958</v>
      </c>
      <c r="F819" s="289"/>
      <c r="G819" s="269">
        <v>1350000.0</v>
      </c>
      <c r="H819" s="270">
        <v>0.0</v>
      </c>
      <c r="I819" s="269">
        <v>1350000.0</v>
      </c>
      <c r="J819" s="271">
        <v>1350000.0</v>
      </c>
      <c r="K819" s="272">
        <f t="shared" si="2"/>
        <v>0</v>
      </c>
      <c r="L819" s="290"/>
      <c r="M819" s="290"/>
      <c r="N819" s="290"/>
    </row>
    <row r="820" ht="26.25" customHeight="1">
      <c r="A820" s="290"/>
      <c r="B820" s="264">
        <v>45826.0</v>
      </c>
      <c r="C820" s="265" t="s">
        <v>960</v>
      </c>
      <c r="D820" s="266" t="s">
        <v>31</v>
      </c>
      <c r="E820" s="267" t="s">
        <v>1959</v>
      </c>
      <c r="F820" s="289"/>
      <c r="G820" s="269">
        <v>90000.0</v>
      </c>
      <c r="H820" s="270">
        <v>0.0</v>
      </c>
      <c r="I820" s="269">
        <v>90000.0</v>
      </c>
      <c r="J820" s="271">
        <v>90000.0</v>
      </c>
      <c r="K820" s="272">
        <f t="shared" si="2"/>
        <v>0</v>
      </c>
      <c r="L820" s="290"/>
      <c r="M820" s="290"/>
      <c r="N820" s="290"/>
    </row>
    <row r="821" ht="26.25" customHeight="1">
      <c r="A821" s="290"/>
      <c r="B821" s="264">
        <v>45827.0</v>
      </c>
      <c r="C821" s="265" t="s">
        <v>974</v>
      </c>
      <c r="D821" s="266" t="s">
        <v>31</v>
      </c>
      <c r="E821" s="267" t="s">
        <v>1960</v>
      </c>
      <c r="F821" s="289"/>
      <c r="G821" s="269">
        <v>750000.0</v>
      </c>
      <c r="H821" s="270">
        <v>0.0</v>
      </c>
      <c r="I821" s="269">
        <v>750000.0</v>
      </c>
      <c r="J821" s="271">
        <v>750000.0</v>
      </c>
      <c r="K821" s="272">
        <f t="shared" si="2"/>
        <v>0</v>
      </c>
      <c r="L821" s="290"/>
      <c r="M821" s="290"/>
      <c r="N821" s="290"/>
    </row>
    <row r="822" ht="26.25" customHeight="1">
      <c r="A822" s="273"/>
      <c r="B822" s="264">
        <v>45828.0</v>
      </c>
      <c r="C822" s="275" t="s">
        <v>1057</v>
      </c>
      <c r="D822" s="266" t="s">
        <v>1340</v>
      </c>
      <c r="E822" s="267" t="s">
        <v>1961</v>
      </c>
      <c r="F822" s="268"/>
      <c r="G822" s="269">
        <v>210000.0</v>
      </c>
      <c r="H822" s="270">
        <v>0.0</v>
      </c>
      <c r="I822" s="269">
        <v>210000.0</v>
      </c>
      <c r="J822" s="271">
        <v>210000.0</v>
      </c>
      <c r="K822" s="272">
        <f t="shared" si="2"/>
        <v>0</v>
      </c>
      <c r="L822" s="273"/>
      <c r="M822" s="273"/>
      <c r="N822" s="273"/>
    </row>
    <row r="823" ht="26.25" customHeight="1">
      <c r="A823" s="273"/>
      <c r="B823" s="264">
        <v>45828.0</v>
      </c>
      <c r="C823" s="275" t="s">
        <v>974</v>
      </c>
      <c r="D823" s="266" t="s">
        <v>824</v>
      </c>
      <c r="E823" s="267" t="s">
        <v>1962</v>
      </c>
      <c r="F823" s="268"/>
      <c r="G823" s="269">
        <v>145000.0</v>
      </c>
      <c r="H823" s="270">
        <v>0.0</v>
      </c>
      <c r="I823" s="269">
        <v>145000.0</v>
      </c>
      <c r="J823" s="271">
        <v>145000.0</v>
      </c>
      <c r="K823" s="272">
        <f t="shared" si="2"/>
        <v>0</v>
      </c>
      <c r="L823" s="273"/>
      <c r="M823" s="273"/>
      <c r="N823" s="273"/>
    </row>
    <row r="824" ht="26.25" customHeight="1">
      <c r="A824" s="273"/>
      <c r="B824" s="264">
        <v>45828.0</v>
      </c>
      <c r="C824" s="275" t="s">
        <v>974</v>
      </c>
      <c r="D824" s="266" t="s">
        <v>824</v>
      </c>
      <c r="E824" s="267" t="s">
        <v>1963</v>
      </c>
      <c r="F824" s="268"/>
      <c r="G824" s="269">
        <v>140000.0</v>
      </c>
      <c r="H824" s="270">
        <v>0.0</v>
      </c>
      <c r="I824" s="269">
        <v>140000.0</v>
      </c>
      <c r="J824" s="271">
        <v>140000.0</v>
      </c>
      <c r="K824" s="272">
        <f t="shared" si="2"/>
        <v>0</v>
      </c>
      <c r="L824" s="273"/>
      <c r="M824" s="273"/>
      <c r="N824" s="273"/>
    </row>
    <row r="825" ht="26.25" customHeight="1">
      <c r="A825" s="273"/>
      <c r="B825" s="264">
        <v>45828.0</v>
      </c>
      <c r="C825" s="275" t="s">
        <v>974</v>
      </c>
      <c r="D825" s="266" t="s">
        <v>1340</v>
      </c>
      <c r="E825" s="267" t="s">
        <v>1964</v>
      </c>
      <c r="F825" s="268"/>
      <c r="G825" s="269">
        <v>60000.0</v>
      </c>
      <c r="H825" s="270">
        <v>0.0</v>
      </c>
      <c r="I825" s="269">
        <v>60000.0</v>
      </c>
      <c r="J825" s="271">
        <v>60000.0</v>
      </c>
      <c r="K825" s="272">
        <f t="shared" si="2"/>
        <v>0</v>
      </c>
      <c r="L825" s="273"/>
      <c r="M825" s="273"/>
      <c r="N825" s="273"/>
    </row>
    <row r="826" ht="26.25" customHeight="1">
      <c r="A826" s="273"/>
      <c r="B826" s="264">
        <v>45828.0</v>
      </c>
      <c r="C826" s="275" t="s">
        <v>974</v>
      </c>
      <c r="D826" s="266" t="s">
        <v>824</v>
      </c>
      <c r="E826" s="294" t="s">
        <v>1965</v>
      </c>
      <c r="F826" s="268"/>
      <c r="G826" s="269">
        <v>50000.0</v>
      </c>
      <c r="H826" s="270">
        <v>0.0</v>
      </c>
      <c r="I826" s="269">
        <v>50000.0</v>
      </c>
      <c r="J826" s="271">
        <v>50000.0</v>
      </c>
      <c r="K826" s="272">
        <f t="shared" si="2"/>
        <v>0</v>
      </c>
      <c r="L826" s="273"/>
      <c r="M826" s="273"/>
      <c r="N826" s="273"/>
    </row>
    <row r="827" ht="26.25" customHeight="1">
      <c r="A827" s="281" t="s">
        <v>1966</v>
      </c>
      <c r="B827" s="264">
        <v>45828.0</v>
      </c>
      <c r="C827" s="275" t="s">
        <v>974</v>
      </c>
      <c r="D827" s="266" t="s">
        <v>20</v>
      </c>
      <c r="E827" s="267" t="s">
        <v>1967</v>
      </c>
      <c r="F827" s="268"/>
      <c r="G827" s="269">
        <v>40000.0</v>
      </c>
      <c r="H827" s="270">
        <v>0.0</v>
      </c>
      <c r="I827" s="269">
        <v>40000.0</v>
      </c>
      <c r="J827" s="271">
        <v>40000.0</v>
      </c>
      <c r="K827" s="272">
        <f t="shared" si="2"/>
        <v>0</v>
      </c>
      <c r="L827" s="273"/>
      <c r="M827" s="273"/>
      <c r="N827" s="273"/>
    </row>
    <row r="828" ht="26.25" customHeight="1">
      <c r="A828" s="273"/>
      <c r="B828" s="264">
        <v>45828.0</v>
      </c>
      <c r="C828" s="275" t="s">
        <v>974</v>
      </c>
      <c r="D828" s="266" t="s">
        <v>824</v>
      </c>
      <c r="E828" s="294" t="s">
        <v>1968</v>
      </c>
      <c r="F828" s="268"/>
      <c r="G828" s="269">
        <v>35000.0</v>
      </c>
      <c r="H828" s="270">
        <v>0.0</v>
      </c>
      <c r="I828" s="269">
        <v>35000.0</v>
      </c>
      <c r="J828" s="271">
        <v>35000.0</v>
      </c>
      <c r="K828" s="272">
        <f t="shared" si="2"/>
        <v>0</v>
      </c>
      <c r="L828" s="273"/>
      <c r="M828" s="273"/>
      <c r="N828" s="273"/>
    </row>
    <row r="829" ht="26.25" customHeight="1">
      <c r="A829" s="273"/>
      <c r="B829" s="264">
        <v>45828.0</v>
      </c>
      <c r="C829" s="275" t="s">
        <v>974</v>
      </c>
      <c r="D829" s="266" t="s">
        <v>1340</v>
      </c>
      <c r="E829" s="267" t="s">
        <v>1969</v>
      </c>
      <c r="F829" s="268"/>
      <c r="G829" s="269">
        <v>25000.0</v>
      </c>
      <c r="H829" s="270">
        <v>0.0</v>
      </c>
      <c r="I829" s="269">
        <v>25000.0</v>
      </c>
      <c r="J829" s="271">
        <v>25000.0</v>
      </c>
      <c r="K829" s="272">
        <f t="shared" si="2"/>
        <v>0</v>
      </c>
      <c r="L829" s="273"/>
      <c r="M829" s="273"/>
      <c r="N829" s="273"/>
    </row>
    <row r="830" ht="26.25" customHeight="1">
      <c r="A830" s="273"/>
      <c r="B830" s="264">
        <v>45828.0</v>
      </c>
      <c r="C830" s="275" t="s">
        <v>974</v>
      </c>
      <c r="D830" s="266" t="s">
        <v>824</v>
      </c>
      <c r="E830" s="267" t="s">
        <v>1947</v>
      </c>
      <c r="F830" s="268"/>
      <c r="G830" s="269">
        <v>25000.0</v>
      </c>
      <c r="H830" s="270">
        <v>0.0</v>
      </c>
      <c r="I830" s="269">
        <v>25000.0</v>
      </c>
      <c r="J830" s="271">
        <v>25000.0</v>
      </c>
      <c r="K830" s="272">
        <f t="shared" si="2"/>
        <v>0</v>
      </c>
      <c r="L830" s="273"/>
      <c r="M830" s="273"/>
      <c r="N830" s="273"/>
    </row>
    <row r="831" ht="26.25" customHeight="1">
      <c r="A831" s="273"/>
      <c r="B831" s="264">
        <v>45828.0</v>
      </c>
      <c r="C831" s="275" t="s">
        <v>960</v>
      </c>
      <c r="D831" s="266" t="s">
        <v>237</v>
      </c>
      <c r="E831" s="267" t="s">
        <v>1288</v>
      </c>
      <c r="F831" s="268"/>
      <c r="G831" s="269">
        <v>20000.0</v>
      </c>
      <c r="H831" s="270">
        <v>0.0</v>
      </c>
      <c r="I831" s="269">
        <v>20000.0</v>
      </c>
      <c r="J831" s="271">
        <v>20000.0</v>
      </c>
      <c r="K831" s="272">
        <f t="shared" si="2"/>
        <v>0</v>
      </c>
      <c r="L831" s="273"/>
      <c r="M831" s="273"/>
      <c r="N831" s="273"/>
    </row>
    <row r="832" ht="26.25" customHeight="1">
      <c r="A832" s="273"/>
      <c r="B832" s="264">
        <v>45828.0</v>
      </c>
      <c r="C832" s="275" t="s">
        <v>974</v>
      </c>
      <c r="D832" s="266" t="s">
        <v>237</v>
      </c>
      <c r="E832" s="267" t="s">
        <v>1970</v>
      </c>
      <c r="F832" s="268"/>
      <c r="G832" s="269">
        <v>15000.0</v>
      </c>
      <c r="H832" s="270">
        <v>0.0</v>
      </c>
      <c r="I832" s="269">
        <v>15000.0</v>
      </c>
      <c r="J832" s="271">
        <v>15000.0</v>
      </c>
      <c r="K832" s="272">
        <f t="shared" si="2"/>
        <v>0</v>
      </c>
      <c r="L832" s="273"/>
      <c r="M832" s="273"/>
      <c r="N832" s="273"/>
    </row>
    <row r="833" ht="26.25" customHeight="1">
      <c r="A833" s="273"/>
      <c r="B833" s="264">
        <v>45828.0</v>
      </c>
      <c r="C833" s="275" t="s">
        <v>974</v>
      </c>
      <c r="D833" s="266" t="s">
        <v>20</v>
      </c>
      <c r="E833" s="267" t="s">
        <v>1971</v>
      </c>
      <c r="F833" s="268"/>
      <c r="G833" s="269">
        <v>15000.0</v>
      </c>
      <c r="H833" s="270">
        <v>0.0</v>
      </c>
      <c r="I833" s="269">
        <v>15000.0</v>
      </c>
      <c r="J833" s="271">
        <v>15000.0</v>
      </c>
      <c r="K833" s="272">
        <f t="shared" si="2"/>
        <v>0</v>
      </c>
      <c r="L833" s="273"/>
      <c r="M833" s="273"/>
      <c r="N833" s="273"/>
    </row>
    <row r="834" ht="26.25" customHeight="1">
      <c r="A834" s="288" t="s">
        <v>1972</v>
      </c>
      <c r="B834" s="264">
        <v>45828.0</v>
      </c>
      <c r="C834" s="265" t="s">
        <v>965</v>
      </c>
      <c r="D834" s="266" t="s">
        <v>824</v>
      </c>
      <c r="E834" s="267" t="s">
        <v>253</v>
      </c>
      <c r="F834" s="289"/>
      <c r="G834" s="269">
        <v>13000.0</v>
      </c>
      <c r="H834" s="270">
        <v>0.0</v>
      </c>
      <c r="I834" s="269">
        <v>13000.0</v>
      </c>
      <c r="J834" s="271">
        <v>13000.0</v>
      </c>
      <c r="K834" s="272">
        <f t="shared" si="2"/>
        <v>0</v>
      </c>
      <c r="L834" s="290"/>
      <c r="M834" s="290"/>
      <c r="N834" s="290"/>
    </row>
    <row r="835" ht="26.25" customHeight="1">
      <c r="A835" s="290"/>
      <c r="B835" s="264">
        <v>45828.0</v>
      </c>
      <c r="C835" s="265" t="s">
        <v>960</v>
      </c>
      <c r="D835" s="266" t="s">
        <v>824</v>
      </c>
      <c r="E835" s="267" t="s">
        <v>1973</v>
      </c>
      <c r="F835" s="289"/>
      <c r="G835" s="269">
        <v>10000.0</v>
      </c>
      <c r="H835" s="270">
        <v>0.0</v>
      </c>
      <c r="I835" s="269">
        <v>10000.0</v>
      </c>
      <c r="J835" s="271">
        <v>10000.0</v>
      </c>
      <c r="K835" s="272">
        <f t="shared" si="2"/>
        <v>0</v>
      </c>
      <c r="L835" s="290"/>
      <c r="M835" s="290"/>
      <c r="N835" s="290"/>
    </row>
    <row r="836" ht="26.25" customHeight="1">
      <c r="A836" s="290"/>
      <c r="B836" s="264">
        <v>45828.0</v>
      </c>
      <c r="C836" s="265" t="s">
        <v>974</v>
      </c>
      <c r="D836" s="266" t="s">
        <v>1029</v>
      </c>
      <c r="E836" s="267" t="s">
        <v>1974</v>
      </c>
      <c r="F836" s="289"/>
      <c r="G836" s="269">
        <v>10000.0</v>
      </c>
      <c r="H836" s="270">
        <v>0.0</v>
      </c>
      <c r="I836" s="269">
        <v>10000.0</v>
      </c>
      <c r="J836" s="271">
        <v>10000.0</v>
      </c>
      <c r="K836" s="272">
        <f t="shared" si="2"/>
        <v>0</v>
      </c>
      <c r="L836" s="290"/>
      <c r="M836" s="290"/>
      <c r="N836" s="290"/>
    </row>
    <row r="837" ht="26.25" customHeight="1">
      <c r="A837" s="274"/>
      <c r="B837" s="264">
        <v>45828.0</v>
      </c>
      <c r="C837" s="265" t="s">
        <v>974</v>
      </c>
      <c r="D837" s="266" t="s">
        <v>824</v>
      </c>
      <c r="E837" s="267" t="s">
        <v>1807</v>
      </c>
      <c r="F837" s="289"/>
      <c r="G837" s="269">
        <v>10000.0</v>
      </c>
      <c r="H837" s="270">
        <v>0.0</v>
      </c>
      <c r="I837" s="269">
        <v>10000.0</v>
      </c>
      <c r="J837" s="271">
        <v>10000.0</v>
      </c>
      <c r="K837" s="272">
        <f t="shared" si="2"/>
        <v>0</v>
      </c>
      <c r="L837" s="290"/>
      <c r="M837" s="290"/>
      <c r="N837" s="290"/>
    </row>
    <row r="838" ht="26.25" customHeight="1">
      <c r="A838" s="290"/>
      <c r="B838" s="264">
        <v>45828.0</v>
      </c>
      <c r="C838" s="265" t="s">
        <v>960</v>
      </c>
      <c r="D838" s="266" t="s">
        <v>1872</v>
      </c>
      <c r="E838" s="267" t="s">
        <v>1975</v>
      </c>
      <c r="F838" s="289"/>
      <c r="G838" s="269">
        <v>5000.0</v>
      </c>
      <c r="H838" s="270">
        <v>0.0</v>
      </c>
      <c r="I838" s="269">
        <v>5000.0</v>
      </c>
      <c r="J838" s="271">
        <v>5000.0</v>
      </c>
      <c r="K838" s="272">
        <f t="shared" si="2"/>
        <v>0</v>
      </c>
      <c r="L838" s="290"/>
      <c r="M838" s="290"/>
      <c r="N838" s="290"/>
    </row>
    <row r="839" ht="26.25" customHeight="1">
      <c r="A839" s="290"/>
      <c r="B839" s="264">
        <v>45828.0</v>
      </c>
      <c r="C839" s="265" t="s">
        <v>974</v>
      </c>
      <c r="D839" s="266" t="s">
        <v>824</v>
      </c>
      <c r="E839" s="267" t="s">
        <v>1965</v>
      </c>
      <c r="F839" s="289"/>
      <c r="G839" s="269">
        <v>5000.0</v>
      </c>
      <c r="H839" s="270">
        <v>0.0</v>
      </c>
      <c r="I839" s="269">
        <v>5000.0</v>
      </c>
      <c r="J839" s="271">
        <v>5000.0</v>
      </c>
      <c r="K839" s="272">
        <f t="shared" si="2"/>
        <v>0</v>
      </c>
      <c r="L839" s="290"/>
      <c r="M839" s="290"/>
      <c r="N839" s="290"/>
    </row>
    <row r="840" ht="26.25" customHeight="1">
      <c r="A840" s="273"/>
      <c r="B840" s="296">
        <v>45828.0</v>
      </c>
      <c r="C840" s="303" t="s">
        <v>974</v>
      </c>
      <c r="D840" s="266" t="s">
        <v>824</v>
      </c>
      <c r="E840" s="267" t="s">
        <v>1563</v>
      </c>
      <c r="F840" s="268"/>
      <c r="G840" s="269">
        <v>4000.0</v>
      </c>
      <c r="H840" s="270">
        <v>0.0</v>
      </c>
      <c r="I840" s="269">
        <v>4000.0</v>
      </c>
      <c r="J840" s="271">
        <v>4000.0</v>
      </c>
      <c r="K840" s="272">
        <f t="shared" si="2"/>
        <v>0</v>
      </c>
      <c r="L840" s="273"/>
      <c r="M840" s="273"/>
      <c r="N840" s="273"/>
    </row>
    <row r="841" ht="26.25" customHeight="1">
      <c r="A841" s="273"/>
      <c r="B841" s="264">
        <v>45829.0</v>
      </c>
      <c r="C841" s="275" t="s">
        <v>1057</v>
      </c>
      <c r="D841" s="266" t="s">
        <v>31</v>
      </c>
      <c r="E841" s="267" t="s">
        <v>1453</v>
      </c>
      <c r="F841" s="268"/>
      <c r="G841" s="269">
        <v>100000.0</v>
      </c>
      <c r="H841" s="270">
        <v>0.0</v>
      </c>
      <c r="I841" s="269">
        <v>100000.0</v>
      </c>
      <c r="J841" s="271">
        <v>100000.0</v>
      </c>
      <c r="K841" s="272">
        <f t="shared" si="2"/>
        <v>0</v>
      </c>
      <c r="L841" s="273"/>
      <c r="M841" s="273"/>
      <c r="N841" s="273"/>
    </row>
    <row r="842" ht="26.25" customHeight="1">
      <c r="A842" s="273"/>
      <c r="B842" s="264">
        <v>45829.0</v>
      </c>
      <c r="C842" s="275" t="s">
        <v>974</v>
      </c>
      <c r="D842" s="266" t="s">
        <v>31</v>
      </c>
      <c r="E842" s="267" t="s">
        <v>1976</v>
      </c>
      <c r="F842" s="268"/>
      <c r="G842" s="269">
        <v>60000.0</v>
      </c>
      <c r="H842" s="270">
        <v>0.0</v>
      </c>
      <c r="I842" s="269">
        <v>60000.0</v>
      </c>
      <c r="J842" s="271">
        <v>60000.0</v>
      </c>
      <c r="K842" s="272">
        <f t="shared" si="2"/>
        <v>0</v>
      </c>
      <c r="L842" s="273"/>
      <c r="M842" s="273"/>
      <c r="N842" s="273"/>
    </row>
    <row r="843" ht="26.25" customHeight="1">
      <c r="A843" s="290"/>
      <c r="B843" s="264">
        <v>45829.0</v>
      </c>
      <c r="C843" s="265" t="s">
        <v>974</v>
      </c>
      <c r="D843" s="266" t="s">
        <v>237</v>
      </c>
      <c r="E843" s="267" t="s">
        <v>1977</v>
      </c>
      <c r="F843" s="289"/>
      <c r="G843" s="269">
        <v>40000.0</v>
      </c>
      <c r="H843" s="270">
        <v>0.0</v>
      </c>
      <c r="I843" s="269">
        <v>40000.0</v>
      </c>
      <c r="J843" s="271">
        <v>40000.0</v>
      </c>
      <c r="K843" s="272">
        <f t="shared" si="2"/>
        <v>0</v>
      </c>
      <c r="L843" s="290"/>
      <c r="M843" s="290"/>
      <c r="N843" s="290"/>
    </row>
    <row r="844" ht="26.25" customHeight="1">
      <c r="A844" s="274"/>
      <c r="B844" s="264">
        <v>45829.0</v>
      </c>
      <c r="C844" s="265" t="s">
        <v>974</v>
      </c>
      <c r="D844" s="266" t="s">
        <v>1029</v>
      </c>
      <c r="E844" s="267" t="s">
        <v>1978</v>
      </c>
      <c r="F844" s="268"/>
      <c r="G844" s="269">
        <v>15000.0</v>
      </c>
      <c r="H844" s="270">
        <v>0.0</v>
      </c>
      <c r="I844" s="269">
        <v>15000.0</v>
      </c>
      <c r="J844" s="271">
        <v>15000.0</v>
      </c>
      <c r="K844" s="272">
        <f t="shared" si="2"/>
        <v>0</v>
      </c>
      <c r="L844" s="273"/>
      <c r="M844" s="273"/>
      <c r="N844" s="273"/>
    </row>
    <row r="845" ht="26.25" customHeight="1">
      <c r="A845" s="290"/>
      <c r="B845" s="264">
        <v>45829.0</v>
      </c>
      <c r="C845" s="265" t="s">
        <v>974</v>
      </c>
      <c r="D845" s="266" t="s">
        <v>1872</v>
      </c>
      <c r="E845" s="267" t="s">
        <v>1979</v>
      </c>
      <c r="F845" s="289"/>
      <c r="G845" s="269">
        <v>7500.0</v>
      </c>
      <c r="H845" s="270">
        <v>0.0</v>
      </c>
      <c r="I845" s="269">
        <v>7500.0</v>
      </c>
      <c r="J845" s="271">
        <v>7500.0</v>
      </c>
      <c r="K845" s="272">
        <f t="shared" si="2"/>
        <v>0</v>
      </c>
      <c r="L845" s="290"/>
      <c r="M845" s="290"/>
      <c r="N845" s="290"/>
    </row>
    <row r="846" ht="26.25" customHeight="1">
      <c r="A846" s="290"/>
      <c r="B846" s="264">
        <v>45832.0</v>
      </c>
      <c r="C846" s="265" t="s">
        <v>1057</v>
      </c>
      <c r="D846" s="266" t="s">
        <v>824</v>
      </c>
      <c r="E846" s="267" t="s">
        <v>1875</v>
      </c>
      <c r="F846" s="289"/>
      <c r="G846" s="269">
        <v>200000.0</v>
      </c>
      <c r="H846" s="270">
        <v>0.0</v>
      </c>
      <c r="I846" s="269">
        <v>200000.0</v>
      </c>
      <c r="J846" s="271">
        <v>200000.0</v>
      </c>
      <c r="K846" s="272">
        <f t="shared" si="2"/>
        <v>0</v>
      </c>
      <c r="L846" s="290"/>
      <c r="M846" s="290"/>
      <c r="N846" s="290"/>
    </row>
    <row r="847" ht="26.25" customHeight="1">
      <c r="A847" s="290"/>
      <c r="B847" s="264">
        <v>45832.0</v>
      </c>
      <c r="C847" s="265" t="s">
        <v>1057</v>
      </c>
      <c r="D847" s="266" t="s">
        <v>824</v>
      </c>
      <c r="E847" s="267" t="s">
        <v>1980</v>
      </c>
      <c r="F847" s="289"/>
      <c r="G847" s="269">
        <v>170000.0</v>
      </c>
      <c r="H847" s="270">
        <v>0.0</v>
      </c>
      <c r="I847" s="269">
        <v>170000.0</v>
      </c>
      <c r="J847" s="271">
        <v>170000.0</v>
      </c>
      <c r="K847" s="272">
        <f t="shared" si="2"/>
        <v>0</v>
      </c>
      <c r="L847" s="290"/>
      <c r="M847" s="290"/>
      <c r="N847" s="290"/>
    </row>
    <row r="848" ht="26.25" customHeight="1">
      <c r="A848" s="274"/>
      <c r="B848" s="264">
        <v>45832.0</v>
      </c>
      <c r="C848" s="265" t="s">
        <v>974</v>
      </c>
      <c r="D848" s="266" t="s">
        <v>824</v>
      </c>
      <c r="E848" s="267" t="s">
        <v>1759</v>
      </c>
      <c r="F848" s="289"/>
      <c r="G848" s="269">
        <v>120000.0</v>
      </c>
      <c r="H848" s="270">
        <v>0.0</v>
      </c>
      <c r="I848" s="269">
        <v>120000.0</v>
      </c>
      <c r="J848" s="271">
        <v>120000.0</v>
      </c>
      <c r="K848" s="272">
        <f t="shared" si="2"/>
        <v>0</v>
      </c>
      <c r="L848" s="290"/>
      <c r="M848" s="290"/>
      <c r="N848" s="290"/>
    </row>
    <row r="849" ht="26.25" customHeight="1">
      <c r="A849" s="273"/>
      <c r="B849" s="264">
        <v>45832.0</v>
      </c>
      <c r="C849" s="275" t="s">
        <v>960</v>
      </c>
      <c r="D849" s="266" t="s">
        <v>824</v>
      </c>
      <c r="E849" s="267" t="s">
        <v>1947</v>
      </c>
      <c r="F849" s="268"/>
      <c r="G849" s="269">
        <v>90000.0</v>
      </c>
      <c r="H849" s="270">
        <v>0.0</v>
      </c>
      <c r="I849" s="269">
        <v>90000.0</v>
      </c>
      <c r="J849" s="271">
        <v>90000.0</v>
      </c>
      <c r="K849" s="272">
        <f t="shared" si="2"/>
        <v>0</v>
      </c>
      <c r="L849" s="273"/>
      <c r="M849" s="273"/>
      <c r="N849" s="273"/>
    </row>
    <row r="850" ht="26.25" customHeight="1">
      <c r="A850" s="273"/>
      <c r="B850" s="264">
        <v>45832.0</v>
      </c>
      <c r="C850" s="275" t="s">
        <v>960</v>
      </c>
      <c r="D850" s="266" t="s">
        <v>1340</v>
      </c>
      <c r="E850" s="294" t="s">
        <v>1328</v>
      </c>
      <c r="F850" s="268"/>
      <c r="G850" s="269">
        <v>80000.0</v>
      </c>
      <c r="H850" s="270">
        <v>0.0</v>
      </c>
      <c r="I850" s="269">
        <v>80000.0</v>
      </c>
      <c r="J850" s="271">
        <v>80000.0</v>
      </c>
      <c r="K850" s="272">
        <f t="shared" si="2"/>
        <v>0</v>
      </c>
      <c r="L850" s="273"/>
      <c r="M850" s="273"/>
      <c r="N850" s="273"/>
    </row>
    <row r="851" ht="26.25" customHeight="1">
      <c r="A851" s="273"/>
      <c r="B851" s="264">
        <v>45832.0</v>
      </c>
      <c r="C851" s="275" t="s">
        <v>963</v>
      </c>
      <c r="D851" s="266" t="s">
        <v>824</v>
      </c>
      <c r="E851" s="267" t="s">
        <v>1981</v>
      </c>
      <c r="F851" s="268"/>
      <c r="G851" s="269">
        <v>40000.0</v>
      </c>
      <c r="H851" s="270">
        <v>0.0</v>
      </c>
      <c r="I851" s="269">
        <v>40000.0</v>
      </c>
      <c r="J851" s="271">
        <v>40000.0</v>
      </c>
      <c r="K851" s="272">
        <f t="shared" si="2"/>
        <v>0</v>
      </c>
      <c r="L851" s="273"/>
      <c r="M851" s="273"/>
      <c r="N851" s="273"/>
    </row>
    <row r="852" ht="26.25" customHeight="1">
      <c r="A852" s="274"/>
      <c r="B852" s="264">
        <v>45832.0</v>
      </c>
      <c r="C852" s="265" t="s">
        <v>974</v>
      </c>
      <c r="D852" s="266" t="s">
        <v>824</v>
      </c>
      <c r="E852" s="267" t="s">
        <v>1982</v>
      </c>
      <c r="F852" s="289"/>
      <c r="G852" s="269">
        <v>35000.0</v>
      </c>
      <c r="H852" s="270">
        <v>0.0</v>
      </c>
      <c r="I852" s="269">
        <v>35000.0</v>
      </c>
      <c r="J852" s="271">
        <v>35000.0</v>
      </c>
      <c r="K852" s="272">
        <f t="shared" si="2"/>
        <v>0</v>
      </c>
      <c r="L852" s="290"/>
      <c r="M852" s="290"/>
      <c r="N852" s="290"/>
    </row>
    <row r="853" ht="26.25" customHeight="1">
      <c r="A853" s="274"/>
      <c r="B853" s="264">
        <v>45832.0</v>
      </c>
      <c r="C853" s="265" t="s">
        <v>960</v>
      </c>
      <c r="D853" s="266" t="s">
        <v>824</v>
      </c>
      <c r="E853" s="267" t="s">
        <v>1983</v>
      </c>
      <c r="F853" s="289"/>
      <c r="G853" s="269">
        <v>30000.0</v>
      </c>
      <c r="H853" s="270">
        <v>0.0</v>
      </c>
      <c r="I853" s="269">
        <v>30000.0</v>
      </c>
      <c r="J853" s="271">
        <v>30000.0</v>
      </c>
      <c r="K853" s="272">
        <f t="shared" si="2"/>
        <v>0</v>
      </c>
      <c r="L853" s="290"/>
      <c r="M853" s="290"/>
      <c r="N853" s="290"/>
    </row>
    <row r="854" ht="26.25" customHeight="1">
      <c r="A854" s="274"/>
      <c r="B854" s="264">
        <v>45832.0</v>
      </c>
      <c r="C854" s="265" t="s">
        <v>960</v>
      </c>
      <c r="D854" s="266" t="s">
        <v>237</v>
      </c>
      <c r="E854" s="267" t="s">
        <v>1984</v>
      </c>
      <c r="F854" s="268"/>
      <c r="G854" s="269">
        <v>10000.0</v>
      </c>
      <c r="H854" s="270">
        <v>0.0</v>
      </c>
      <c r="I854" s="269">
        <v>10000.0</v>
      </c>
      <c r="J854" s="271">
        <v>10000.0</v>
      </c>
      <c r="K854" s="272">
        <f t="shared" si="2"/>
        <v>0</v>
      </c>
      <c r="L854" s="273"/>
      <c r="M854" s="273"/>
      <c r="N854" s="273"/>
    </row>
    <row r="855" ht="26.25" customHeight="1">
      <c r="A855" s="290"/>
      <c r="B855" s="264">
        <v>45832.0</v>
      </c>
      <c r="C855" s="265" t="s">
        <v>974</v>
      </c>
      <c r="D855" s="266" t="s">
        <v>824</v>
      </c>
      <c r="E855" s="267" t="s">
        <v>1970</v>
      </c>
      <c r="F855" s="289"/>
      <c r="G855" s="269">
        <v>10000.0</v>
      </c>
      <c r="H855" s="270">
        <v>0.0</v>
      </c>
      <c r="I855" s="269">
        <v>10000.0</v>
      </c>
      <c r="J855" s="271">
        <v>10000.0</v>
      </c>
      <c r="K855" s="272">
        <f t="shared" si="2"/>
        <v>0</v>
      </c>
      <c r="L855" s="290"/>
      <c r="M855" s="290"/>
      <c r="N855" s="290"/>
    </row>
    <row r="856" ht="26.25" customHeight="1">
      <c r="A856" s="288" t="s">
        <v>1985</v>
      </c>
      <c r="B856" s="264">
        <v>45833.0</v>
      </c>
      <c r="C856" s="265" t="s">
        <v>968</v>
      </c>
      <c r="D856" s="266" t="s">
        <v>824</v>
      </c>
      <c r="E856" s="267" t="s">
        <v>1011</v>
      </c>
      <c r="F856" s="289"/>
      <c r="G856" s="269">
        <v>115000.0</v>
      </c>
      <c r="H856" s="270">
        <v>0.0</v>
      </c>
      <c r="I856" s="269">
        <v>115000.0</v>
      </c>
      <c r="J856" s="271">
        <v>115000.0</v>
      </c>
      <c r="K856" s="272">
        <f t="shared" si="2"/>
        <v>0</v>
      </c>
      <c r="L856" s="290"/>
      <c r="M856" s="290"/>
      <c r="N856" s="290"/>
    </row>
    <row r="857" ht="26.25" customHeight="1">
      <c r="A857" s="273"/>
      <c r="B857" s="264">
        <v>45833.0</v>
      </c>
      <c r="C857" s="275" t="s">
        <v>965</v>
      </c>
      <c r="D857" s="266" t="s">
        <v>824</v>
      </c>
      <c r="E857" s="267" t="s">
        <v>1285</v>
      </c>
      <c r="F857" s="268"/>
      <c r="G857" s="269">
        <v>75000.0</v>
      </c>
      <c r="H857" s="270">
        <v>0.0</v>
      </c>
      <c r="I857" s="269">
        <v>75000.0</v>
      </c>
      <c r="J857" s="271">
        <v>75000.0</v>
      </c>
      <c r="K857" s="272">
        <f t="shared" si="2"/>
        <v>0</v>
      </c>
      <c r="L857" s="273"/>
      <c r="M857" s="273"/>
      <c r="N857" s="273"/>
    </row>
    <row r="858" ht="26.25" customHeight="1">
      <c r="A858" s="274"/>
      <c r="B858" s="264">
        <v>45833.0</v>
      </c>
      <c r="C858" s="265" t="s">
        <v>974</v>
      </c>
      <c r="D858" s="266" t="s">
        <v>824</v>
      </c>
      <c r="E858" s="267" t="s">
        <v>1982</v>
      </c>
      <c r="F858" s="289"/>
      <c r="G858" s="269">
        <v>75000.0</v>
      </c>
      <c r="H858" s="270">
        <v>0.0</v>
      </c>
      <c r="I858" s="269">
        <v>75000.0</v>
      </c>
      <c r="J858" s="271">
        <v>75000.0</v>
      </c>
      <c r="K858" s="272">
        <f t="shared" si="2"/>
        <v>0</v>
      </c>
      <c r="L858" s="290"/>
      <c r="M858" s="290"/>
      <c r="N858" s="290"/>
    </row>
    <row r="859" ht="26.25" customHeight="1">
      <c r="A859" s="277" t="s">
        <v>1986</v>
      </c>
      <c r="B859" s="264">
        <v>45833.0</v>
      </c>
      <c r="C859" s="265" t="s">
        <v>965</v>
      </c>
      <c r="D859" s="266" t="s">
        <v>824</v>
      </c>
      <c r="E859" s="267" t="s">
        <v>1987</v>
      </c>
      <c r="F859" s="289"/>
      <c r="G859" s="269">
        <v>45000.0</v>
      </c>
      <c r="H859" s="270">
        <v>0.0</v>
      </c>
      <c r="I859" s="269">
        <v>45000.0</v>
      </c>
      <c r="J859" s="271">
        <v>45000.0</v>
      </c>
      <c r="K859" s="272">
        <f t="shared" si="2"/>
        <v>0</v>
      </c>
      <c r="L859" s="290"/>
      <c r="M859" s="290"/>
      <c r="N859" s="290"/>
    </row>
    <row r="860" ht="26.25" customHeight="1">
      <c r="A860" s="290"/>
      <c r="B860" s="264">
        <v>45833.0</v>
      </c>
      <c r="C860" s="265" t="s">
        <v>974</v>
      </c>
      <c r="D860" s="266" t="s">
        <v>824</v>
      </c>
      <c r="E860" s="267" t="s">
        <v>1988</v>
      </c>
      <c r="F860" s="289"/>
      <c r="G860" s="269">
        <v>10000.0</v>
      </c>
      <c r="H860" s="270">
        <v>0.0</v>
      </c>
      <c r="I860" s="269">
        <v>10000.0</v>
      </c>
      <c r="J860" s="271">
        <v>10000.0</v>
      </c>
      <c r="K860" s="272">
        <f t="shared" si="2"/>
        <v>0</v>
      </c>
      <c r="L860" s="290"/>
      <c r="M860" s="290"/>
      <c r="N860" s="290"/>
    </row>
    <row r="861" ht="26.25" customHeight="1">
      <c r="A861" s="273"/>
      <c r="B861" s="264">
        <v>45834.0</v>
      </c>
      <c r="C861" s="275" t="s">
        <v>965</v>
      </c>
      <c r="D861" s="266" t="s">
        <v>824</v>
      </c>
      <c r="E861" s="267" t="s">
        <v>1989</v>
      </c>
      <c r="F861" s="268"/>
      <c r="G861" s="269">
        <v>520000.0</v>
      </c>
      <c r="H861" s="270">
        <v>0.0</v>
      </c>
      <c r="I861" s="269">
        <v>520000.0</v>
      </c>
      <c r="J861" s="271">
        <v>520000.0</v>
      </c>
      <c r="K861" s="272">
        <f t="shared" si="2"/>
        <v>0</v>
      </c>
      <c r="L861" s="273"/>
      <c r="M861" s="273"/>
      <c r="N861" s="273"/>
    </row>
    <row r="862" ht="26.25" customHeight="1">
      <c r="A862" s="274"/>
      <c r="B862" s="264">
        <v>45835.0</v>
      </c>
      <c r="C862" s="265" t="s">
        <v>974</v>
      </c>
      <c r="D862" s="266" t="s">
        <v>824</v>
      </c>
      <c r="E862" s="267" t="s">
        <v>1453</v>
      </c>
      <c r="F862" s="268"/>
      <c r="G862" s="269">
        <v>150000.0</v>
      </c>
      <c r="H862" s="270">
        <v>0.0</v>
      </c>
      <c r="I862" s="269">
        <v>150000.0</v>
      </c>
      <c r="J862" s="271">
        <v>150000.0</v>
      </c>
      <c r="K862" s="272">
        <f t="shared" si="2"/>
        <v>0</v>
      </c>
      <c r="L862" s="273"/>
      <c r="M862" s="273"/>
      <c r="N862" s="273"/>
    </row>
    <row r="863" ht="26.25" customHeight="1">
      <c r="A863" s="274"/>
      <c r="B863" s="264">
        <v>45835.0</v>
      </c>
      <c r="C863" s="265" t="s">
        <v>974</v>
      </c>
      <c r="D863" s="299" t="s">
        <v>930</v>
      </c>
      <c r="E863" s="267" t="s">
        <v>1990</v>
      </c>
      <c r="F863" s="289"/>
      <c r="G863" s="269">
        <v>150000.0</v>
      </c>
      <c r="H863" s="270">
        <v>0.0</v>
      </c>
      <c r="I863" s="269">
        <v>150000.0</v>
      </c>
      <c r="J863" s="271">
        <v>150000.0</v>
      </c>
      <c r="K863" s="272">
        <f t="shared" si="2"/>
        <v>0</v>
      </c>
      <c r="L863" s="290"/>
      <c r="M863" s="290"/>
      <c r="N863" s="290"/>
    </row>
    <row r="864" ht="26.25" customHeight="1">
      <c r="A864" s="273"/>
      <c r="B864" s="264">
        <v>45835.0</v>
      </c>
      <c r="C864" s="265" t="s">
        <v>974</v>
      </c>
      <c r="D864" s="266" t="s">
        <v>1340</v>
      </c>
      <c r="E864" s="267" t="s">
        <v>1982</v>
      </c>
      <c r="F864" s="268"/>
      <c r="G864" s="269">
        <v>75000.0</v>
      </c>
      <c r="H864" s="270">
        <v>0.0</v>
      </c>
      <c r="I864" s="269">
        <v>75000.0</v>
      </c>
      <c r="J864" s="271">
        <v>75000.0</v>
      </c>
      <c r="K864" s="272">
        <f t="shared" si="2"/>
        <v>0</v>
      </c>
      <c r="L864" s="273"/>
      <c r="M864" s="273"/>
      <c r="N864" s="273"/>
    </row>
    <row r="865" ht="26.25" customHeight="1">
      <c r="A865" s="273"/>
      <c r="B865" s="264">
        <v>45835.0</v>
      </c>
      <c r="C865" s="275" t="s">
        <v>974</v>
      </c>
      <c r="D865" s="266" t="s">
        <v>237</v>
      </c>
      <c r="E865" s="267" t="s">
        <v>1991</v>
      </c>
      <c r="F865" s="268"/>
      <c r="G865" s="269">
        <v>45000.0</v>
      </c>
      <c r="H865" s="270">
        <v>0.0</v>
      </c>
      <c r="I865" s="269">
        <v>45000.0</v>
      </c>
      <c r="J865" s="271">
        <v>45000.0</v>
      </c>
      <c r="K865" s="272">
        <f t="shared" si="2"/>
        <v>0</v>
      </c>
      <c r="L865" s="273"/>
      <c r="M865" s="273"/>
      <c r="N865" s="273"/>
    </row>
    <row r="866" ht="26.25" customHeight="1">
      <c r="A866" s="290"/>
      <c r="B866" s="264">
        <v>45835.0</v>
      </c>
      <c r="C866" s="265" t="s">
        <v>974</v>
      </c>
      <c r="D866" s="266" t="s">
        <v>31</v>
      </c>
      <c r="E866" s="267" t="s">
        <v>1992</v>
      </c>
      <c r="F866" s="289"/>
      <c r="G866" s="269">
        <v>25000.0</v>
      </c>
      <c r="H866" s="270">
        <v>0.0</v>
      </c>
      <c r="I866" s="269">
        <v>25000.0</v>
      </c>
      <c r="J866" s="271">
        <v>25000.0</v>
      </c>
      <c r="K866" s="272">
        <f t="shared" si="2"/>
        <v>0</v>
      </c>
      <c r="L866" s="290"/>
      <c r="M866" s="290"/>
      <c r="N866" s="290"/>
    </row>
    <row r="867" ht="26.25" customHeight="1">
      <c r="A867" s="273"/>
      <c r="B867" s="264">
        <v>45835.0</v>
      </c>
      <c r="C867" s="275" t="s">
        <v>974</v>
      </c>
      <c r="D867" s="266" t="s">
        <v>1340</v>
      </c>
      <c r="E867" s="267" t="s">
        <v>1993</v>
      </c>
      <c r="F867" s="268"/>
      <c r="G867" s="269">
        <v>15000.0</v>
      </c>
      <c r="H867" s="270">
        <v>0.0</v>
      </c>
      <c r="I867" s="269">
        <v>15000.0</v>
      </c>
      <c r="J867" s="271">
        <v>15000.0</v>
      </c>
      <c r="K867" s="272">
        <f t="shared" si="2"/>
        <v>0</v>
      </c>
      <c r="L867" s="273"/>
      <c r="M867" s="273"/>
      <c r="N867" s="273"/>
    </row>
    <row r="868" ht="26.25" customHeight="1">
      <c r="A868" s="273"/>
      <c r="B868" s="264">
        <v>45835.0</v>
      </c>
      <c r="C868" s="265" t="s">
        <v>974</v>
      </c>
      <c r="D868" s="266" t="s">
        <v>1794</v>
      </c>
      <c r="E868" s="267" t="s">
        <v>1994</v>
      </c>
      <c r="F868" s="268"/>
      <c r="G868" s="269">
        <v>10000.0</v>
      </c>
      <c r="H868" s="270">
        <v>0.0</v>
      </c>
      <c r="I868" s="269">
        <v>10000.0</v>
      </c>
      <c r="J868" s="271">
        <v>10000.0</v>
      </c>
      <c r="K868" s="272">
        <f t="shared" si="2"/>
        <v>0</v>
      </c>
      <c r="L868" s="273"/>
      <c r="M868" s="273"/>
      <c r="N868" s="273"/>
    </row>
    <row r="869" ht="26.25" customHeight="1">
      <c r="A869" s="273"/>
      <c r="B869" s="264">
        <v>45836.0</v>
      </c>
      <c r="C869" s="275" t="s">
        <v>974</v>
      </c>
      <c r="D869" s="266" t="s">
        <v>31</v>
      </c>
      <c r="E869" s="267" t="s">
        <v>1960</v>
      </c>
      <c r="F869" s="268"/>
      <c r="G869" s="269">
        <v>1025000.0</v>
      </c>
      <c r="H869" s="270">
        <v>0.0</v>
      </c>
      <c r="I869" s="269">
        <v>1025000.0</v>
      </c>
      <c r="J869" s="271">
        <v>1025000.0</v>
      </c>
      <c r="K869" s="272">
        <f t="shared" si="2"/>
        <v>0</v>
      </c>
      <c r="L869" s="273"/>
      <c r="M869" s="273"/>
      <c r="N869" s="273"/>
    </row>
    <row r="870" ht="26.25" customHeight="1">
      <c r="A870" s="289"/>
      <c r="B870" s="264">
        <v>45836.0</v>
      </c>
      <c r="C870" s="265" t="s">
        <v>960</v>
      </c>
      <c r="D870" s="266" t="s">
        <v>1029</v>
      </c>
      <c r="E870" s="267" t="s">
        <v>1995</v>
      </c>
      <c r="F870" s="289"/>
      <c r="G870" s="269">
        <v>220000.0</v>
      </c>
      <c r="H870" s="270">
        <v>0.0</v>
      </c>
      <c r="I870" s="269">
        <v>220000.0</v>
      </c>
      <c r="J870" s="271">
        <v>220000.0</v>
      </c>
      <c r="K870" s="272">
        <f t="shared" si="2"/>
        <v>0</v>
      </c>
      <c r="L870" s="290"/>
      <c r="M870" s="290"/>
      <c r="N870" s="290"/>
    </row>
    <row r="871" ht="26.25" customHeight="1">
      <c r="A871" s="290"/>
      <c r="B871" s="264">
        <v>45836.0</v>
      </c>
      <c r="C871" s="265" t="s">
        <v>974</v>
      </c>
      <c r="D871" s="266" t="s">
        <v>31</v>
      </c>
      <c r="E871" s="267" t="s">
        <v>1996</v>
      </c>
      <c r="F871" s="289"/>
      <c r="G871" s="269">
        <v>215000.0</v>
      </c>
      <c r="H871" s="270">
        <v>0.0</v>
      </c>
      <c r="I871" s="269">
        <v>215000.0</v>
      </c>
      <c r="J871" s="271">
        <v>215000.0</v>
      </c>
      <c r="K871" s="272">
        <f t="shared" si="2"/>
        <v>0</v>
      </c>
      <c r="L871" s="290"/>
      <c r="M871" s="290"/>
      <c r="N871" s="290"/>
    </row>
    <row r="872" ht="26.25" customHeight="1">
      <c r="A872" s="290"/>
      <c r="B872" s="264">
        <v>45836.0</v>
      </c>
      <c r="C872" s="265" t="s">
        <v>974</v>
      </c>
      <c r="D872" s="266" t="s">
        <v>31</v>
      </c>
      <c r="E872" s="267" t="s">
        <v>1997</v>
      </c>
      <c r="F872" s="289"/>
      <c r="G872" s="269">
        <v>50000.0</v>
      </c>
      <c r="H872" s="270">
        <v>0.0</v>
      </c>
      <c r="I872" s="269">
        <v>50000.0</v>
      </c>
      <c r="J872" s="271">
        <v>50000.0</v>
      </c>
      <c r="K872" s="272">
        <f t="shared" si="2"/>
        <v>0</v>
      </c>
      <c r="L872" s="290"/>
      <c r="M872" s="290"/>
      <c r="N872" s="290"/>
    </row>
    <row r="873" ht="26.25" customHeight="1">
      <c r="A873" s="290"/>
      <c r="B873" s="264">
        <v>45836.0</v>
      </c>
      <c r="C873" s="265" t="s">
        <v>974</v>
      </c>
      <c r="D873" s="266" t="s">
        <v>31</v>
      </c>
      <c r="E873" s="267" t="s">
        <v>1998</v>
      </c>
      <c r="F873" s="289"/>
      <c r="G873" s="269">
        <v>25000.0</v>
      </c>
      <c r="H873" s="270">
        <v>0.0</v>
      </c>
      <c r="I873" s="269">
        <v>25000.0</v>
      </c>
      <c r="J873" s="271">
        <v>25000.0</v>
      </c>
      <c r="K873" s="272">
        <f t="shared" si="2"/>
        <v>0</v>
      </c>
      <c r="L873" s="290"/>
      <c r="M873" s="290"/>
      <c r="N873" s="290"/>
    </row>
    <row r="874" ht="26.25" customHeight="1">
      <c r="A874" s="274"/>
      <c r="B874" s="264">
        <v>45838.0</v>
      </c>
      <c r="C874" s="265" t="s">
        <v>1035</v>
      </c>
      <c r="D874" s="266" t="s">
        <v>31</v>
      </c>
      <c r="E874" s="267" t="s">
        <v>1999</v>
      </c>
      <c r="F874" s="268"/>
      <c r="G874" s="269">
        <v>30000.0</v>
      </c>
      <c r="H874" s="270">
        <v>0.0</v>
      </c>
      <c r="I874" s="269">
        <v>30000.0</v>
      </c>
      <c r="J874" s="271">
        <v>30000.0</v>
      </c>
      <c r="K874" s="272">
        <f t="shared" si="2"/>
        <v>0</v>
      </c>
      <c r="L874" s="273"/>
      <c r="M874" s="273"/>
      <c r="N874" s="273"/>
    </row>
    <row r="875" ht="26.25" customHeight="1">
      <c r="A875" s="290"/>
      <c r="B875" s="264">
        <v>45838.0</v>
      </c>
      <c r="C875" s="265" t="s">
        <v>965</v>
      </c>
      <c r="D875" s="266" t="s">
        <v>31</v>
      </c>
      <c r="E875" s="267" t="s">
        <v>2000</v>
      </c>
      <c r="F875" s="289"/>
      <c r="G875" s="269">
        <v>20000.0</v>
      </c>
      <c r="H875" s="270">
        <v>0.0</v>
      </c>
      <c r="I875" s="269">
        <v>20000.0</v>
      </c>
      <c r="J875" s="271">
        <v>20000.0</v>
      </c>
      <c r="K875" s="272">
        <f t="shared" si="2"/>
        <v>0</v>
      </c>
      <c r="L875" s="290"/>
      <c r="M875" s="290"/>
      <c r="N875" s="290"/>
    </row>
    <row r="876" ht="26.25" customHeight="1">
      <c r="A876" s="290"/>
      <c r="B876" s="264">
        <v>45839.0</v>
      </c>
      <c r="C876" s="265" t="s">
        <v>1767</v>
      </c>
      <c r="D876" s="266" t="s">
        <v>31</v>
      </c>
      <c r="E876" s="267" t="s">
        <v>1768</v>
      </c>
      <c r="F876" s="304">
        <v>1.0</v>
      </c>
      <c r="G876" s="269">
        <v>2258333.0</v>
      </c>
      <c r="H876" s="270">
        <v>0.0</v>
      </c>
      <c r="I876" s="269">
        <v>2258333.0</v>
      </c>
      <c r="J876" s="271">
        <v>2258333.0</v>
      </c>
      <c r="K876" s="272">
        <f t="shared" si="2"/>
        <v>0</v>
      </c>
      <c r="L876" s="290"/>
      <c r="M876" s="290"/>
      <c r="N876" s="290"/>
    </row>
    <row r="877" ht="26.25" customHeight="1">
      <c r="A877" s="290"/>
      <c r="B877" s="264">
        <v>45839.0</v>
      </c>
      <c r="C877" s="265" t="s">
        <v>974</v>
      </c>
      <c r="D877" s="266" t="s">
        <v>824</v>
      </c>
      <c r="E877" s="267" t="s">
        <v>2001</v>
      </c>
      <c r="F877" s="289"/>
      <c r="G877" s="269">
        <v>30000.0</v>
      </c>
      <c r="H877" s="270">
        <v>0.0</v>
      </c>
      <c r="I877" s="269">
        <v>30000.0</v>
      </c>
      <c r="J877" s="271">
        <v>30000.0</v>
      </c>
      <c r="K877" s="272">
        <f t="shared" si="2"/>
        <v>0</v>
      </c>
      <c r="L877" s="290"/>
      <c r="M877" s="290"/>
      <c r="N877" s="290"/>
    </row>
    <row r="878" ht="26.25" customHeight="1">
      <c r="A878" s="273"/>
      <c r="B878" s="264">
        <v>45840.0</v>
      </c>
      <c r="C878" s="275"/>
      <c r="D878" s="282"/>
      <c r="E878" s="267" t="s">
        <v>2002</v>
      </c>
      <c r="F878" s="268"/>
      <c r="G878" s="269">
        <v>300000.0</v>
      </c>
      <c r="H878" s="270">
        <v>0.0</v>
      </c>
      <c r="I878" s="269">
        <v>300000.0</v>
      </c>
      <c r="J878" s="271">
        <v>300000.0</v>
      </c>
      <c r="K878" s="272">
        <f t="shared" si="2"/>
        <v>0</v>
      </c>
      <c r="L878" s="273"/>
      <c r="M878" s="273"/>
      <c r="N878" s="273"/>
    </row>
    <row r="879" ht="26.25" customHeight="1">
      <c r="A879" s="273"/>
      <c r="B879" s="264">
        <v>45840.0</v>
      </c>
      <c r="C879" s="275" t="s">
        <v>974</v>
      </c>
      <c r="D879" s="266" t="s">
        <v>31</v>
      </c>
      <c r="E879" s="267" t="s">
        <v>1453</v>
      </c>
      <c r="F879" s="268"/>
      <c r="G879" s="269">
        <v>180000.0</v>
      </c>
      <c r="H879" s="270">
        <v>0.0</v>
      </c>
      <c r="I879" s="269">
        <v>180000.0</v>
      </c>
      <c r="J879" s="271">
        <v>180000.0</v>
      </c>
      <c r="K879" s="272">
        <f t="shared" si="2"/>
        <v>0</v>
      </c>
      <c r="L879" s="273"/>
      <c r="M879" s="273"/>
      <c r="N879" s="273"/>
    </row>
    <row r="880" ht="26.25" customHeight="1">
      <c r="A880" s="290"/>
      <c r="B880" s="264">
        <v>45840.0</v>
      </c>
      <c r="C880" s="265" t="s">
        <v>974</v>
      </c>
      <c r="D880" s="266" t="s">
        <v>1029</v>
      </c>
      <c r="E880" s="267" t="s">
        <v>2003</v>
      </c>
      <c r="F880" s="289"/>
      <c r="G880" s="269">
        <v>145000.0</v>
      </c>
      <c r="H880" s="270">
        <v>0.0</v>
      </c>
      <c r="I880" s="269">
        <v>145000.0</v>
      </c>
      <c r="J880" s="271">
        <v>145000.0</v>
      </c>
      <c r="K880" s="272">
        <f t="shared" si="2"/>
        <v>0</v>
      </c>
      <c r="L880" s="290"/>
      <c r="M880" s="290"/>
      <c r="N880" s="290"/>
    </row>
    <row r="881" ht="26.25" customHeight="1">
      <c r="A881" s="290"/>
      <c r="B881" s="264">
        <v>45840.0</v>
      </c>
      <c r="C881" s="265" t="s">
        <v>974</v>
      </c>
      <c r="D881" s="266" t="s">
        <v>1029</v>
      </c>
      <c r="E881" s="267" t="s">
        <v>1603</v>
      </c>
      <c r="F881" s="289"/>
      <c r="G881" s="269">
        <v>10000.0</v>
      </c>
      <c r="H881" s="270">
        <v>0.0</v>
      </c>
      <c r="I881" s="269">
        <v>10000.0</v>
      </c>
      <c r="J881" s="271">
        <v>10000.0</v>
      </c>
      <c r="K881" s="272">
        <f t="shared" si="2"/>
        <v>0</v>
      </c>
      <c r="L881" s="290"/>
      <c r="M881" s="290"/>
      <c r="N881" s="290"/>
    </row>
    <row r="882" ht="26.25" customHeight="1">
      <c r="A882" s="290"/>
      <c r="B882" s="264">
        <v>45840.0</v>
      </c>
      <c r="C882" s="265" t="s">
        <v>974</v>
      </c>
      <c r="D882" s="266" t="s">
        <v>2004</v>
      </c>
      <c r="E882" s="267" t="s">
        <v>2005</v>
      </c>
      <c r="F882" s="289"/>
      <c r="G882" s="269">
        <v>5000.0</v>
      </c>
      <c r="H882" s="270">
        <v>0.0</v>
      </c>
      <c r="I882" s="269">
        <v>5000.0</v>
      </c>
      <c r="J882" s="271">
        <v>5000.0</v>
      </c>
      <c r="K882" s="272">
        <f t="shared" si="2"/>
        <v>0</v>
      </c>
      <c r="L882" s="290"/>
      <c r="M882" s="290"/>
      <c r="N882" s="290"/>
    </row>
    <row r="883" ht="23.25" customHeight="1">
      <c r="A883" s="274"/>
      <c r="B883" s="264">
        <v>45843.0</v>
      </c>
      <c r="C883" s="265" t="s">
        <v>974</v>
      </c>
      <c r="D883" s="266" t="s">
        <v>930</v>
      </c>
      <c r="E883" s="267" t="s">
        <v>2006</v>
      </c>
      <c r="F883" s="268"/>
      <c r="G883" s="269">
        <v>330000.0</v>
      </c>
      <c r="H883" s="270">
        <v>0.0</v>
      </c>
      <c r="I883" s="269">
        <v>330000.0</v>
      </c>
      <c r="J883" s="271">
        <v>330000.0</v>
      </c>
      <c r="K883" s="272">
        <f t="shared" si="2"/>
        <v>0</v>
      </c>
      <c r="L883" s="273"/>
      <c r="M883" s="273"/>
      <c r="N883" s="273"/>
    </row>
    <row r="884" ht="26.25" customHeight="1">
      <c r="A884" s="274"/>
      <c r="B884" s="264">
        <v>45843.0</v>
      </c>
      <c r="C884" s="265" t="s">
        <v>974</v>
      </c>
      <c r="D884" s="266" t="s">
        <v>1340</v>
      </c>
      <c r="E884" s="267" t="s">
        <v>2007</v>
      </c>
      <c r="F884" s="289"/>
      <c r="G884" s="269">
        <v>50000.0</v>
      </c>
      <c r="H884" s="270">
        <v>0.0</v>
      </c>
      <c r="I884" s="269">
        <v>50000.0</v>
      </c>
      <c r="J884" s="271">
        <v>50000.0</v>
      </c>
      <c r="K884" s="272">
        <f t="shared" si="2"/>
        <v>0</v>
      </c>
      <c r="L884" s="290"/>
      <c r="M884" s="290"/>
      <c r="N884" s="290"/>
    </row>
    <row r="885" ht="26.25" customHeight="1">
      <c r="A885" s="290"/>
      <c r="B885" s="264">
        <v>45845.0</v>
      </c>
      <c r="C885" s="265" t="s">
        <v>974</v>
      </c>
      <c r="D885" s="266" t="s">
        <v>824</v>
      </c>
      <c r="E885" s="267" t="s">
        <v>1990</v>
      </c>
      <c r="F885" s="289"/>
      <c r="G885" s="269">
        <v>100000.0</v>
      </c>
      <c r="H885" s="270">
        <v>0.0</v>
      </c>
      <c r="I885" s="269">
        <v>100000.0</v>
      </c>
      <c r="J885" s="271">
        <v>100000.0</v>
      </c>
      <c r="K885" s="272">
        <f t="shared" si="2"/>
        <v>0</v>
      </c>
      <c r="L885" s="290"/>
      <c r="M885" s="290"/>
      <c r="N885" s="290"/>
    </row>
    <row r="886" ht="26.25" customHeight="1">
      <c r="A886" s="290"/>
      <c r="B886" s="264">
        <v>45845.0</v>
      </c>
      <c r="C886" s="265" t="s">
        <v>974</v>
      </c>
      <c r="D886" s="266" t="s">
        <v>31</v>
      </c>
      <c r="E886" s="267" t="s">
        <v>2008</v>
      </c>
      <c r="F886" s="289"/>
      <c r="G886" s="269">
        <v>75000.0</v>
      </c>
      <c r="H886" s="270">
        <v>0.0</v>
      </c>
      <c r="I886" s="269">
        <v>75000.0</v>
      </c>
      <c r="J886" s="271">
        <v>75000.0</v>
      </c>
      <c r="K886" s="272">
        <f t="shared" si="2"/>
        <v>0</v>
      </c>
      <c r="L886" s="290"/>
      <c r="M886" s="290"/>
      <c r="N886" s="290"/>
    </row>
    <row r="887" ht="26.25" customHeight="1">
      <c r="A887" s="290"/>
      <c r="B887" s="264">
        <v>45847.0</v>
      </c>
      <c r="C887" s="265" t="s">
        <v>965</v>
      </c>
      <c r="D887" s="266" t="s">
        <v>980</v>
      </c>
      <c r="E887" s="267" t="s">
        <v>980</v>
      </c>
      <c r="F887" s="289"/>
      <c r="G887" s="269">
        <v>90000.0</v>
      </c>
      <c r="H887" s="270">
        <v>0.0</v>
      </c>
      <c r="I887" s="269">
        <v>90000.0</v>
      </c>
      <c r="J887" s="271">
        <v>90000.0</v>
      </c>
      <c r="K887" s="272">
        <f t="shared" si="2"/>
        <v>0</v>
      </c>
      <c r="L887" s="290"/>
      <c r="M887" s="290"/>
      <c r="N887" s="290"/>
    </row>
    <row r="888" ht="26.25" customHeight="1">
      <c r="A888" s="288" t="s">
        <v>2009</v>
      </c>
      <c r="B888" s="264">
        <v>45847.0</v>
      </c>
      <c r="C888" s="265" t="s">
        <v>965</v>
      </c>
      <c r="D888" s="266" t="s">
        <v>980</v>
      </c>
      <c r="E888" s="267" t="s">
        <v>980</v>
      </c>
      <c r="F888" s="289"/>
      <c r="G888" s="269">
        <v>72000.0</v>
      </c>
      <c r="H888" s="270">
        <v>0.0</v>
      </c>
      <c r="I888" s="269">
        <v>72000.0</v>
      </c>
      <c r="J888" s="271">
        <v>72000.0</v>
      </c>
      <c r="K888" s="272">
        <f t="shared" si="2"/>
        <v>0</v>
      </c>
      <c r="L888" s="290"/>
      <c r="M888" s="290"/>
      <c r="N888" s="290"/>
    </row>
    <row r="889" ht="26.25" customHeight="1">
      <c r="A889" s="290"/>
      <c r="B889" s="264">
        <v>45847.0</v>
      </c>
      <c r="C889" s="265" t="s">
        <v>974</v>
      </c>
      <c r="D889" s="299" t="s">
        <v>31</v>
      </c>
      <c r="E889" s="267" t="s">
        <v>1023</v>
      </c>
      <c r="F889" s="289"/>
      <c r="G889" s="269">
        <v>25000.0</v>
      </c>
      <c r="H889" s="270">
        <v>0.0</v>
      </c>
      <c r="I889" s="269">
        <v>25000.0</v>
      </c>
      <c r="J889" s="271">
        <v>25000.0</v>
      </c>
      <c r="K889" s="272">
        <f t="shared" si="2"/>
        <v>0</v>
      </c>
      <c r="L889" s="290"/>
      <c r="M889" s="290"/>
      <c r="N889" s="290"/>
    </row>
    <row r="890" ht="26.25" customHeight="1">
      <c r="A890" s="273"/>
      <c r="B890" s="264">
        <v>45847.0</v>
      </c>
      <c r="C890" s="275" t="s">
        <v>974</v>
      </c>
      <c r="D890" s="266" t="s">
        <v>31</v>
      </c>
      <c r="E890" s="267" t="s">
        <v>1993</v>
      </c>
      <c r="F890" s="268"/>
      <c r="G890" s="269">
        <v>15000.0</v>
      </c>
      <c r="H890" s="270">
        <v>0.0</v>
      </c>
      <c r="I890" s="269">
        <v>15000.0</v>
      </c>
      <c r="J890" s="271">
        <v>15000.0</v>
      </c>
      <c r="K890" s="272">
        <f t="shared" si="2"/>
        <v>0</v>
      </c>
      <c r="L890" s="273"/>
      <c r="M890" s="273"/>
      <c r="N890" s="273"/>
    </row>
    <row r="891" ht="26.25" customHeight="1">
      <c r="A891" s="290"/>
      <c r="B891" s="264">
        <v>45847.0</v>
      </c>
      <c r="C891" s="265" t="s">
        <v>960</v>
      </c>
      <c r="D891" s="266" t="s">
        <v>824</v>
      </c>
      <c r="E891" s="267" t="s">
        <v>2010</v>
      </c>
      <c r="F891" s="289"/>
      <c r="G891" s="269">
        <v>10000.0</v>
      </c>
      <c r="H891" s="270">
        <v>0.0</v>
      </c>
      <c r="I891" s="269">
        <v>10000.0</v>
      </c>
      <c r="J891" s="271">
        <v>10000.0</v>
      </c>
      <c r="K891" s="272">
        <f t="shared" si="2"/>
        <v>0</v>
      </c>
      <c r="L891" s="290"/>
      <c r="M891" s="290"/>
      <c r="N891" s="290"/>
    </row>
    <row r="892" ht="26.25" customHeight="1">
      <c r="A892" s="290"/>
      <c r="B892" s="264">
        <v>45847.0</v>
      </c>
      <c r="C892" s="265" t="s">
        <v>974</v>
      </c>
      <c r="D892" s="266" t="s">
        <v>824</v>
      </c>
      <c r="E892" s="267" t="s">
        <v>1993</v>
      </c>
      <c r="F892" s="289"/>
      <c r="G892" s="269">
        <v>10000.0</v>
      </c>
      <c r="H892" s="270">
        <v>0.0</v>
      </c>
      <c r="I892" s="269">
        <v>10000.0</v>
      </c>
      <c r="J892" s="271">
        <v>10000.0</v>
      </c>
      <c r="K892" s="272">
        <f t="shared" si="2"/>
        <v>0</v>
      </c>
      <c r="L892" s="290"/>
      <c r="M892" s="290"/>
      <c r="N892" s="290"/>
    </row>
    <row r="893" ht="26.25" customHeight="1">
      <c r="A893" s="273"/>
      <c r="B893" s="264">
        <v>45848.0</v>
      </c>
      <c r="C893" s="275" t="s">
        <v>974</v>
      </c>
      <c r="D893" s="266" t="s">
        <v>1029</v>
      </c>
      <c r="E893" s="267" t="s">
        <v>2011</v>
      </c>
      <c r="F893" s="268"/>
      <c r="G893" s="269">
        <v>27500.0</v>
      </c>
      <c r="H893" s="270">
        <v>0.0</v>
      </c>
      <c r="I893" s="269">
        <v>27500.0</v>
      </c>
      <c r="J893" s="271">
        <v>27500.0</v>
      </c>
      <c r="K893" s="272">
        <f t="shared" si="2"/>
        <v>0</v>
      </c>
      <c r="L893" s="273"/>
      <c r="M893" s="273"/>
      <c r="N893" s="273"/>
    </row>
    <row r="894" ht="26.25" customHeight="1">
      <c r="A894" s="288" t="s">
        <v>2012</v>
      </c>
      <c r="B894" s="264">
        <v>45851.0</v>
      </c>
      <c r="C894" s="265" t="s">
        <v>965</v>
      </c>
      <c r="D894" s="266" t="s">
        <v>1029</v>
      </c>
      <c r="E894" s="267" t="s">
        <v>980</v>
      </c>
      <c r="F894" s="289"/>
      <c r="G894" s="269">
        <v>437000.0</v>
      </c>
      <c r="H894" s="270">
        <v>0.0</v>
      </c>
      <c r="I894" s="269">
        <v>437000.0</v>
      </c>
      <c r="J894" s="271">
        <v>437000.0</v>
      </c>
      <c r="K894" s="272">
        <f t="shared" si="2"/>
        <v>0</v>
      </c>
      <c r="L894" s="290"/>
      <c r="M894" s="290"/>
      <c r="N894" s="290"/>
    </row>
    <row r="895" ht="26.25" customHeight="1">
      <c r="A895" s="290"/>
      <c r="B895" s="264">
        <v>45851.0</v>
      </c>
      <c r="C895" s="265" t="s">
        <v>974</v>
      </c>
      <c r="D895" s="266" t="s">
        <v>1029</v>
      </c>
      <c r="E895" s="267" t="s">
        <v>1814</v>
      </c>
      <c r="F895" s="289"/>
      <c r="G895" s="269">
        <v>150000.0</v>
      </c>
      <c r="H895" s="270">
        <v>0.0</v>
      </c>
      <c r="I895" s="269">
        <v>150000.0</v>
      </c>
      <c r="J895" s="271">
        <v>150000.0</v>
      </c>
      <c r="K895" s="272">
        <f t="shared" si="2"/>
        <v>0</v>
      </c>
      <c r="L895" s="290"/>
      <c r="M895" s="290"/>
      <c r="N895" s="290"/>
    </row>
    <row r="896" ht="26.25" customHeight="1">
      <c r="A896" s="274"/>
      <c r="B896" s="264">
        <v>45851.0</v>
      </c>
      <c r="C896" s="265" t="s">
        <v>960</v>
      </c>
      <c r="D896" s="266" t="s">
        <v>1029</v>
      </c>
      <c r="E896" s="267" t="s">
        <v>1070</v>
      </c>
      <c r="F896" s="268"/>
      <c r="G896" s="269">
        <v>75000.0</v>
      </c>
      <c r="H896" s="270">
        <v>0.0</v>
      </c>
      <c r="I896" s="269">
        <v>75000.0</v>
      </c>
      <c r="J896" s="271">
        <v>75000.0</v>
      </c>
      <c r="K896" s="272">
        <f t="shared" si="2"/>
        <v>0</v>
      </c>
      <c r="L896" s="273"/>
      <c r="M896" s="273"/>
      <c r="N896" s="273"/>
    </row>
    <row r="897" ht="26.25" customHeight="1">
      <c r="A897" s="274"/>
      <c r="B897" s="264">
        <v>45851.0</v>
      </c>
      <c r="C897" s="265" t="s">
        <v>974</v>
      </c>
      <c r="D897" s="266" t="s">
        <v>824</v>
      </c>
      <c r="E897" s="267" t="s">
        <v>2013</v>
      </c>
      <c r="F897" s="268"/>
      <c r="G897" s="269">
        <v>60000.0</v>
      </c>
      <c r="H897" s="270">
        <v>0.0</v>
      </c>
      <c r="I897" s="269">
        <v>60000.0</v>
      </c>
      <c r="J897" s="271">
        <v>60000.0</v>
      </c>
      <c r="K897" s="272">
        <f t="shared" si="2"/>
        <v>0</v>
      </c>
      <c r="L897" s="273"/>
      <c r="M897" s="273"/>
      <c r="N897" s="273"/>
    </row>
    <row r="898" ht="26.25" customHeight="1">
      <c r="A898" s="290"/>
      <c r="B898" s="264">
        <v>45851.0</v>
      </c>
      <c r="C898" s="265" t="s">
        <v>974</v>
      </c>
      <c r="D898" s="266" t="s">
        <v>824</v>
      </c>
      <c r="E898" s="267" t="s">
        <v>2014</v>
      </c>
      <c r="F898" s="289"/>
      <c r="G898" s="269">
        <v>12000.0</v>
      </c>
      <c r="H898" s="270">
        <v>0.0</v>
      </c>
      <c r="I898" s="269">
        <v>12000.0</v>
      </c>
      <c r="J898" s="271">
        <v>12000.0</v>
      </c>
      <c r="K898" s="272">
        <f t="shared" si="2"/>
        <v>0</v>
      </c>
      <c r="L898" s="290"/>
      <c r="M898" s="290"/>
      <c r="N898" s="290"/>
    </row>
    <row r="899" ht="26.25" customHeight="1">
      <c r="A899" s="290"/>
      <c r="B899" s="264">
        <v>45851.0</v>
      </c>
      <c r="C899" s="265" t="s">
        <v>960</v>
      </c>
      <c r="D899" s="266" t="s">
        <v>824</v>
      </c>
      <c r="E899" s="267" t="s">
        <v>1579</v>
      </c>
      <c r="F899" s="289"/>
      <c r="G899" s="269">
        <v>10000.0</v>
      </c>
      <c r="H899" s="270">
        <v>0.0</v>
      </c>
      <c r="I899" s="269">
        <v>10000.0</v>
      </c>
      <c r="J899" s="271">
        <v>10000.0</v>
      </c>
      <c r="K899" s="272">
        <f t="shared" si="2"/>
        <v>0</v>
      </c>
      <c r="L899" s="290"/>
      <c r="M899" s="290"/>
      <c r="N899" s="290"/>
    </row>
    <row r="900" ht="26.25" customHeight="1">
      <c r="A900" s="290"/>
      <c r="B900" s="264">
        <v>45851.0</v>
      </c>
      <c r="C900" s="265" t="s">
        <v>974</v>
      </c>
      <c r="D900" s="266" t="s">
        <v>237</v>
      </c>
      <c r="E900" s="267" t="s">
        <v>2015</v>
      </c>
      <c r="F900" s="289"/>
      <c r="G900" s="269">
        <v>10000.0</v>
      </c>
      <c r="H900" s="270">
        <v>0.0</v>
      </c>
      <c r="I900" s="269">
        <v>10000.0</v>
      </c>
      <c r="J900" s="271">
        <v>10000.0</v>
      </c>
      <c r="K900" s="272">
        <f t="shared" si="2"/>
        <v>0</v>
      </c>
      <c r="L900" s="290"/>
      <c r="M900" s="290"/>
      <c r="N900" s="290"/>
    </row>
    <row r="901" ht="26.25" customHeight="1">
      <c r="A901" s="290"/>
      <c r="B901" s="264">
        <v>45851.0</v>
      </c>
      <c r="C901" s="265" t="s">
        <v>974</v>
      </c>
      <c r="D901" s="266" t="s">
        <v>1340</v>
      </c>
      <c r="E901" s="267" t="s">
        <v>2013</v>
      </c>
      <c r="F901" s="289"/>
      <c r="G901" s="269">
        <v>10000.0</v>
      </c>
      <c r="H901" s="270">
        <v>0.0</v>
      </c>
      <c r="I901" s="269">
        <v>10000.0</v>
      </c>
      <c r="J901" s="271">
        <v>10000.0</v>
      </c>
      <c r="K901" s="272">
        <f t="shared" si="2"/>
        <v>0</v>
      </c>
      <c r="L901" s="290"/>
      <c r="M901" s="290"/>
      <c r="N901" s="290"/>
    </row>
    <row r="902" ht="26.25" customHeight="1">
      <c r="A902" s="290"/>
      <c r="B902" s="264">
        <v>45851.0</v>
      </c>
      <c r="C902" s="265" t="s">
        <v>974</v>
      </c>
      <c r="D902" s="266" t="s">
        <v>1029</v>
      </c>
      <c r="E902" s="267" t="s">
        <v>2016</v>
      </c>
      <c r="F902" s="289"/>
      <c r="G902" s="269">
        <v>10000.0</v>
      </c>
      <c r="H902" s="270">
        <v>0.0</v>
      </c>
      <c r="I902" s="269">
        <v>10000.0</v>
      </c>
      <c r="J902" s="271">
        <v>10000.0</v>
      </c>
      <c r="K902" s="272">
        <f t="shared" si="2"/>
        <v>0</v>
      </c>
      <c r="L902" s="290"/>
      <c r="M902" s="290"/>
      <c r="N902" s="290"/>
    </row>
    <row r="903" ht="26.25" customHeight="1">
      <c r="A903" s="273"/>
      <c r="B903" s="264">
        <v>45851.0</v>
      </c>
      <c r="C903" s="275" t="s">
        <v>963</v>
      </c>
      <c r="D903" s="266" t="s">
        <v>1029</v>
      </c>
      <c r="E903" s="267" t="s">
        <v>963</v>
      </c>
      <c r="F903" s="268"/>
      <c r="G903" s="269">
        <v>5500.0</v>
      </c>
      <c r="H903" s="270">
        <v>0.0</v>
      </c>
      <c r="I903" s="269">
        <v>5500.0</v>
      </c>
      <c r="J903" s="271">
        <v>5500.0</v>
      </c>
      <c r="K903" s="272">
        <f t="shared" si="2"/>
        <v>0</v>
      </c>
      <c r="L903" s="273"/>
      <c r="M903" s="273"/>
      <c r="N903" s="273"/>
    </row>
    <row r="904" ht="26.25" customHeight="1">
      <c r="A904" s="273"/>
      <c r="B904" s="264">
        <v>45851.0</v>
      </c>
      <c r="C904" s="275" t="s">
        <v>974</v>
      </c>
      <c r="D904" s="266" t="s">
        <v>20</v>
      </c>
      <c r="E904" s="294" t="s">
        <v>2017</v>
      </c>
      <c r="F904" s="268"/>
      <c r="G904" s="269">
        <v>5000.0</v>
      </c>
      <c r="H904" s="270">
        <v>0.0</v>
      </c>
      <c r="I904" s="269">
        <v>5000.0</v>
      </c>
      <c r="J904" s="271">
        <v>5000.0</v>
      </c>
      <c r="K904" s="272">
        <f t="shared" si="2"/>
        <v>0</v>
      </c>
      <c r="L904" s="273"/>
      <c r="M904" s="273"/>
      <c r="N904" s="273"/>
    </row>
    <row r="905" ht="26.25" customHeight="1">
      <c r="A905" s="273"/>
      <c r="B905" s="264">
        <v>45851.0</v>
      </c>
      <c r="C905" s="275" t="s">
        <v>974</v>
      </c>
      <c r="D905" s="266" t="s">
        <v>2018</v>
      </c>
      <c r="E905" s="267" t="s">
        <v>1563</v>
      </c>
      <c r="F905" s="268"/>
      <c r="G905" s="269">
        <v>5000.0</v>
      </c>
      <c r="H905" s="270">
        <v>0.0</v>
      </c>
      <c r="I905" s="269">
        <v>5000.0</v>
      </c>
      <c r="J905" s="271">
        <v>5000.0</v>
      </c>
      <c r="K905" s="272">
        <f t="shared" si="2"/>
        <v>0</v>
      </c>
      <c r="L905" s="273"/>
      <c r="M905" s="273"/>
      <c r="N905" s="273"/>
    </row>
    <row r="906" ht="26.25" customHeight="1">
      <c r="A906" s="281" t="s">
        <v>2019</v>
      </c>
      <c r="B906" s="264">
        <v>45852.0</v>
      </c>
      <c r="C906" s="275" t="s">
        <v>965</v>
      </c>
      <c r="D906" s="266" t="s">
        <v>1029</v>
      </c>
      <c r="E906" s="267" t="s">
        <v>1919</v>
      </c>
      <c r="F906" s="268"/>
      <c r="G906" s="269">
        <v>54000.0</v>
      </c>
      <c r="H906" s="270">
        <v>0.0</v>
      </c>
      <c r="I906" s="269">
        <v>54000.0</v>
      </c>
      <c r="J906" s="271">
        <v>54000.0</v>
      </c>
      <c r="K906" s="272">
        <f t="shared" si="2"/>
        <v>0</v>
      </c>
      <c r="L906" s="273"/>
      <c r="M906" s="273"/>
      <c r="N906" s="273"/>
    </row>
    <row r="907" ht="26.25" customHeight="1">
      <c r="A907" s="288" t="s">
        <v>2019</v>
      </c>
      <c r="B907" s="264">
        <v>45852.0</v>
      </c>
      <c r="C907" s="265" t="s">
        <v>965</v>
      </c>
      <c r="D907" s="266" t="s">
        <v>1029</v>
      </c>
      <c r="E907" s="267" t="s">
        <v>980</v>
      </c>
      <c r="F907" s="289"/>
      <c r="G907" s="269">
        <v>54000.0</v>
      </c>
      <c r="H907" s="270">
        <v>0.0</v>
      </c>
      <c r="I907" s="269">
        <v>54000.0</v>
      </c>
      <c r="J907" s="271">
        <v>54000.0</v>
      </c>
      <c r="K907" s="272">
        <f t="shared" si="2"/>
        <v>0</v>
      </c>
      <c r="L907" s="290"/>
      <c r="M907" s="290"/>
      <c r="N907" s="290"/>
    </row>
    <row r="908" ht="26.25" customHeight="1">
      <c r="A908" s="288" t="s">
        <v>2020</v>
      </c>
      <c r="B908" s="264">
        <v>45854.0</v>
      </c>
      <c r="C908" s="265" t="s">
        <v>1057</v>
      </c>
      <c r="D908" s="266" t="s">
        <v>31</v>
      </c>
      <c r="E908" s="267" t="s">
        <v>2021</v>
      </c>
      <c r="F908" s="289"/>
      <c r="G908" s="269">
        <v>596000.0</v>
      </c>
      <c r="H908" s="270">
        <v>0.0</v>
      </c>
      <c r="I908" s="269">
        <v>596000.0</v>
      </c>
      <c r="J908" s="271">
        <v>596000.0</v>
      </c>
      <c r="K908" s="272">
        <f t="shared" si="2"/>
        <v>0</v>
      </c>
      <c r="L908" s="290"/>
      <c r="M908" s="290"/>
      <c r="N908" s="290"/>
    </row>
    <row r="909" ht="26.25" customHeight="1">
      <c r="A909" s="274"/>
      <c r="B909" s="264">
        <v>45854.0</v>
      </c>
      <c r="C909" s="265" t="s">
        <v>974</v>
      </c>
      <c r="D909" s="266" t="s">
        <v>31</v>
      </c>
      <c r="E909" s="267" t="s">
        <v>2022</v>
      </c>
      <c r="F909" s="268"/>
      <c r="G909" s="269">
        <v>160000.0</v>
      </c>
      <c r="H909" s="270">
        <v>0.0</v>
      </c>
      <c r="I909" s="269">
        <v>160000.0</v>
      </c>
      <c r="J909" s="271">
        <v>160000.0</v>
      </c>
      <c r="K909" s="272">
        <f t="shared" si="2"/>
        <v>0</v>
      </c>
      <c r="L909" s="273"/>
      <c r="M909" s="273"/>
      <c r="N909" s="273"/>
    </row>
    <row r="910" ht="26.25" customHeight="1">
      <c r="A910" s="274"/>
      <c r="B910" s="264">
        <v>45854.0</v>
      </c>
      <c r="C910" s="265" t="s">
        <v>963</v>
      </c>
      <c r="D910" s="266" t="s">
        <v>824</v>
      </c>
      <c r="E910" s="267" t="s">
        <v>2023</v>
      </c>
      <c r="F910" s="268"/>
      <c r="G910" s="269">
        <v>100000.0</v>
      </c>
      <c r="H910" s="270">
        <v>0.0</v>
      </c>
      <c r="I910" s="269">
        <v>100000.0</v>
      </c>
      <c r="J910" s="271">
        <v>100000.0</v>
      </c>
      <c r="K910" s="272">
        <f t="shared" si="2"/>
        <v>0</v>
      </c>
      <c r="L910" s="273"/>
      <c r="M910" s="273"/>
      <c r="N910" s="273"/>
    </row>
    <row r="911" ht="26.25" customHeight="1">
      <c r="A911" s="290"/>
      <c r="B911" s="264">
        <v>45854.0</v>
      </c>
      <c r="C911" s="265" t="s">
        <v>960</v>
      </c>
      <c r="D911" s="266" t="s">
        <v>824</v>
      </c>
      <c r="E911" s="267" t="s">
        <v>2024</v>
      </c>
      <c r="F911" s="289"/>
      <c r="G911" s="269">
        <v>80000.0</v>
      </c>
      <c r="H911" s="270">
        <v>0.0</v>
      </c>
      <c r="I911" s="269">
        <v>80000.0</v>
      </c>
      <c r="J911" s="271">
        <v>80000.0</v>
      </c>
      <c r="K911" s="272">
        <f t="shared" si="2"/>
        <v>0</v>
      </c>
      <c r="L911" s="290"/>
      <c r="M911" s="290"/>
      <c r="N911" s="290"/>
    </row>
    <row r="912" ht="26.25" customHeight="1">
      <c r="A912" s="290"/>
      <c r="B912" s="264">
        <v>45854.0</v>
      </c>
      <c r="C912" s="265" t="s">
        <v>960</v>
      </c>
      <c r="D912" s="266" t="s">
        <v>237</v>
      </c>
      <c r="E912" s="267" t="s">
        <v>2025</v>
      </c>
      <c r="F912" s="289"/>
      <c r="G912" s="269">
        <v>20000.0</v>
      </c>
      <c r="H912" s="270">
        <v>0.0</v>
      </c>
      <c r="I912" s="269">
        <v>20000.0</v>
      </c>
      <c r="J912" s="271">
        <v>20000.0</v>
      </c>
      <c r="K912" s="272">
        <f t="shared" si="2"/>
        <v>0</v>
      </c>
      <c r="L912" s="290"/>
      <c r="M912" s="290"/>
      <c r="N912" s="290"/>
    </row>
    <row r="913" ht="26.25" customHeight="1">
      <c r="A913" s="274"/>
      <c r="B913" s="264">
        <v>45854.0</v>
      </c>
      <c r="C913" s="265" t="s">
        <v>974</v>
      </c>
      <c r="D913" s="266" t="s">
        <v>824</v>
      </c>
      <c r="E913" s="267" t="s">
        <v>2026</v>
      </c>
      <c r="F913" s="268"/>
      <c r="G913" s="269">
        <v>15000.0</v>
      </c>
      <c r="H913" s="270">
        <v>0.0</v>
      </c>
      <c r="I913" s="269">
        <v>15000.0</v>
      </c>
      <c r="J913" s="271">
        <v>15000.0</v>
      </c>
      <c r="K913" s="272">
        <f t="shared" si="2"/>
        <v>0</v>
      </c>
      <c r="L913" s="273"/>
      <c r="M913" s="273"/>
      <c r="N913" s="273"/>
    </row>
    <row r="914" ht="26.25" customHeight="1">
      <c r="A914" s="273"/>
      <c r="B914" s="264">
        <v>45854.0</v>
      </c>
      <c r="C914" s="275" t="s">
        <v>974</v>
      </c>
      <c r="D914" s="266" t="s">
        <v>31</v>
      </c>
      <c r="E914" s="267" t="s">
        <v>2027</v>
      </c>
      <c r="F914" s="268"/>
      <c r="G914" s="269">
        <v>10000.0</v>
      </c>
      <c r="H914" s="270">
        <v>0.0</v>
      </c>
      <c r="I914" s="269">
        <v>10000.0</v>
      </c>
      <c r="J914" s="271">
        <v>10000.0</v>
      </c>
      <c r="K914" s="272">
        <f t="shared" si="2"/>
        <v>0</v>
      </c>
      <c r="L914" s="273"/>
      <c r="M914" s="273"/>
      <c r="N914" s="273"/>
    </row>
    <row r="915" ht="26.25" customHeight="1">
      <c r="A915" s="273"/>
      <c r="B915" s="264">
        <v>45854.0</v>
      </c>
      <c r="C915" s="275" t="s">
        <v>974</v>
      </c>
      <c r="D915" s="266" t="s">
        <v>824</v>
      </c>
      <c r="E915" s="267" t="s">
        <v>1804</v>
      </c>
      <c r="F915" s="268"/>
      <c r="G915" s="269">
        <v>10000.0</v>
      </c>
      <c r="H915" s="270">
        <v>0.0</v>
      </c>
      <c r="I915" s="269">
        <v>10000.0</v>
      </c>
      <c r="J915" s="271">
        <v>10000.0</v>
      </c>
      <c r="K915" s="272">
        <f t="shared" si="2"/>
        <v>0</v>
      </c>
      <c r="L915" s="273"/>
      <c r="M915" s="273"/>
      <c r="N915" s="273"/>
    </row>
    <row r="916" ht="26.25" customHeight="1">
      <c r="A916" s="273"/>
      <c r="B916" s="264">
        <v>45854.0</v>
      </c>
      <c r="C916" s="275" t="s">
        <v>974</v>
      </c>
      <c r="D916" s="266" t="s">
        <v>824</v>
      </c>
      <c r="E916" s="267" t="s">
        <v>1690</v>
      </c>
      <c r="F916" s="268"/>
      <c r="G916" s="269">
        <v>7000.0</v>
      </c>
      <c r="H916" s="270">
        <v>0.0</v>
      </c>
      <c r="I916" s="269">
        <v>7000.0</v>
      </c>
      <c r="J916" s="271">
        <v>7000.0</v>
      </c>
      <c r="K916" s="272">
        <f t="shared" si="2"/>
        <v>0</v>
      </c>
      <c r="L916" s="273"/>
      <c r="M916" s="273"/>
      <c r="N916" s="273"/>
    </row>
    <row r="917" ht="26.25" customHeight="1">
      <c r="A917" s="274"/>
      <c r="B917" s="264">
        <v>45855.0</v>
      </c>
      <c r="C917" s="265" t="s">
        <v>968</v>
      </c>
      <c r="D917" s="266" t="s">
        <v>31</v>
      </c>
      <c r="E917" s="267" t="s">
        <v>2028</v>
      </c>
      <c r="F917" s="289"/>
      <c r="G917" s="269">
        <v>90000.0</v>
      </c>
      <c r="H917" s="270">
        <v>0.0</v>
      </c>
      <c r="I917" s="269">
        <v>90000.0</v>
      </c>
      <c r="J917" s="271">
        <v>90000.0</v>
      </c>
      <c r="K917" s="272">
        <f t="shared" si="2"/>
        <v>0</v>
      </c>
      <c r="L917" s="290"/>
      <c r="M917" s="290"/>
      <c r="N917" s="290"/>
    </row>
    <row r="918" ht="26.25" customHeight="1">
      <c r="A918" s="274"/>
      <c r="B918" s="264">
        <v>45855.0</v>
      </c>
      <c r="C918" s="265" t="s">
        <v>974</v>
      </c>
      <c r="D918" s="266" t="s">
        <v>31</v>
      </c>
      <c r="E918" s="267" t="s">
        <v>1759</v>
      </c>
      <c r="F918" s="268"/>
      <c r="G918" s="269">
        <v>30000.0</v>
      </c>
      <c r="H918" s="270">
        <v>0.0</v>
      </c>
      <c r="I918" s="269">
        <v>30000.0</v>
      </c>
      <c r="J918" s="271">
        <v>30000.0</v>
      </c>
      <c r="K918" s="272">
        <f t="shared" si="2"/>
        <v>0</v>
      </c>
      <c r="L918" s="273"/>
      <c r="M918" s="273"/>
      <c r="N918" s="273"/>
    </row>
    <row r="919" ht="26.25" customHeight="1">
      <c r="A919" s="277" t="s">
        <v>357</v>
      </c>
      <c r="B919" s="264">
        <v>45855.0</v>
      </c>
      <c r="C919" s="265" t="s">
        <v>972</v>
      </c>
      <c r="D919" s="266" t="s">
        <v>1029</v>
      </c>
      <c r="E919" s="267" t="s">
        <v>980</v>
      </c>
      <c r="F919" s="289"/>
      <c r="G919" s="269">
        <v>12000.0</v>
      </c>
      <c r="H919" s="270">
        <v>0.0</v>
      </c>
      <c r="I919" s="269">
        <v>12000.0</v>
      </c>
      <c r="J919" s="271">
        <v>12000.0</v>
      </c>
      <c r="K919" s="272">
        <f t="shared" si="2"/>
        <v>0</v>
      </c>
      <c r="L919" s="290"/>
      <c r="M919" s="290"/>
      <c r="N919" s="290"/>
    </row>
    <row r="920" ht="26.25" customHeight="1">
      <c r="A920" s="274"/>
      <c r="B920" s="264">
        <v>45857.0</v>
      </c>
      <c r="C920" s="265" t="s">
        <v>960</v>
      </c>
      <c r="D920" s="266" t="s">
        <v>1340</v>
      </c>
      <c r="E920" s="267" t="s">
        <v>1328</v>
      </c>
      <c r="F920" s="289"/>
      <c r="G920" s="269">
        <v>90000.0</v>
      </c>
      <c r="H920" s="270">
        <v>0.0</v>
      </c>
      <c r="I920" s="269">
        <v>90000.0</v>
      </c>
      <c r="J920" s="271">
        <v>90000.0</v>
      </c>
      <c r="K920" s="272">
        <f t="shared" si="2"/>
        <v>0</v>
      </c>
      <c r="L920" s="290"/>
      <c r="M920" s="290"/>
      <c r="N920" s="290"/>
    </row>
    <row r="921" ht="26.25" customHeight="1">
      <c r="A921" s="290"/>
      <c r="B921" s="264">
        <v>45857.0</v>
      </c>
      <c r="C921" s="265" t="s">
        <v>974</v>
      </c>
      <c r="D921" s="266" t="s">
        <v>1029</v>
      </c>
      <c r="E921" s="267" t="s">
        <v>2029</v>
      </c>
      <c r="F921" s="289"/>
      <c r="G921" s="269">
        <v>25000.0</v>
      </c>
      <c r="H921" s="270">
        <v>0.0</v>
      </c>
      <c r="I921" s="269">
        <v>25000.0</v>
      </c>
      <c r="J921" s="271">
        <v>25000.0</v>
      </c>
      <c r="K921" s="272">
        <f t="shared" si="2"/>
        <v>0</v>
      </c>
      <c r="L921" s="290"/>
      <c r="M921" s="290"/>
      <c r="N921" s="290"/>
    </row>
    <row r="922" ht="26.25" customHeight="1">
      <c r="A922" s="290"/>
      <c r="B922" s="264">
        <v>45858.0</v>
      </c>
      <c r="C922" s="265" t="s">
        <v>974</v>
      </c>
      <c r="D922" s="266" t="s">
        <v>1340</v>
      </c>
      <c r="E922" s="267" t="s">
        <v>2030</v>
      </c>
      <c r="F922" s="289"/>
      <c r="G922" s="269">
        <v>120000.0</v>
      </c>
      <c r="H922" s="270">
        <v>0.0</v>
      </c>
      <c r="I922" s="269">
        <v>120000.0</v>
      </c>
      <c r="J922" s="271">
        <v>120000.0</v>
      </c>
      <c r="K922" s="272">
        <f t="shared" si="2"/>
        <v>0</v>
      </c>
      <c r="L922" s="290"/>
      <c r="M922" s="290"/>
      <c r="N922" s="290"/>
    </row>
    <row r="923" ht="26.25" customHeight="1">
      <c r="A923" s="281" t="s">
        <v>2020</v>
      </c>
      <c r="B923" s="264">
        <v>45858.0</v>
      </c>
      <c r="C923" s="275" t="s">
        <v>957</v>
      </c>
      <c r="D923" s="266" t="s">
        <v>31</v>
      </c>
      <c r="E923" s="267" t="s">
        <v>2031</v>
      </c>
      <c r="F923" s="268"/>
      <c r="G923" s="269">
        <v>77000.0</v>
      </c>
      <c r="H923" s="270">
        <v>0.0</v>
      </c>
      <c r="I923" s="269">
        <v>77000.0</v>
      </c>
      <c r="J923" s="271">
        <v>77000.0</v>
      </c>
      <c r="K923" s="272">
        <f t="shared" si="2"/>
        <v>0</v>
      </c>
      <c r="L923" s="273"/>
      <c r="M923" s="273"/>
      <c r="N923" s="273"/>
    </row>
    <row r="924" ht="26.25" customHeight="1">
      <c r="A924" s="273"/>
      <c r="B924" s="264">
        <v>45858.0</v>
      </c>
      <c r="C924" s="275" t="s">
        <v>974</v>
      </c>
      <c r="D924" s="266" t="s">
        <v>2018</v>
      </c>
      <c r="E924" s="267" t="s">
        <v>2032</v>
      </c>
      <c r="F924" s="268"/>
      <c r="G924" s="269">
        <v>15000.0</v>
      </c>
      <c r="H924" s="270">
        <v>0.0</v>
      </c>
      <c r="I924" s="269">
        <v>15000.0</v>
      </c>
      <c r="J924" s="271">
        <v>15000.0</v>
      </c>
      <c r="K924" s="272">
        <f t="shared" si="2"/>
        <v>0</v>
      </c>
      <c r="L924" s="273"/>
      <c r="M924" s="273"/>
      <c r="N924" s="273"/>
    </row>
    <row r="925" ht="26.25" customHeight="1">
      <c r="A925" s="273"/>
      <c r="B925" s="264">
        <v>45858.0</v>
      </c>
      <c r="C925" s="275" t="s">
        <v>974</v>
      </c>
      <c r="D925" s="266" t="s">
        <v>31</v>
      </c>
      <c r="E925" s="267" t="s">
        <v>993</v>
      </c>
      <c r="F925" s="268"/>
      <c r="G925" s="269">
        <v>13000.0</v>
      </c>
      <c r="H925" s="270">
        <v>0.0</v>
      </c>
      <c r="I925" s="269">
        <v>13000.0</v>
      </c>
      <c r="J925" s="271">
        <v>13000.0</v>
      </c>
      <c r="K925" s="272">
        <f t="shared" si="2"/>
        <v>0</v>
      </c>
      <c r="L925" s="273"/>
      <c r="M925" s="273"/>
      <c r="N925" s="273"/>
    </row>
    <row r="926" ht="26.25" customHeight="1">
      <c r="A926" s="273"/>
      <c r="B926" s="264">
        <v>45858.0</v>
      </c>
      <c r="C926" s="275" t="s">
        <v>974</v>
      </c>
      <c r="D926" s="266" t="s">
        <v>1407</v>
      </c>
      <c r="E926" s="267" t="s">
        <v>2033</v>
      </c>
      <c r="F926" s="268"/>
      <c r="G926" s="269">
        <v>10000.0</v>
      </c>
      <c r="H926" s="270">
        <v>0.0</v>
      </c>
      <c r="I926" s="269">
        <v>10000.0</v>
      </c>
      <c r="J926" s="271">
        <v>10000.0</v>
      </c>
      <c r="K926" s="272">
        <f t="shared" si="2"/>
        <v>0</v>
      </c>
      <c r="L926" s="273"/>
      <c r="M926" s="273"/>
      <c r="N926" s="273"/>
    </row>
    <row r="927" ht="26.25" customHeight="1">
      <c r="A927" s="273"/>
      <c r="B927" s="264">
        <v>45858.0</v>
      </c>
      <c r="C927" s="275" t="s">
        <v>974</v>
      </c>
      <c r="D927" s="266" t="s">
        <v>31</v>
      </c>
      <c r="E927" s="267" t="s">
        <v>2034</v>
      </c>
      <c r="F927" s="268"/>
      <c r="G927" s="269">
        <v>5000.0</v>
      </c>
      <c r="H927" s="270">
        <v>0.0</v>
      </c>
      <c r="I927" s="269">
        <v>5000.0</v>
      </c>
      <c r="J927" s="271">
        <v>5000.0</v>
      </c>
      <c r="K927" s="272">
        <f t="shared" si="2"/>
        <v>0</v>
      </c>
      <c r="L927" s="273"/>
      <c r="M927" s="273"/>
      <c r="N927" s="273"/>
    </row>
    <row r="928" ht="26.25" customHeight="1">
      <c r="A928" s="290"/>
      <c r="B928" s="264">
        <v>45859.0</v>
      </c>
      <c r="C928" s="265" t="s">
        <v>965</v>
      </c>
      <c r="D928" s="266" t="s">
        <v>1029</v>
      </c>
      <c r="E928" s="267" t="s">
        <v>2035</v>
      </c>
      <c r="F928" s="289"/>
      <c r="G928" s="269">
        <v>1770500.0</v>
      </c>
      <c r="H928" s="270">
        <v>0.0</v>
      </c>
      <c r="I928" s="269">
        <v>1770500.0</v>
      </c>
      <c r="J928" s="271">
        <v>1770500.0</v>
      </c>
      <c r="K928" s="272">
        <f t="shared" si="2"/>
        <v>0</v>
      </c>
      <c r="L928" s="290"/>
      <c r="M928" s="290"/>
      <c r="N928" s="290"/>
    </row>
    <row r="929" ht="26.25" customHeight="1">
      <c r="A929" s="290"/>
      <c r="B929" s="264">
        <v>45859.0</v>
      </c>
      <c r="C929" s="265" t="s">
        <v>974</v>
      </c>
      <c r="D929" s="266" t="s">
        <v>1029</v>
      </c>
      <c r="E929" s="267" t="s">
        <v>2036</v>
      </c>
      <c r="F929" s="289"/>
      <c r="G929" s="269">
        <v>25000.0</v>
      </c>
      <c r="H929" s="270">
        <v>0.0</v>
      </c>
      <c r="I929" s="269">
        <v>25000.0</v>
      </c>
      <c r="J929" s="271">
        <v>25000.0</v>
      </c>
      <c r="K929" s="272">
        <f t="shared" si="2"/>
        <v>0</v>
      </c>
      <c r="L929" s="290"/>
      <c r="M929" s="290"/>
      <c r="N929" s="290"/>
    </row>
    <row r="930" ht="26.25" customHeight="1">
      <c r="A930" s="290"/>
      <c r="B930" s="264">
        <v>45859.0</v>
      </c>
      <c r="C930" s="265" t="s">
        <v>960</v>
      </c>
      <c r="D930" s="266" t="s">
        <v>31</v>
      </c>
      <c r="E930" s="267" t="s">
        <v>2037</v>
      </c>
      <c r="F930" s="289"/>
      <c r="G930" s="269">
        <v>7000.0</v>
      </c>
      <c r="H930" s="270">
        <v>0.0</v>
      </c>
      <c r="I930" s="269">
        <v>7000.0</v>
      </c>
      <c r="J930" s="271">
        <v>7000.0</v>
      </c>
      <c r="K930" s="272">
        <f t="shared" si="2"/>
        <v>0</v>
      </c>
      <c r="L930" s="290"/>
      <c r="M930" s="290"/>
      <c r="N930" s="290"/>
    </row>
    <row r="931" ht="26.25" customHeight="1">
      <c r="A931" s="290"/>
      <c r="B931" s="264">
        <v>45860.0</v>
      </c>
      <c r="C931" s="265" t="s">
        <v>974</v>
      </c>
      <c r="D931" s="266" t="s">
        <v>31</v>
      </c>
      <c r="E931" s="267" t="s">
        <v>2038</v>
      </c>
      <c r="F931" s="289"/>
      <c r="G931" s="269">
        <v>90000.0</v>
      </c>
      <c r="H931" s="270">
        <v>0.0</v>
      </c>
      <c r="I931" s="269">
        <v>90000.0</v>
      </c>
      <c r="J931" s="271">
        <v>90000.0</v>
      </c>
      <c r="K931" s="272">
        <f t="shared" si="2"/>
        <v>0</v>
      </c>
      <c r="L931" s="290"/>
      <c r="M931" s="290"/>
      <c r="N931" s="290"/>
    </row>
    <row r="932" ht="26.25" customHeight="1">
      <c r="A932" s="273"/>
      <c r="B932" s="264">
        <v>45860.0</v>
      </c>
      <c r="C932" s="275" t="s">
        <v>974</v>
      </c>
      <c r="D932" s="266" t="s">
        <v>1407</v>
      </c>
      <c r="E932" s="267" t="s">
        <v>2039</v>
      </c>
      <c r="F932" s="268"/>
      <c r="G932" s="269">
        <v>25000.0</v>
      </c>
      <c r="H932" s="270">
        <v>0.0</v>
      </c>
      <c r="I932" s="269">
        <v>25000.0</v>
      </c>
      <c r="J932" s="271">
        <v>25000.0</v>
      </c>
      <c r="K932" s="272">
        <f t="shared" si="2"/>
        <v>0</v>
      </c>
      <c r="L932" s="273"/>
      <c r="M932" s="273"/>
      <c r="N932" s="273"/>
    </row>
    <row r="933" ht="26.25" customHeight="1">
      <c r="A933" s="273"/>
      <c r="B933" s="264">
        <v>45861.0</v>
      </c>
      <c r="C933" s="275" t="s">
        <v>960</v>
      </c>
      <c r="D933" s="266" t="s">
        <v>1029</v>
      </c>
      <c r="E933" s="267" t="s">
        <v>1140</v>
      </c>
      <c r="F933" s="268"/>
      <c r="G933" s="269">
        <v>25000.0</v>
      </c>
      <c r="H933" s="270">
        <v>0.0</v>
      </c>
      <c r="I933" s="269">
        <v>25000.0</v>
      </c>
      <c r="J933" s="271">
        <v>25000.0</v>
      </c>
      <c r="K933" s="272">
        <f t="shared" si="2"/>
        <v>0</v>
      </c>
      <c r="L933" s="273"/>
      <c r="M933" s="273"/>
      <c r="N933" s="273"/>
    </row>
    <row r="934" ht="26.25" customHeight="1">
      <c r="A934" s="290"/>
      <c r="B934" s="264">
        <v>45864.0</v>
      </c>
      <c r="C934" s="265" t="s">
        <v>974</v>
      </c>
      <c r="D934" s="266" t="s">
        <v>824</v>
      </c>
      <c r="E934" s="267" t="s">
        <v>2040</v>
      </c>
      <c r="F934" s="289"/>
      <c r="G934" s="269">
        <v>450000.0</v>
      </c>
      <c r="H934" s="270">
        <v>0.0</v>
      </c>
      <c r="I934" s="269">
        <v>450000.0</v>
      </c>
      <c r="J934" s="271">
        <v>450000.0</v>
      </c>
      <c r="K934" s="272">
        <f t="shared" si="2"/>
        <v>0</v>
      </c>
      <c r="L934" s="290"/>
      <c r="M934" s="290"/>
      <c r="N934" s="290"/>
    </row>
    <row r="935" ht="26.25" customHeight="1">
      <c r="A935" s="288" t="s">
        <v>2041</v>
      </c>
      <c r="B935" s="264">
        <v>45864.0</v>
      </c>
      <c r="C935" s="265" t="s">
        <v>965</v>
      </c>
      <c r="D935" s="266" t="s">
        <v>1029</v>
      </c>
      <c r="E935" s="267" t="s">
        <v>980</v>
      </c>
      <c r="F935" s="289"/>
      <c r="G935" s="269">
        <v>213000.0</v>
      </c>
      <c r="H935" s="270">
        <v>0.0</v>
      </c>
      <c r="I935" s="269">
        <v>213000.0</v>
      </c>
      <c r="J935" s="271">
        <v>213000.0</v>
      </c>
      <c r="K935" s="272">
        <f t="shared" si="2"/>
        <v>0</v>
      </c>
      <c r="L935" s="290"/>
      <c r="M935" s="290"/>
      <c r="N935" s="290"/>
    </row>
    <row r="936" ht="26.25" customHeight="1">
      <c r="A936" s="274"/>
      <c r="B936" s="264">
        <v>45864.0</v>
      </c>
      <c r="C936" s="265" t="s">
        <v>974</v>
      </c>
      <c r="D936" s="266" t="s">
        <v>31</v>
      </c>
      <c r="E936" s="267" t="s">
        <v>2042</v>
      </c>
      <c r="F936" s="289"/>
      <c r="G936" s="269">
        <v>60000.0</v>
      </c>
      <c r="H936" s="270">
        <v>0.0</v>
      </c>
      <c r="I936" s="269">
        <v>60000.0</v>
      </c>
      <c r="J936" s="271">
        <v>60000.0</v>
      </c>
      <c r="K936" s="272">
        <f t="shared" si="2"/>
        <v>0</v>
      </c>
      <c r="L936" s="290"/>
      <c r="M936" s="290"/>
      <c r="N936" s="290"/>
    </row>
    <row r="937" ht="26.25" customHeight="1">
      <c r="A937" s="273"/>
      <c r="B937" s="264">
        <v>45864.0</v>
      </c>
      <c r="C937" s="275" t="s">
        <v>974</v>
      </c>
      <c r="D937" s="266" t="s">
        <v>1407</v>
      </c>
      <c r="E937" s="267" t="s">
        <v>2043</v>
      </c>
      <c r="F937" s="268"/>
      <c r="G937" s="269">
        <v>15000.0</v>
      </c>
      <c r="H937" s="270">
        <v>0.0</v>
      </c>
      <c r="I937" s="269">
        <v>15000.0</v>
      </c>
      <c r="J937" s="271">
        <v>15000.0</v>
      </c>
      <c r="K937" s="272">
        <f t="shared" si="2"/>
        <v>0</v>
      </c>
      <c r="L937" s="273"/>
      <c r="M937" s="273"/>
      <c r="N937" s="273"/>
    </row>
    <row r="938" ht="26.25" customHeight="1">
      <c r="A938" s="273"/>
      <c r="B938" s="264">
        <v>45865.0</v>
      </c>
      <c r="C938" s="275" t="s">
        <v>974</v>
      </c>
      <c r="D938" s="266" t="s">
        <v>31</v>
      </c>
      <c r="E938" s="267" t="s">
        <v>2044</v>
      </c>
      <c r="F938" s="268"/>
      <c r="G938" s="269">
        <v>135000.0</v>
      </c>
      <c r="H938" s="270">
        <v>0.0</v>
      </c>
      <c r="I938" s="269">
        <v>135000.0</v>
      </c>
      <c r="J938" s="271">
        <v>135000.0</v>
      </c>
      <c r="K938" s="272">
        <f t="shared" si="2"/>
        <v>0</v>
      </c>
      <c r="L938" s="273"/>
      <c r="M938" s="273"/>
      <c r="N938" s="273"/>
    </row>
    <row r="939" ht="26.25" customHeight="1">
      <c r="A939" s="290"/>
      <c r="B939" s="264">
        <v>45865.0</v>
      </c>
      <c r="C939" s="265" t="s">
        <v>963</v>
      </c>
      <c r="D939" s="266" t="s">
        <v>824</v>
      </c>
      <c r="E939" s="267" t="s">
        <v>2045</v>
      </c>
      <c r="F939" s="289"/>
      <c r="G939" s="269">
        <v>40000.0</v>
      </c>
      <c r="H939" s="270">
        <v>0.0</v>
      </c>
      <c r="I939" s="269">
        <v>40000.0</v>
      </c>
      <c r="J939" s="271">
        <v>40000.0</v>
      </c>
      <c r="K939" s="272">
        <f t="shared" si="2"/>
        <v>0</v>
      </c>
      <c r="L939" s="290"/>
      <c r="M939" s="290"/>
      <c r="N939" s="290"/>
    </row>
    <row r="940" ht="26.25" customHeight="1">
      <c r="A940" s="290"/>
      <c r="B940" s="264">
        <v>45865.0</v>
      </c>
      <c r="C940" s="265" t="s">
        <v>974</v>
      </c>
      <c r="D940" s="266" t="s">
        <v>1029</v>
      </c>
      <c r="E940" s="267" t="s">
        <v>2046</v>
      </c>
      <c r="F940" s="289"/>
      <c r="G940" s="269">
        <v>25000.0</v>
      </c>
      <c r="H940" s="270">
        <v>0.0</v>
      </c>
      <c r="I940" s="269">
        <v>25000.0</v>
      </c>
      <c r="J940" s="271">
        <v>25000.0</v>
      </c>
      <c r="K940" s="272">
        <f t="shared" si="2"/>
        <v>0</v>
      </c>
      <c r="L940" s="290"/>
      <c r="M940" s="290"/>
      <c r="N940" s="290"/>
    </row>
    <row r="941" ht="26.25" customHeight="1">
      <c r="A941" s="290"/>
      <c r="B941" s="264">
        <v>45865.0</v>
      </c>
      <c r="C941" s="265" t="s">
        <v>974</v>
      </c>
      <c r="D941" s="266" t="s">
        <v>237</v>
      </c>
      <c r="E941" s="267" t="s">
        <v>2047</v>
      </c>
      <c r="F941" s="289"/>
      <c r="G941" s="269">
        <v>20000.0</v>
      </c>
      <c r="H941" s="270">
        <v>0.0</v>
      </c>
      <c r="I941" s="269">
        <v>20000.0</v>
      </c>
      <c r="J941" s="271">
        <v>20000.0</v>
      </c>
      <c r="K941" s="272">
        <f t="shared" si="2"/>
        <v>0</v>
      </c>
      <c r="L941" s="290"/>
      <c r="M941" s="290"/>
      <c r="N941" s="290"/>
    </row>
    <row r="942" ht="26.25" customHeight="1">
      <c r="A942" s="290"/>
      <c r="B942" s="264">
        <v>45867.0</v>
      </c>
      <c r="C942" s="265" t="s">
        <v>974</v>
      </c>
      <c r="D942" s="266" t="s">
        <v>237</v>
      </c>
      <c r="E942" s="267" t="s">
        <v>2048</v>
      </c>
      <c r="F942" s="289"/>
      <c r="G942" s="269">
        <v>25000.0</v>
      </c>
      <c r="H942" s="270">
        <v>0.0</v>
      </c>
      <c r="I942" s="269">
        <v>25000.0</v>
      </c>
      <c r="J942" s="271">
        <v>25000.0</v>
      </c>
      <c r="K942" s="272">
        <f t="shared" si="2"/>
        <v>0</v>
      </c>
      <c r="L942" s="290"/>
      <c r="M942" s="290"/>
      <c r="N942" s="290"/>
    </row>
    <row r="943" ht="26.25" customHeight="1">
      <c r="A943" s="290"/>
      <c r="B943" s="264">
        <v>45867.0</v>
      </c>
      <c r="C943" s="265" t="s">
        <v>974</v>
      </c>
      <c r="D943" s="266" t="s">
        <v>1029</v>
      </c>
      <c r="E943" s="267" t="s">
        <v>1690</v>
      </c>
      <c r="F943" s="289"/>
      <c r="G943" s="269">
        <v>7000.0</v>
      </c>
      <c r="H943" s="270">
        <v>0.0</v>
      </c>
      <c r="I943" s="269">
        <v>7000.0</v>
      </c>
      <c r="J943" s="271">
        <v>7000.0</v>
      </c>
      <c r="K943" s="272">
        <f t="shared" si="2"/>
        <v>0</v>
      </c>
      <c r="L943" s="290"/>
      <c r="M943" s="290"/>
      <c r="N943" s="290"/>
    </row>
    <row r="944" ht="26.25" customHeight="1">
      <c r="A944" s="290"/>
      <c r="B944" s="264">
        <v>45867.0</v>
      </c>
      <c r="C944" s="265" t="s">
        <v>1035</v>
      </c>
      <c r="D944" s="266" t="s">
        <v>824</v>
      </c>
      <c r="E944" s="267" t="s">
        <v>2049</v>
      </c>
      <c r="F944" s="289"/>
      <c r="G944" s="269">
        <v>6000.0</v>
      </c>
      <c r="H944" s="270">
        <v>0.0</v>
      </c>
      <c r="I944" s="269">
        <v>6000.0</v>
      </c>
      <c r="J944" s="271">
        <v>6000.0</v>
      </c>
      <c r="K944" s="272">
        <f t="shared" si="2"/>
        <v>0</v>
      </c>
      <c r="L944" s="290"/>
      <c r="M944" s="290"/>
      <c r="N944" s="290"/>
    </row>
    <row r="945" ht="26.25" customHeight="1">
      <c r="A945" s="290"/>
      <c r="B945" s="264">
        <v>45867.0</v>
      </c>
      <c r="C945" s="265" t="s">
        <v>963</v>
      </c>
      <c r="D945" s="266" t="s">
        <v>1029</v>
      </c>
      <c r="E945" s="267" t="s">
        <v>963</v>
      </c>
      <c r="F945" s="289"/>
      <c r="G945" s="269">
        <v>5000.0</v>
      </c>
      <c r="H945" s="270">
        <v>0.0</v>
      </c>
      <c r="I945" s="269">
        <v>5000.0</v>
      </c>
      <c r="J945" s="271">
        <v>5000.0</v>
      </c>
      <c r="K945" s="272">
        <f t="shared" si="2"/>
        <v>0</v>
      </c>
      <c r="L945" s="290"/>
      <c r="M945" s="290"/>
      <c r="N945" s="290"/>
    </row>
    <row r="946" ht="26.25" customHeight="1">
      <c r="A946" s="289"/>
      <c r="B946" s="264">
        <v>45869.0</v>
      </c>
      <c r="C946" s="265" t="s">
        <v>963</v>
      </c>
      <c r="D946" s="266" t="s">
        <v>824</v>
      </c>
      <c r="E946" s="267" t="s">
        <v>2050</v>
      </c>
      <c r="F946" s="289"/>
      <c r="G946" s="269">
        <v>475000.0</v>
      </c>
      <c r="H946" s="270">
        <v>0.0</v>
      </c>
      <c r="I946" s="269">
        <v>475000.0</v>
      </c>
      <c r="J946" s="271">
        <v>475000.0</v>
      </c>
      <c r="K946" s="272">
        <f t="shared" si="2"/>
        <v>0</v>
      </c>
      <c r="L946" s="290"/>
      <c r="M946" s="290"/>
      <c r="N946" s="290"/>
    </row>
    <row r="947" ht="26.25" customHeight="1">
      <c r="A947" s="290"/>
      <c r="B947" s="264">
        <v>45869.0</v>
      </c>
      <c r="C947" s="265" t="s">
        <v>1098</v>
      </c>
      <c r="D947" s="266" t="s">
        <v>1029</v>
      </c>
      <c r="E947" s="267" t="s">
        <v>2051</v>
      </c>
      <c r="F947" s="289"/>
      <c r="G947" s="269">
        <v>110000.0</v>
      </c>
      <c r="H947" s="270">
        <v>0.0</v>
      </c>
      <c r="I947" s="269">
        <v>110000.0</v>
      </c>
      <c r="J947" s="271">
        <v>110000.0</v>
      </c>
      <c r="K947" s="272">
        <f t="shared" si="2"/>
        <v>0</v>
      </c>
      <c r="L947" s="290"/>
      <c r="M947" s="290"/>
      <c r="N947" s="290"/>
    </row>
    <row r="948" ht="26.25" customHeight="1">
      <c r="A948" s="290"/>
      <c r="B948" s="264">
        <v>45869.0</v>
      </c>
      <c r="C948" s="265" t="s">
        <v>974</v>
      </c>
      <c r="D948" s="266" t="s">
        <v>824</v>
      </c>
      <c r="E948" s="267" t="s">
        <v>2052</v>
      </c>
      <c r="F948" s="289"/>
      <c r="G948" s="269">
        <v>75000.0</v>
      </c>
      <c r="H948" s="270">
        <v>0.0</v>
      </c>
      <c r="I948" s="269">
        <v>75000.0</v>
      </c>
      <c r="J948" s="271">
        <v>75000.0</v>
      </c>
      <c r="K948" s="272">
        <f t="shared" si="2"/>
        <v>0</v>
      </c>
      <c r="L948" s="290"/>
      <c r="M948" s="290"/>
      <c r="N948" s="290"/>
    </row>
    <row r="949" ht="26.25" customHeight="1">
      <c r="A949" s="290"/>
      <c r="B949" s="264">
        <v>45869.0</v>
      </c>
      <c r="C949" s="265" t="s">
        <v>974</v>
      </c>
      <c r="D949" s="266" t="s">
        <v>824</v>
      </c>
      <c r="E949" s="267" t="s">
        <v>2053</v>
      </c>
      <c r="F949" s="289"/>
      <c r="G949" s="269">
        <v>15000.0</v>
      </c>
      <c r="H949" s="270">
        <v>0.0</v>
      </c>
      <c r="I949" s="269">
        <v>15000.0</v>
      </c>
      <c r="J949" s="271">
        <v>15000.0</v>
      </c>
      <c r="K949" s="272">
        <f t="shared" si="2"/>
        <v>0</v>
      </c>
      <c r="L949" s="290"/>
      <c r="M949" s="290"/>
      <c r="N949" s="290"/>
    </row>
    <row r="950" ht="26.25" customHeight="1">
      <c r="A950" s="290"/>
      <c r="B950" s="264">
        <v>45869.0</v>
      </c>
      <c r="C950" s="265" t="s">
        <v>974</v>
      </c>
      <c r="D950" s="266" t="s">
        <v>20</v>
      </c>
      <c r="E950" s="267" t="s">
        <v>1563</v>
      </c>
      <c r="F950" s="289"/>
      <c r="G950" s="269">
        <v>10000.0</v>
      </c>
      <c r="H950" s="270">
        <v>0.0</v>
      </c>
      <c r="I950" s="269">
        <v>10000.0</v>
      </c>
      <c r="J950" s="271">
        <v>10000.0</v>
      </c>
      <c r="K950" s="272">
        <f t="shared" si="2"/>
        <v>0</v>
      </c>
      <c r="L950" s="290"/>
      <c r="M950" s="290"/>
      <c r="N950" s="290"/>
    </row>
    <row r="951" ht="26.25" customHeight="1">
      <c r="A951" s="273"/>
      <c r="B951" s="264">
        <v>45870.0</v>
      </c>
      <c r="C951" s="275" t="s">
        <v>1767</v>
      </c>
      <c r="D951" s="266" t="s">
        <v>31</v>
      </c>
      <c r="E951" s="267" t="s">
        <v>1768</v>
      </c>
      <c r="F951" s="263">
        <v>1.0</v>
      </c>
      <c r="G951" s="269">
        <v>2258333.0</v>
      </c>
      <c r="H951" s="270">
        <v>0.0</v>
      </c>
      <c r="I951" s="269">
        <v>2258333.0</v>
      </c>
      <c r="J951" s="271">
        <v>2258333.0</v>
      </c>
      <c r="K951" s="272">
        <f t="shared" si="2"/>
        <v>0</v>
      </c>
      <c r="L951" s="273"/>
      <c r="M951" s="273"/>
      <c r="N951" s="273"/>
    </row>
    <row r="952" ht="26.25" customHeight="1">
      <c r="A952" s="273"/>
      <c r="B952" s="264">
        <v>45870.0</v>
      </c>
      <c r="C952" s="275" t="s">
        <v>974</v>
      </c>
      <c r="D952" s="266" t="s">
        <v>824</v>
      </c>
      <c r="E952" s="267" t="s">
        <v>2054</v>
      </c>
      <c r="F952" s="268"/>
      <c r="G952" s="269">
        <v>25000.0</v>
      </c>
      <c r="H952" s="270">
        <v>0.0</v>
      </c>
      <c r="I952" s="269">
        <v>25000.0</v>
      </c>
      <c r="J952" s="271">
        <v>25000.0</v>
      </c>
      <c r="K952" s="272">
        <f t="shared" si="2"/>
        <v>0</v>
      </c>
      <c r="L952" s="273"/>
      <c r="M952" s="273"/>
      <c r="N952" s="273"/>
    </row>
    <row r="953" ht="26.25" customHeight="1">
      <c r="A953" s="273"/>
      <c r="B953" s="264">
        <v>45871.0</v>
      </c>
      <c r="C953" s="275" t="s">
        <v>974</v>
      </c>
      <c r="D953" s="266" t="s">
        <v>1340</v>
      </c>
      <c r="E953" s="267" t="s">
        <v>2055</v>
      </c>
      <c r="F953" s="268"/>
      <c r="G953" s="269">
        <v>160000.0</v>
      </c>
      <c r="H953" s="270">
        <v>0.0</v>
      </c>
      <c r="I953" s="269">
        <v>160000.0</v>
      </c>
      <c r="J953" s="271">
        <v>160000.0</v>
      </c>
      <c r="K953" s="272">
        <f t="shared" si="2"/>
        <v>0</v>
      </c>
      <c r="L953" s="273"/>
      <c r="M953" s="273"/>
      <c r="N953" s="273"/>
    </row>
    <row r="954" ht="26.25" customHeight="1">
      <c r="A954" s="273"/>
      <c r="B954" s="264">
        <v>45871.0</v>
      </c>
      <c r="C954" s="275" t="s">
        <v>974</v>
      </c>
      <c r="D954" s="266" t="s">
        <v>20</v>
      </c>
      <c r="E954" s="267" t="s">
        <v>2056</v>
      </c>
      <c r="F954" s="268"/>
      <c r="G954" s="269">
        <v>35000.0</v>
      </c>
      <c r="H954" s="270">
        <v>0.0</v>
      </c>
      <c r="I954" s="269">
        <v>35000.0</v>
      </c>
      <c r="J954" s="271">
        <v>35000.0</v>
      </c>
      <c r="K954" s="272">
        <f t="shared" si="2"/>
        <v>0</v>
      </c>
      <c r="L954" s="273"/>
      <c r="M954" s="273"/>
      <c r="N954" s="273"/>
    </row>
    <row r="955" ht="26.25" customHeight="1">
      <c r="A955" s="273"/>
      <c r="B955" s="264">
        <v>45871.0</v>
      </c>
      <c r="C955" s="275" t="s">
        <v>974</v>
      </c>
      <c r="D955" s="266" t="s">
        <v>824</v>
      </c>
      <c r="E955" s="267" t="s">
        <v>1563</v>
      </c>
      <c r="F955" s="268"/>
      <c r="G955" s="269">
        <v>7000.0</v>
      </c>
      <c r="H955" s="270">
        <v>0.0</v>
      </c>
      <c r="I955" s="269">
        <v>7000.0</v>
      </c>
      <c r="J955" s="271">
        <v>7000.0</v>
      </c>
      <c r="K955" s="272">
        <f t="shared" si="2"/>
        <v>0</v>
      </c>
      <c r="L955" s="273"/>
      <c r="M955" s="273"/>
      <c r="N955" s="273"/>
    </row>
    <row r="956" ht="26.25" customHeight="1">
      <c r="A956" s="290"/>
      <c r="B956" s="264">
        <v>45872.0</v>
      </c>
      <c r="C956" s="265" t="s">
        <v>974</v>
      </c>
      <c r="D956" s="266" t="s">
        <v>1340</v>
      </c>
      <c r="E956" s="267" t="s">
        <v>2057</v>
      </c>
      <c r="F956" s="289"/>
      <c r="G956" s="269">
        <v>30000.0</v>
      </c>
      <c r="H956" s="270">
        <v>0.0</v>
      </c>
      <c r="I956" s="269">
        <v>30000.0</v>
      </c>
      <c r="J956" s="271">
        <v>30000.0</v>
      </c>
      <c r="K956" s="272">
        <f t="shared" si="2"/>
        <v>0</v>
      </c>
      <c r="L956" s="290"/>
      <c r="M956" s="290"/>
      <c r="N956" s="290"/>
    </row>
    <row r="957" ht="26.25" customHeight="1">
      <c r="A957" s="290"/>
      <c r="B957" s="264">
        <v>45872.0</v>
      </c>
      <c r="C957" s="265" t="s">
        <v>974</v>
      </c>
      <c r="D957" s="266" t="s">
        <v>237</v>
      </c>
      <c r="E957" s="267" t="s">
        <v>2058</v>
      </c>
      <c r="F957" s="289"/>
      <c r="G957" s="269">
        <v>26000.0</v>
      </c>
      <c r="H957" s="270">
        <v>0.0</v>
      </c>
      <c r="I957" s="269">
        <v>26000.0</v>
      </c>
      <c r="J957" s="271">
        <v>26000.0</v>
      </c>
      <c r="K957" s="272">
        <f t="shared" si="2"/>
        <v>0</v>
      </c>
      <c r="L957" s="290"/>
      <c r="M957" s="290"/>
      <c r="N957" s="290"/>
    </row>
    <row r="958" ht="26.25" customHeight="1">
      <c r="A958" s="290"/>
      <c r="B958" s="264">
        <v>45872.0</v>
      </c>
      <c r="C958" s="265" t="s">
        <v>974</v>
      </c>
      <c r="D958" s="266" t="s">
        <v>1340</v>
      </c>
      <c r="E958" s="267" t="s">
        <v>2059</v>
      </c>
      <c r="F958" s="289"/>
      <c r="G958" s="269">
        <v>25000.0</v>
      </c>
      <c r="H958" s="270">
        <v>0.0</v>
      </c>
      <c r="I958" s="269">
        <v>25000.0</v>
      </c>
      <c r="J958" s="271">
        <v>25000.0</v>
      </c>
      <c r="K958" s="272">
        <f t="shared" si="2"/>
        <v>0</v>
      </c>
      <c r="L958" s="290"/>
      <c r="M958" s="290"/>
      <c r="N958" s="290"/>
    </row>
    <row r="959" ht="26.25" customHeight="1">
      <c r="A959" s="274"/>
      <c r="B959" s="264">
        <v>45873.0</v>
      </c>
      <c r="C959" s="265" t="s">
        <v>963</v>
      </c>
      <c r="D959" s="266" t="s">
        <v>224</v>
      </c>
      <c r="E959" s="267" t="s">
        <v>2060</v>
      </c>
      <c r="F959" s="268"/>
      <c r="G959" s="269">
        <v>155000.0</v>
      </c>
      <c r="H959" s="270">
        <v>0.0</v>
      </c>
      <c r="I959" s="269">
        <v>155000.0</v>
      </c>
      <c r="J959" s="271">
        <v>155000.0</v>
      </c>
      <c r="K959" s="272">
        <f t="shared" si="2"/>
        <v>0</v>
      </c>
      <c r="L959" s="273"/>
      <c r="M959" s="273"/>
      <c r="N959" s="273"/>
    </row>
    <row r="960" ht="26.25" customHeight="1">
      <c r="A960" s="290"/>
      <c r="B960" s="264">
        <v>45875.0</v>
      </c>
      <c r="C960" s="280"/>
      <c r="D960" s="282"/>
      <c r="E960" s="267" t="s">
        <v>2061</v>
      </c>
      <c r="F960" s="289"/>
      <c r="G960" s="269">
        <v>312000.0</v>
      </c>
      <c r="H960" s="270">
        <v>0.0</v>
      </c>
      <c r="I960" s="269">
        <v>312000.0</v>
      </c>
      <c r="J960" s="271">
        <v>312000.0</v>
      </c>
      <c r="K960" s="272">
        <f t="shared" si="2"/>
        <v>0</v>
      </c>
      <c r="L960" s="290"/>
      <c r="M960" s="290"/>
      <c r="N960" s="290"/>
    </row>
    <row r="961" ht="26.25" customHeight="1">
      <c r="A961" s="290"/>
      <c r="B961" s="264">
        <v>45876.0</v>
      </c>
      <c r="C961" s="265" t="s">
        <v>960</v>
      </c>
      <c r="D961" s="266" t="s">
        <v>31</v>
      </c>
      <c r="E961" s="267" t="s">
        <v>1328</v>
      </c>
      <c r="F961" s="289"/>
      <c r="G961" s="269">
        <v>87000.0</v>
      </c>
      <c r="H961" s="270">
        <v>0.0</v>
      </c>
      <c r="I961" s="269">
        <v>87000.0</v>
      </c>
      <c r="J961" s="271">
        <v>87000.0</v>
      </c>
      <c r="K961" s="272">
        <f t="shared" si="2"/>
        <v>0</v>
      </c>
      <c r="L961" s="290"/>
      <c r="M961" s="290"/>
      <c r="N961" s="290"/>
    </row>
    <row r="962" ht="26.25" customHeight="1">
      <c r="A962" s="288" t="s">
        <v>2062</v>
      </c>
      <c r="B962" s="264">
        <v>45878.0</v>
      </c>
      <c r="C962" s="265" t="s">
        <v>965</v>
      </c>
      <c r="D962" s="266" t="s">
        <v>980</v>
      </c>
      <c r="E962" s="267" t="s">
        <v>2063</v>
      </c>
      <c r="F962" s="289"/>
      <c r="G962" s="269">
        <v>97000.0</v>
      </c>
      <c r="H962" s="270">
        <v>0.0</v>
      </c>
      <c r="I962" s="269">
        <v>97000.0</v>
      </c>
      <c r="J962" s="271">
        <v>97000.0</v>
      </c>
      <c r="K962" s="272">
        <f t="shared" si="2"/>
        <v>0</v>
      </c>
      <c r="L962" s="290"/>
      <c r="M962" s="290"/>
      <c r="N962" s="290"/>
    </row>
    <row r="963" ht="26.25" customHeight="1">
      <c r="A963" s="290"/>
      <c r="B963" s="264">
        <v>45878.0</v>
      </c>
      <c r="C963" s="265" t="s">
        <v>974</v>
      </c>
      <c r="D963" s="266" t="s">
        <v>1029</v>
      </c>
      <c r="E963" s="267" t="s">
        <v>2064</v>
      </c>
      <c r="F963" s="289"/>
      <c r="G963" s="269">
        <v>10000.0</v>
      </c>
      <c r="H963" s="270">
        <v>0.0</v>
      </c>
      <c r="I963" s="269">
        <v>10000.0</v>
      </c>
      <c r="J963" s="271">
        <v>10000.0</v>
      </c>
      <c r="K963" s="272">
        <f t="shared" si="2"/>
        <v>0</v>
      </c>
      <c r="L963" s="290"/>
      <c r="M963" s="290"/>
      <c r="N963" s="290"/>
    </row>
    <row r="964" ht="26.25" customHeight="1">
      <c r="A964" s="273"/>
      <c r="B964" s="264">
        <v>45882.0</v>
      </c>
      <c r="C964" s="275" t="s">
        <v>974</v>
      </c>
      <c r="D964" s="266" t="s">
        <v>1029</v>
      </c>
      <c r="E964" s="267" t="s">
        <v>2065</v>
      </c>
      <c r="F964" s="268"/>
      <c r="G964" s="269">
        <v>50000.0</v>
      </c>
      <c r="H964" s="270">
        <v>0.0</v>
      </c>
      <c r="I964" s="269">
        <v>50000.0</v>
      </c>
      <c r="J964" s="271">
        <v>50000.0</v>
      </c>
      <c r="K964" s="272">
        <f t="shared" si="2"/>
        <v>0</v>
      </c>
      <c r="L964" s="273"/>
      <c r="M964" s="273"/>
      <c r="N964" s="273"/>
    </row>
    <row r="965" ht="26.25" customHeight="1">
      <c r="A965" s="273"/>
      <c r="B965" s="264">
        <v>45885.0</v>
      </c>
      <c r="C965" s="275" t="s">
        <v>974</v>
      </c>
      <c r="D965" s="266" t="s">
        <v>824</v>
      </c>
      <c r="E965" s="267" t="s">
        <v>1579</v>
      </c>
      <c r="F965" s="268"/>
      <c r="G965" s="269">
        <v>15000.0</v>
      </c>
      <c r="H965" s="270">
        <v>0.0</v>
      </c>
      <c r="I965" s="269">
        <v>15000.0</v>
      </c>
      <c r="J965" s="271">
        <v>15000.0</v>
      </c>
      <c r="K965" s="272">
        <f t="shared" si="2"/>
        <v>0</v>
      </c>
      <c r="L965" s="273"/>
      <c r="M965" s="273"/>
      <c r="N965" s="273"/>
    </row>
    <row r="966" ht="26.25" customHeight="1">
      <c r="A966" s="290"/>
      <c r="B966" s="264">
        <v>45885.0</v>
      </c>
      <c r="C966" s="265" t="s">
        <v>974</v>
      </c>
      <c r="D966" s="266" t="s">
        <v>824</v>
      </c>
      <c r="E966" s="267" t="s">
        <v>2066</v>
      </c>
      <c r="F966" s="289"/>
      <c r="G966" s="269">
        <v>6000.0</v>
      </c>
      <c r="H966" s="270">
        <v>0.0</v>
      </c>
      <c r="I966" s="269">
        <v>6000.0</v>
      </c>
      <c r="J966" s="271">
        <v>6000.0</v>
      </c>
      <c r="K966" s="272">
        <f t="shared" si="2"/>
        <v>0</v>
      </c>
      <c r="L966" s="290"/>
      <c r="M966" s="290"/>
      <c r="N966" s="290"/>
    </row>
    <row r="967" ht="26.25" customHeight="1">
      <c r="A967" s="290"/>
      <c r="B967" s="264">
        <v>45885.0</v>
      </c>
      <c r="C967" s="265" t="s">
        <v>974</v>
      </c>
      <c r="D967" s="266" t="s">
        <v>1340</v>
      </c>
      <c r="E967" s="267" t="s">
        <v>2067</v>
      </c>
      <c r="F967" s="289"/>
      <c r="G967" s="269">
        <v>5500.0</v>
      </c>
      <c r="H967" s="270">
        <v>0.0</v>
      </c>
      <c r="I967" s="269">
        <v>5500.0</v>
      </c>
      <c r="J967" s="271">
        <v>5500.0</v>
      </c>
      <c r="K967" s="272">
        <f t="shared" si="2"/>
        <v>0</v>
      </c>
      <c r="L967" s="290"/>
      <c r="M967" s="290"/>
      <c r="N967" s="290"/>
    </row>
    <row r="968" ht="26.25" customHeight="1">
      <c r="A968" s="290"/>
      <c r="B968" s="264">
        <v>45885.0</v>
      </c>
      <c r="C968" s="265" t="s">
        <v>974</v>
      </c>
      <c r="D968" s="266" t="s">
        <v>20</v>
      </c>
      <c r="E968" s="267" t="s">
        <v>1943</v>
      </c>
      <c r="F968" s="289"/>
      <c r="G968" s="269">
        <v>5000.0</v>
      </c>
      <c r="H968" s="270">
        <v>0.0</v>
      </c>
      <c r="I968" s="269">
        <v>5000.0</v>
      </c>
      <c r="J968" s="271">
        <v>5000.0</v>
      </c>
      <c r="K968" s="272">
        <f t="shared" si="2"/>
        <v>0</v>
      </c>
      <c r="L968" s="290"/>
      <c r="M968" s="290"/>
      <c r="N968" s="290"/>
    </row>
    <row r="969" ht="26.25" customHeight="1">
      <c r="A969" s="290"/>
      <c r="B969" s="264">
        <v>45886.0</v>
      </c>
      <c r="C969" s="265" t="s">
        <v>965</v>
      </c>
      <c r="D969" s="266" t="s">
        <v>1038</v>
      </c>
      <c r="E969" s="267" t="s">
        <v>2068</v>
      </c>
      <c r="F969" s="289"/>
      <c r="G969" s="269">
        <v>170000.0</v>
      </c>
      <c r="H969" s="270">
        <v>0.0</v>
      </c>
      <c r="I969" s="269">
        <v>170000.0</v>
      </c>
      <c r="J969" s="271">
        <v>170000.0</v>
      </c>
      <c r="K969" s="272">
        <f t="shared" si="2"/>
        <v>0</v>
      </c>
      <c r="L969" s="290"/>
      <c r="M969" s="290"/>
      <c r="N969" s="290"/>
    </row>
    <row r="970" ht="26.25" customHeight="1">
      <c r="A970" s="288" t="s">
        <v>2069</v>
      </c>
      <c r="B970" s="264">
        <v>45886.0</v>
      </c>
      <c r="C970" s="265" t="s">
        <v>972</v>
      </c>
      <c r="D970" s="299" t="s">
        <v>1266</v>
      </c>
      <c r="E970" s="267" t="s">
        <v>2070</v>
      </c>
      <c r="F970" s="289"/>
      <c r="G970" s="269">
        <v>70000.0</v>
      </c>
      <c r="H970" s="270">
        <v>0.0</v>
      </c>
      <c r="I970" s="269">
        <v>70000.0</v>
      </c>
      <c r="J970" s="271">
        <v>70000.0</v>
      </c>
      <c r="K970" s="272">
        <f t="shared" si="2"/>
        <v>0</v>
      </c>
      <c r="L970" s="290"/>
      <c r="M970" s="290"/>
      <c r="N970" s="290"/>
    </row>
    <row r="971" ht="26.25" customHeight="1">
      <c r="A971" s="281" t="s">
        <v>2069</v>
      </c>
      <c r="B971" s="264">
        <v>45886.0</v>
      </c>
      <c r="C971" s="275" t="s">
        <v>972</v>
      </c>
      <c r="D971" s="266" t="s">
        <v>1266</v>
      </c>
      <c r="E971" s="267" t="s">
        <v>1389</v>
      </c>
      <c r="F971" s="268"/>
      <c r="G971" s="269">
        <v>10000.0</v>
      </c>
      <c r="H971" s="270">
        <v>0.0</v>
      </c>
      <c r="I971" s="269">
        <v>10000.0</v>
      </c>
      <c r="J971" s="271">
        <v>10000.0</v>
      </c>
      <c r="K971" s="272">
        <f t="shared" si="2"/>
        <v>0</v>
      </c>
      <c r="L971" s="273"/>
      <c r="M971" s="273"/>
      <c r="N971" s="273"/>
    </row>
    <row r="972" ht="26.25" customHeight="1">
      <c r="A972" s="273"/>
      <c r="B972" s="264">
        <v>45887.0</v>
      </c>
      <c r="C972" s="275" t="s">
        <v>968</v>
      </c>
      <c r="D972" s="266" t="s">
        <v>824</v>
      </c>
      <c r="E972" s="267" t="s">
        <v>2071</v>
      </c>
      <c r="F972" s="268"/>
      <c r="G972" s="269">
        <v>67000.0</v>
      </c>
      <c r="H972" s="270">
        <v>0.0</v>
      </c>
      <c r="I972" s="269">
        <v>67000.0</v>
      </c>
      <c r="J972" s="271">
        <v>67000.0</v>
      </c>
      <c r="K972" s="272">
        <f t="shared" si="2"/>
        <v>0</v>
      </c>
      <c r="L972" s="273"/>
      <c r="M972" s="273"/>
      <c r="N972" s="273"/>
    </row>
    <row r="973" ht="26.25" customHeight="1">
      <c r="A973" s="273"/>
      <c r="B973" s="264">
        <v>45888.0</v>
      </c>
      <c r="C973" s="275" t="s">
        <v>974</v>
      </c>
      <c r="D973" s="266" t="s">
        <v>824</v>
      </c>
      <c r="E973" s="267" t="s">
        <v>2072</v>
      </c>
      <c r="F973" s="268"/>
      <c r="G973" s="269">
        <v>38000.0</v>
      </c>
      <c r="H973" s="270">
        <v>0.0</v>
      </c>
      <c r="I973" s="269">
        <v>38000.0</v>
      </c>
      <c r="J973" s="271">
        <v>38000.0</v>
      </c>
      <c r="K973" s="272">
        <f t="shared" si="2"/>
        <v>0</v>
      </c>
      <c r="L973" s="273"/>
      <c r="M973" s="273"/>
      <c r="N973" s="273"/>
    </row>
    <row r="974" ht="26.25" customHeight="1">
      <c r="A974" s="274"/>
      <c r="B974" s="264">
        <v>45888.0</v>
      </c>
      <c r="C974" s="265" t="s">
        <v>960</v>
      </c>
      <c r="D974" s="266" t="s">
        <v>20</v>
      </c>
      <c r="E974" s="267" t="s">
        <v>1156</v>
      </c>
      <c r="F974" s="268"/>
      <c r="G974" s="269">
        <v>5000.0</v>
      </c>
      <c r="H974" s="270">
        <v>0.0</v>
      </c>
      <c r="I974" s="269">
        <v>5000.0</v>
      </c>
      <c r="J974" s="271">
        <v>5000.0</v>
      </c>
      <c r="K974" s="272">
        <f t="shared" si="2"/>
        <v>0</v>
      </c>
      <c r="L974" s="273"/>
      <c r="M974" s="273"/>
      <c r="N974" s="273"/>
    </row>
    <row r="975" ht="26.25" customHeight="1">
      <c r="A975" s="274"/>
      <c r="B975" s="264">
        <v>45889.0</v>
      </c>
      <c r="C975" s="265" t="s">
        <v>974</v>
      </c>
      <c r="D975" s="266" t="s">
        <v>824</v>
      </c>
      <c r="E975" s="267" t="s">
        <v>1563</v>
      </c>
      <c r="F975" s="289"/>
      <c r="G975" s="269">
        <v>10000.0</v>
      </c>
      <c r="H975" s="270">
        <v>0.0</v>
      </c>
      <c r="I975" s="269">
        <v>10000.0</v>
      </c>
      <c r="J975" s="271">
        <v>10000.0</v>
      </c>
      <c r="K975" s="272">
        <f t="shared" si="2"/>
        <v>0</v>
      </c>
      <c r="L975" s="290"/>
      <c r="M975" s="290"/>
      <c r="N975" s="290"/>
    </row>
    <row r="976" ht="26.25" customHeight="1">
      <c r="A976" s="288" t="s">
        <v>2073</v>
      </c>
      <c r="B976" s="264">
        <v>45890.0</v>
      </c>
      <c r="C976" s="265" t="s">
        <v>965</v>
      </c>
      <c r="D976" s="266" t="s">
        <v>1029</v>
      </c>
      <c r="E976" s="267" t="s">
        <v>938</v>
      </c>
      <c r="F976" s="289"/>
      <c r="G976" s="269">
        <v>254000.0</v>
      </c>
      <c r="H976" s="270">
        <v>0.0</v>
      </c>
      <c r="I976" s="269">
        <v>254000.0</v>
      </c>
      <c r="J976" s="271">
        <v>254000.0</v>
      </c>
      <c r="K976" s="272">
        <f t="shared" si="2"/>
        <v>0</v>
      </c>
      <c r="L976" s="290"/>
      <c r="M976" s="290"/>
      <c r="N976" s="290"/>
    </row>
    <row r="977" ht="26.25" customHeight="1">
      <c r="A977" s="290"/>
      <c r="B977" s="264">
        <v>45890.0</v>
      </c>
      <c r="C977" s="265" t="s">
        <v>974</v>
      </c>
      <c r="D977" s="266" t="s">
        <v>824</v>
      </c>
      <c r="E977" s="267" t="s">
        <v>2074</v>
      </c>
      <c r="F977" s="289"/>
      <c r="G977" s="269">
        <v>25000.0</v>
      </c>
      <c r="H977" s="270">
        <v>0.0</v>
      </c>
      <c r="I977" s="269">
        <v>25000.0</v>
      </c>
      <c r="J977" s="271">
        <v>25000.0</v>
      </c>
      <c r="K977" s="272">
        <f t="shared" si="2"/>
        <v>0</v>
      </c>
      <c r="L977" s="290"/>
      <c r="M977" s="290"/>
      <c r="N977" s="290"/>
    </row>
    <row r="978" ht="26.25" customHeight="1">
      <c r="A978" s="290"/>
      <c r="B978" s="264">
        <v>45890.0</v>
      </c>
      <c r="C978" s="265" t="s">
        <v>968</v>
      </c>
      <c r="D978" s="282"/>
      <c r="E978" s="267" t="s">
        <v>2075</v>
      </c>
      <c r="F978" s="289"/>
      <c r="G978" s="269">
        <v>8000.0</v>
      </c>
      <c r="H978" s="270">
        <v>0.0</v>
      </c>
      <c r="I978" s="269">
        <v>8000.0</v>
      </c>
      <c r="J978" s="271">
        <v>8000.0</v>
      </c>
      <c r="K978" s="272">
        <f t="shared" si="2"/>
        <v>0</v>
      </c>
      <c r="L978" s="290"/>
      <c r="M978" s="290"/>
      <c r="N978" s="290"/>
    </row>
    <row r="979" ht="26.25" customHeight="1">
      <c r="A979" s="274"/>
      <c r="B979" s="264">
        <v>45891.0</v>
      </c>
      <c r="C979" s="265" t="s">
        <v>957</v>
      </c>
      <c r="D979" s="266" t="s">
        <v>824</v>
      </c>
      <c r="E979" s="267" t="s">
        <v>2076</v>
      </c>
      <c r="F979" s="268"/>
      <c r="G979" s="269">
        <v>650000.0</v>
      </c>
      <c r="H979" s="270">
        <v>0.0</v>
      </c>
      <c r="I979" s="269">
        <v>650000.0</v>
      </c>
      <c r="J979" s="271">
        <v>650000.0</v>
      </c>
      <c r="K979" s="272">
        <f t="shared" si="2"/>
        <v>0</v>
      </c>
      <c r="L979" s="273"/>
      <c r="M979" s="273"/>
      <c r="N979" s="273"/>
    </row>
    <row r="980" ht="26.25" customHeight="1">
      <c r="A980" s="274"/>
      <c r="B980" s="264">
        <v>45891.0</v>
      </c>
      <c r="C980" s="265" t="s">
        <v>1057</v>
      </c>
      <c r="D980" s="266" t="s">
        <v>824</v>
      </c>
      <c r="E980" s="267" t="s">
        <v>2077</v>
      </c>
      <c r="F980" s="268"/>
      <c r="G980" s="269">
        <v>545000.0</v>
      </c>
      <c r="H980" s="270">
        <v>0.0</v>
      </c>
      <c r="I980" s="269">
        <v>545000.0</v>
      </c>
      <c r="J980" s="271">
        <v>545000.0</v>
      </c>
      <c r="K980" s="272">
        <f t="shared" si="2"/>
        <v>0</v>
      </c>
      <c r="L980" s="273"/>
      <c r="M980" s="273"/>
      <c r="N980" s="273"/>
    </row>
    <row r="981" ht="26.25" customHeight="1">
      <c r="A981" s="273"/>
      <c r="B981" s="264">
        <v>45891.0</v>
      </c>
      <c r="C981" s="275" t="s">
        <v>974</v>
      </c>
      <c r="D981" s="266" t="s">
        <v>824</v>
      </c>
      <c r="E981" s="267" t="s">
        <v>1690</v>
      </c>
      <c r="F981" s="268"/>
      <c r="G981" s="269">
        <v>8000.0</v>
      </c>
      <c r="H981" s="270">
        <v>0.0</v>
      </c>
      <c r="I981" s="269">
        <v>8000.0</v>
      </c>
      <c r="J981" s="271">
        <v>8000.0</v>
      </c>
      <c r="K981" s="272">
        <f t="shared" si="2"/>
        <v>0</v>
      </c>
      <c r="L981" s="273"/>
      <c r="M981" s="273"/>
      <c r="N981" s="273"/>
    </row>
    <row r="982" ht="26.25" customHeight="1">
      <c r="A982" s="273"/>
      <c r="B982" s="264">
        <v>45891.0</v>
      </c>
      <c r="C982" s="275" t="s">
        <v>974</v>
      </c>
      <c r="D982" s="266" t="s">
        <v>824</v>
      </c>
      <c r="E982" s="267" t="s">
        <v>1690</v>
      </c>
      <c r="F982" s="268"/>
      <c r="G982" s="269">
        <v>7000.0</v>
      </c>
      <c r="H982" s="270">
        <v>0.0</v>
      </c>
      <c r="I982" s="269">
        <v>7000.0</v>
      </c>
      <c r="J982" s="271">
        <v>7000.0</v>
      </c>
      <c r="K982" s="272">
        <f t="shared" si="2"/>
        <v>0</v>
      </c>
      <c r="L982" s="273"/>
      <c r="M982" s="273"/>
      <c r="N982" s="273"/>
    </row>
    <row r="983" ht="26.25" customHeight="1">
      <c r="A983" s="290"/>
      <c r="B983" s="264">
        <v>45891.0</v>
      </c>
      <c r="C983" s="265" t="s">
        <v>974</v>
      </c>
      <c r="D983" s="266" t="s">
        <v>824</v>
      </c>
      <c r="E983" s="267" t="s">
        <v>1690</v>
      </c>
      <c r="F983" s="289"/>
      <c r="G983" s="269">
        <v>7000.0</v>
      </c>
      <c r="H983" s="270">
        <v>0.0</v>
      </c>
      <c r="I983" s="269">
        <v>7000.0</v>
      </c>
      <c r="J983" s="271">
        <v>7000.0</v>
      </c>
      <c r="K983" s="272">
        <f t="shared" si="2"/>
        <v>0</v>
      </c>
      <c r="L983" s="290"/>
      <c r="M983" s="290"/>
      <c r="N983" s="290"/>
    </row>
    <row r="984" ht="26.25" customHeight="1">
      <c r="A984" s="288" t="s">
        <v>2078</v>
      </c>
      <c r="B984" s="264">
        <v>45892.0</v>
      </c>
      <c r="C984" s="265" t="s">
        <v>965</v>
      </c>
      <c r="D984" s="266" t="s">
        <v>1029</v>
      </c>
      <c r="E984" s="267" t="s">
        <v>938</v>
      </c>
      <c r="F984" s="289"/>
      <c r="G984" s="269">
        <v>266000.0</v>
      </c>
      <c r="H984" s="270">
        <v>0.0</v>
      </c>
      <c r="I984" s="269">
        <v>266000.0</v>
      </c>
      <c r="J984" s="271">
        <v>266000.0</v>
      </c>
      <c r="K984" s="272">
        <f t="shared" si="2"/>
        <v>0</v>
      </c>
      <c r="L984" s="290"/>
      <c r="M984" s="290"/>
      <c r="N984" s="290"/>
    </row>
    <row r="985" ht="26.25" customHeight="1">
      <c r="A985" s="274"/>
      <c r="B985" s="264">
        <v>45892.0</v>
      </c>
      <c r="C985" s="265" t="s">
        <v>974</v>
      </c>
      <c r="D985" s="266" t="s">
        <v>824</v>
      </c>
      <c r="E985" s="267" t="s">
        <v>2079</v>
      </c>
      <c r="F985" s="268"/>
      <c r="G985" s="269">
        <v>45000.0</v>
      </c>
      <c r="H985" s="270">
        <v>0.0</v>
      </c>
      <c r="I985" s="269">
        <v>45000.0</v>
      </c>
      <c r="J985" s="271">
        <v>45000.0</v>
      </c>
      <c r="K985" s="272">
        <f t="shared" si="2"/>
        <v>0</v>
      </c>
      <c r="L985" s="273"/>
      <c r="M985" s="273"/>
      <c r="N985" s="273"/>
    </row>
    <row r="986" ht="26.25" customHeight="1">
      <c r="A986" s="290"/>
      <c r="B986" s="264">
        <v>45892.0</v>
      </c>
      <c r="C986" s="265" t="s">
        <v>974</v>
      </c>
      <c r="D986" s="266" t="s">
        <v>824</v>
      </c>
      <c r="E986" s="267" t="s">
        <v>2080</v>
      </c>
      <c r="F986" s="289"/>
      <c r="G986" s="269">
        <v>25000.0</v>
      </c>
      <c r="H986" s="270">
        <v>0.0</v>
      </c>
      <c r="I986" s="269">
        <v>25000.0</v>
      </c>
      <c r="J986" s="271">
        <v>25000.0</v>
      </c>
      <c r="K986" s="272">
        <f t="shared" si="2"/>
        <v>0</v>
      </c>
      <c r="L986" s="290"/>
      <c r="M986" s="290"/>
      <c r="N986" s="290"/>
    </row>
    <row r="987" ht="26.25" customHeight="1">
      <c r="A987" s="290"/>
      <c r="B987" s="264">
        <v>45892.0</v>
      </c>
      <c r="C987" s="265" t="s">
        <v>974</v>
      </c>
      <c r="D987" s="266" t="s">
        <v>824</v>
      </c>
      <c r="E987" s="267" t="s">
        <v>2081</v>
      </c>
      <c r="F987" s="289"/>
      <c r="G987" s="269">
        <v>15000.0</v>
      </c>
      <c r="H987" s="270">
        <v>0.0</v>
      </c>
      <c r="I987" s="269">
        <v>15000.0</v>
      </c>
      <c r="J987" s="271">
        <v>15000.0</v>
      </c>
      <c r="K987" s="272">
        <f t="shared" si="2"/>
        <v>0</v>
      </c>
      <c r="L987" s="290"/>
      <c r="M987" s="290"/>
      <c r="N987" s="290"/>
    </row>
    <row r="988" ht="26.25" customHeight="1">
      <c r="A988" s="288" t="s">
        <v>2082</v>
      </c>
      <c r="B988" s="264">
        <v>45893.0</v>
      </c>
      <c r="C988" s="265" t="s">
        <v>965</v>
      </c>
      <c r="D988" s="266" t="s">
        <v>1029</v>
      </c>
      <c r="E988" s="267" t="s">
        <v>938</v>
      </c>
      <c r="F988" s="289"/>
      <c r="G988" s="269">
        <v>45000.0</v>
      </c>
      <c r="H988" s="270">
        <v>0.0</v>
      </c>
      <c r="I988" s="269">
        <v>45000.0</v>
      </c>
      <c r="J988" s="271">
        <v>45000.0</v>
      </c>
      <c r="K988" s="272">
        <f t="shared" si="2"/>
        <v>0</v>
      </c>
      <c r="L988" s="290"/>
      <c r="M988" s="290"/>
      <c r="N988" s="290"/>
    </row>
    <row r="989" ht="26.25" customHeight="1">
      <c r="A989" s="290"/>
      <c r="B989" s="264">
        <v>45893.0</v>
      </c>
      <c r="C989" s="265" t="s">
        <v>974</v>
      </c>
      <c r="D989" s="266" t="s">
        <v>839</v>
      </c>
      <c r="E989" s="267" t="s">
        <v>2083</v>
      </c>
      <c r="F989" s="289"/>
      <c r="G989" s="269">
        <v>40000.0</v>
      </c>
      <c r="H989" s="270">
        <v>0.0</v>
      </c>
      <c r="I989" s="269">
        <v>40000.0</v>
      </c>
      <c r="J989" s="271">
        <v>40000.0</v>
      </c>
      <c r="K989" s="272">
        <f t="shared" si="2"/>
        <v>0</v>
      </c>
      <c r="L989" s="290"/>
      <c r="M989" s="290"/>
      <c r="N989" s="290"/>
    </row>
    <row r="990" ht="26.25" customHeight="1">
      <c r="A990" s="290"/>
      <c r="B990" s="264">
        <v>45893.0</v>
      </c>
      <c r="C990" s="265" t="s">
        <v>974</v>
      </c>
      <c r="D990" s="266" t="s">
        <v>824</v>
      </c>
      <c r="E990" s="267" t="s">
        <v>1579</v>
      </c>
      <c r="F990" s="289"/>
      <c r="G990" s="269">
        <v>15000.0</v>
      </c>
      <c r="H990" s="270">
        <v>0.0</v>
      </c>
      <c r="I990" s="269">
        <v>15000.0</v>
      </c>
      <c r="J990" s="271">
        <v>15000.0</v>
      </c>
      <c r="K990" s="272">
        <f t="shared" si="2"/>
        <v>0</v>
      </c>
      <c r="L990" s="290"/>
      <c r="M990" s="290"/>
      <c r="N990" s="290"/>
    </row>
    <row r="991" ht="26.25" customHeight="1">
      <c r="A991" s="273"/>
      <c r="B991" s="264">
        <v>45893.0</v>
      </c>
      <c r="C991" s="275" t="s">
        <v>974</v>
      </c>
      <c r="D991" s="266" t="s">
        <v>1029</v>
      </c>
      <c r="E991" s="267" t="s">
        <v>2084</v>
      </c>
      <c r="F991" s="268"/>
      <c r="G991" s="269">
        <v>13000.0</v>
      </c>
      <c r="H991" s="270">
        <v>0.0</v>
      </c>
      <c r="I991" s="269">
        <v>13000.0</v>
      </c>
      <c r="J991" s="271">
        <v>13000.0</v>
      </c>
      <c r="K991" s="272">
        <f t="shared" si="2"/>
        <v>0</v>
      </c>
      <c r="L991" s="273"/>
      <c r="M991" s="273"/>
      <c r="N991" s="273"/>
    </row>
    <row r="992" ht="26.25" customHeight="1">
      <c r="A992" s="290"/>
      <c r="B992" s="264">
        <v>45894.0</v>
      </c>
      <c r="C992" s="265" t="s">
        <v>965</v>
      </c>
      <c r="D992" s="266" t="s">
        <v>839</v>
      </c>
      <c r="E992" s="267" t="s">
        <v>2085</v>
      </c>
      <c r="F992" s="289"/>
      <c r="G992" s="269">
        <v>200000.0</v>
      </c>
      <c r="H992" s="270">
        <v>0.0</v>
      </c>
      <c r="I992" s="269">
        <v>200000.0</v>
      </c>
      <c r="J992" s="271">
        <v>200000.0</v>
      </c>
      <c r="K992" s="272">
        <f t="shared" si="2"/>
        <v>0</v>
      </c>
      <c r="L992" s="290"/>
      <c r="M992" s="290"/>
      <c r="N992" s="290"/>
    </row>
    <row r="993" ht="26.25" customHeight="1">
      <c r="A993" s="288" t="s">
        <v>2086</v>
      </c>
      <c r="B993" s="264">
        <v>45895.0</v>
      </c>
      <c r="C993" s="265" t="s">
        <v>965</v>
      </c>
      <c r="D993" s="266" t="s">
        <v>930</v>
      </c>
      <c r="E993" s="267" t="s">
        <v>2087</v>
      </c>
      <c r="F993" s="289"/>
      <c r="G993" s="269">
        <v>118000.0</v>
      </c>
      <c r="H993" s="270">
        <v>0.0</v>
      </c>
      <c r="I993" s="269">
        <v>118000.0</v>
      </c>
      <c r="J993" s="271">
        <v>118000.0</v>
      </c>
      <c r="K993" s="272">
        <f t="shared" si="2"/>
        <v>0</v>
      </c>
      <c r="L993" s="290"/>
      <c r="M993" s="290"/>
      <c r="N993" s="290"/>
    </row>
    <row r="994" ht="26.25" customHeight="1">
      <c r="A994" s="290"/>
      <c r="B994" s="264">
        <v>45895.0</v>
      </c>
      <c r="C994" s="265" t="s">
        <v>968</v>
      </c>
      <c r="D994" s="266" t="s">
        <v>237</v>
      </c>
      <c r="E994" s="267" t="s">
        <v>2088</v>
      </c>
      <c r="F994" s="289"/>
      <c r="G994" s="269">
        <v>25000.0</v>
      </c>
      <c r="H994" s="270">
        <v>0.0</v>
      </c>
      <c r="I994" s="269">
        <v>25000.0</v>
      </c>
      <c r="J994" s="271">
        <v>25000.0</v>
      </c>
      <c r="K994" s="272">
        <f t="shared" si="2"/>
        <v>0</v>
      </c>
      <c r="L994" s="290"/>
      <c r="M994" s="290"/>
      <c r="N994" s="290"/>
    </row>
    <row r="995" ht="26.25" customHeight="1">
      <c r="A995" s="290"/>
      <c r="B995" s="264">
        <v>45896.0</v>
      </c>
      <c r="C995" s="265" t="s">
        <v>974</v>
      </c>
      <c r="D995" s="266" t="s">
        <v>839</v>
      </c>
      <c r="E995" s="267" t="s">
        <v>1111</v>
      </c>
      <c r="F995" s="289"/>
      <c r="G995" s="269">
        <v>75000.0</v>
      </c>
      <c r="H995" s="270">
        <v>0.0</v>
      </c>
      <c r="I995" s="269">
        <v>75000.0</v>
      </c>
      <c r="J995" s="271">
        <v>75000.0</v>
      </c>
      <c r="K995" s="272">
        <f t="shared" si="2"/>
        <v>0</v>
      </c>
      <c r="L995" s="290"/>
      <c r="M995" s="290"/>
      <c r="N995" s="290"/>
    </row>
    <row r="996" ht="26.25" customHeight="1">
      <c r="A996" s="290"/>
      <c r="B996" s="264">
        <v>45896.0</v>
      </c>
      <c r="C996" s="265" t="s">
        <v>974</v>
      </c>
      <c r="D996" s="266" t="s">
        <v>839</v>
      </c>
      <c r="E996" s="267" t="s">
        <v>2089</v>
      </c>
      <c r="F996" s="289"/>
      <c r="G996" s="269">
        <v>50000.0</v>
      </c>
      <c r="H996" s="270">
        <v>0.0</v>
      </c>
      <c r="I996" s="269">
        <v>50000.0</v>
      </c>
      <c r="J996" s="271">
        <v>50000.0</v>
      </c>
      <c r="K996" s="272">
        <f t="shared" si="2"/>
        <v>0</v>
      </c>
      <c r="L996" s="290"/>
      <c r="M996" s="290"/>
      <c r="N996" s="290"/>
    </row>
    <row r="997" ht="26.25" customHeight="1">
      <c r="A997" s="290"/>
      <c r="B997" s="264">
        <v>45896.0</v>
      </c>
      <c r="C997" s="265" t="s">
        <v>974</v>
      </c>
      <c r="D997" s="266" t="s">
        <v>824</v>
      </c>
      <c r="E997" s="267" t="s">
        <v>1599</v>
      </c>
      <c r="F997" s="289"/>
      <c r="G997" s="269">
        <v>33000.0</v>
      </c>
      <c r="H997" s="270">
        <v>0.0</v>
      </c>
      <c r="I997" s="269">
        <v>33000.0</v>
      </c>
      <c r="J997" s="271">
        <v>33000.0</v>
      </c>
      <c r="K997" s="272">
        <f t="shared" si="2"/>
        <v>0</v>
      </c>
      <c r="L997" s="290"/>
      <c r="M997" s="290"/>
      <c r="N997" s="290"/>
    </row>
    <row r="998" ht="26.25" customHeight="1">
      <c r="A998" s="290"/>
      <c r="B998" s="264">
        <v>45896.0</v>
      </c>
      <c r="C998" s="265" t="s">
        <v>974</v>
      </c>
      <c r="D998" s="266" t="s">
        <v>824</v>
      </c>
      <c r="E998" s="267" t="s">
        <v>2090</v>
      </c>
      <c r="F998" s="289"/>
      <c r="G998" s="269">
        <v>25000.0</v>
      </c>
      <c r="H998" s="270">
        <v>0.0</v>
      </c>
      <c r="I998" s="269">
        <v>25000.0</v>
      </c>
      <c r="J998" s="271">
        <v>25000.0</v>
      </c>
      <c r="K998" s="272">
        <f t="shared" si="2"/>
        <v>0</v>
      </c>
      <c r="L998" s="290"/>
      <c r="M998" s="290"/>
      <c r="N998" s="290"/>
    </row>
    <row r="999" ht="26.25" customHeight="1">
      <c r="A999" s="290"/>
      <c r="B999" s="264">
        <v>45896.0</v>
      </c>
      <c r="C999" s="265" t="s">
        <v>974</v>
      </c>
      <c r="D999" s="266" t="s">
        <v>824</v>
      </c>
      <c r="E999" s="267" t="s">
        <v>2091</v>
      </c>
      <c r="F999" s="289"/>
      <c r="G999" s="269">
        <v>15000.0</v>
      </c>
      <c r="H999" s="270">
        <v>0.0</v>
      </c>
      <c r="I999" s="269">
        <v>15000.0</v>
      </c>
      <c r="J999" s="271">
        <v>15000.0</v>
      </c>
      <c r="K999" s="272">
        <f t="shared" si="2"/>
        <v>0</v>
      </c>
      <c r="L999" s="290"/>
      <c r="M999" s="290"/>
      <c r="N999" s="290"/>
    </row>
    <row r="1000" ht="26.25" customHeight="1">
      <c r="A1000" s="290"/>
      <c r="B1000" s="264">
        <v>45896.0</v>
      </c>
      <c r="C1000" s="265" t="s">
        <v>974</v>
      </c>
      <c r="D1000" s="266" t="s">
        <v>824</v>
      </c>
      <c r="E1000" s="267" t="s">
        <v>1727</v>
      </c>
      <c r="F1000" s="289"/>
      <c r="G1000" s="269">
        <v>6000.0</v>
      </c>
      <c r="H1000" s="270">
        <v>0.0</v>
      </c>
      <c r="I1000" s="269">
        <v>6000.0</v>
      </c>
      <c r="J1000" s="271">
        <v>6000.0</v>
      </c>
      <c r="K1000" s="272">
        <f t="shared" si="2"/>
        <v>0</v>
      </c>
      <c r="L1000" s="290"/>
      <c r="M1000" s="290"/>
      <c r="N1000" s="290"/>
    </row>
    <row r="1001" ht="26.25" customHeight="1">
      <c r="A1001" s="273"/>
      <c r="B1001" s="264">
        <v>45896.0</v>
      </c>
      <c r="C1001" s="275" t="s">
        <v>974</v>
      </c>
      <c r="D1001" s="266" t="s">
        <v>839</v>
      </c>
      <c r="E1001" s="267" t="s">
        <v>2092</v>
      </c>
      <c r="F1001" s="268"/>
      <c r="G1001" s="269">
        <v>5000.0</v>
      </c>
      <c r="H1001" s="270">
        <v>0.0</v>
      </c>
      <c r="I1001" s="269">
        <v>5000.0</v>
      </c>
      <c r="J1001" s="271">
        <v>5000.0</v>
      </c>
      <c r="K1001" s="272">
        <f t="shared" si="2"/>
        <v>0</v>
      </c>
      <c r="L1001" s="273"/>
      <c r="M1001" s="273"/>
      <c r="N1001" s="273"/>
    </row>
    <row r="1002" ht="26.25" customHeight="1">
      <c r="A1002" s="273"/>
      <c r="B1002" s="264">
        <v>45896.0</v>
      </c>
      <c r="C1002" s="275" t="s">
        <v>974</v>
      </c>
      <c r="D1002" s="266" t="s">
        <v>824</v>
      </c>
      <c r="E1002" s="267" t="s">
        <v>1563</v>
      </c>
      <c r="F1002" s="268"/>
      <c r="G1002" s="269">
        <v>5000.0</v>
      </c>
      <c r="H1002" s="270">
        <v>0.0</v>
      </c>
      <c r="I1002" s="269">
        <v>5000.0</v>
      </c>
      <c r="J1002" s="271">
        <v>5000.0</v>
      </c>
      <c r="K1002" s="272">
        <f t="shared" si="2"/>
        <v>0</v>
      </c>
      <c r="L1002" s="273"/>
      <c r="M1002" s="273"/>
      <c r="N1002" s="273"/>
    </row>
    <row r="1003" ht="26.25" customHeight="1">
      <c r="A1003" s="273"/>
      <c r="B1003" s="264">
        <v>45897.0</v>
      </c>
      <c r="C1003" s="275" t="s">
        <v>974</v>
      </c>
      <c r="D1003" s="266" t="s">
        <v>824</v>
      </c>
      <c r="E1003" s="267" t="s">
        <v>2093</v>
      </c>
      <c r="F1003" s="268"/>
      <c r="G1003" s="269">
        <v>990000.0</v>
      </c>
      <c r="H1003" s="270">
        <v>0.0</v>
      </c>
      <c r="I1003" s="269">
        <v>990000.0</v>
      </c>
      <c r="J1003" s="271">
        <v>990000.0</v>
      </c>
      <c r="K1003" s="272">
        <f t="shared" si="2"/>
        <v>0</v>
      </c>
      <c r="L1003" s="273"/>
      <c r="M1003" s="273"/>
      <c r="N1003" s="273"/>
    </row>
    <row r="1004" ht="26.25" customHeight="1">
      <c r="A1004" s="273"/>
      <c r="B1004" s="264">
        <v>45897.0</v>
      </c>
      <c r="C1004" s="275" t="s">
        <v>974</v>
      </c>
      <c r="D1004" s="266" t="s">
        <v>237</v>
      </c>
      <c r="E1004" s="267" t="s">
        <v>2094</v>
      </c>
      <c r="F1004" s="268"/>
      <c r="G1004" s="269">
        <v>10000.0</v>
      </c>
      <c r="H1004" s="270">
        <v>0.0</v>
      </c>
      <c r="I1004" s="269">
        <v>10000.0</v>
      </c>
      <c r="J1004" s="271">
        <v>10000.0</v>
      </c>
      <c r="K1004" s="272">
        <f t="shared" si="2"/>
        <v>0</v>
      </c>
      <c r="L1004" s="273"/>
      <c r="M1004" s="273"/>
      <c r="N1004" s="273"/>
    </row>
    <row r="1005" ht="26.25" customHeight="1">
      <c r="A1005" s="290"/>
      <c r="B1005" s="264">
        <v>45897.0</v>
      </c>
      <c r="C1005" s="265" t="s">
        <v>974</v>
      </c>
      <c r="D1005" s="266" t="s">
        <v>1340</v>
      </c>
      <c r="E1005" s="267" t="s">
        <v>1711</v>
      </c>
      <c r="F1005" s="289"/>
      <c r="G1005" s="269">
        <v>5000.0</v>
      </c>
      <c r="H1005" s="270">
        <v>0.0</v>
      </c>
      <c r="I1005" s="269">
        <v>5000.0</v>
      </c>
      <c r="J1005" s="271">
        <v>5000.0</v>
      </c>
      <c r="K1005" s="272">
        <f t="shared" si="2"/>
        <v>0</v>
      </c>
      <c r="L1005" s="290"/>
      <c r="M1005" s="290"/>
      <c r="N1005" s="290"/>
    </row>
    <row r="1006" ht="26.25" customHeight="1">
      <c r="A1006" s="290"/>
      <c r="B1006" s="264">
        <v>45897.0</v>
      </c>
      <c r="C1006" s="265" t="s">
        <v>974</v>
      </c>
      <c r="D1006" s="266" t="s">
        <v>824</v>
      </c>
      <c r="E1006" s="267" t="s">
        <v>2095</v>
      </c>
      <c r="F1006" s="289"/>
      <c r="G1006" s="269">
        <v>5000.0</v>
      </c>
      <c r="H1006" s="270">
        <v>0.0</v>
      </c>
      <c r="I1006" s="269">
        <v>5000.0</v>
      </c>
      <c r="J1006" s="271">
        <v>5000.0</v>
      </c>
      <c r="K1006" s="272">
        <f t="shared" si="2"/>
        <v>0</v>
      </c>
      <c r="L1006" s="290"/>
      <c r="M1006" s="290"/>
      <c r="N1006" s="290"/>
    </row>
    <row r="1007" ht="26.25" customHeight="1">
      <c r="A1007" s="290"/>
      <c r="B1007" s="264">
        <v>45899.0</v>
      </c>
      <c r="C1007" s="265" t="s">
        <v>965</v>
      </c>
      <c r="D1007" s="266" t="s">
        <v>1029</v>
      </c>
      <c r="E1007" s="267" t="s">
        <v>938</v>
      </c>
      <c r="F1007" s="289"/>
      <c r="G1007" s="269">
        <v>468000.0</v>
      </c>
      <c r="H1007" s="270">
        <v>0.0</v>
      </c>
      <c r="I1007" s="269">
        <v>468000.0</v>
      </c>
      <c r="J1007" s="271">
        <v>468000.0</v>
      </c>
      <c r="K1007" s="272">
        <f t="shared" si="2"/>
        <v>0</v>
      </c>
      <c r="L1007" s="290"/>
      <c r="M1007" s="290"/>
      <c r="N1007" s="290"/>
    </row>
    <row r="1008" ht="26.25" customHeight="1">
      <c r="A1008" s="290"/>
      <c r="B1008" s="264">
        <v>45899.0</v>
      </c>
      <c r="C1008" s="265" t="s">
        <v>974</v>
      </c>
      <c r="D1008" s="266" t="s">
        <v>824</v>
      </c>
      <c r="E1008" s="267" t="s">
        <v>2096</v>
      </c>
      <c r="F1008" s="289"/>
      <c r="G1008" s="269">
        <v>455000.0</v>
      </c>
      <c r="H1008" s="270">
        <v>0.0</v>
      </c>
      <c r="I1008" s="269">
        <v>455000.0</v>
      </c>
      <c r="J1008" s="271">
        <v>455000.0</v>
      </c>
      <c r="K1008" s="272">
        <f t="shared" si="2"/>
        <v>0</v>
      </c>
      <c r="L1008" s="290"/>
      <c r="M1008" s="290"/>
      <c r="N1008" s="290"/>
    </row>
    <row r="1009" ht="26.25" customHeight="1">
      <c r="A1009" s="290"/>
      <c r="B1009" s="264">
        <v>45899.0</v>
      </c>
      <c r="C1009" s="265" t="s">
        <v>972</v>
      </c>
      <c r="D1009" s="266" t="s">
        <v>824</v>
      </c>
      <c r="E1009" s="267" t="s">
        <v>2097</v>
      </c>
      <c r="F1009" s="289"/>
      <c r="G1009" s="269">
        <v>230000.0</v>
      </c>
      <c r="H1009" s="270">
        <v>0.0</v>
      </c>
      <c r="I1009" s="269">
        <v>230000.0</v>
      </c>
      <c r="J1009" s="271">
        <v>230000.0</v>
      </c>
      <c r="K1009" s="272">
        <f t="shared" si="2"/>
        <v>0</v>
      </c>
      <c r="L1009" s="290"/>
      <c r="M1009" s="290"/>
      <c r="N1009" s="290"/>
    </row>
    <row r="1010" ht="26.25" customHeight="1">
      <c r="A1010" s="290"/>
      <c r="B1010" s="264">
        <v>45899.0</v>
      </c>
      <c r="C1010" s="265" t="s">
        <v>974</v>
      </c>
      <c r="D1010" s="266" t="s">
        <v>237</v>
      </c>
      <c r="E1010" s="267" t="s">
        <v>2098</v>
      </c>
      <c r="F1010" s="289"/>
      <c r="G1010" s="269">
        <v>35000.0</v>
      </c>
      <c r="H1010" s="270">
        <v>0.0</v>
      </c>
      <c r="I1010" s="269">
        <v>35000.0</v>
      </c>
      <c r="J1010" s="271">
        <v>35000.0</v>
      </c>
      <c r="K1010" s="272">
        <f t="shared" si="2"/>
        <v>0</v>
      </c>
      <c r="L1010" s="290"/>
      <c r="M1010" s="290"/>
      <c r="N1010" s="290"/>
    </row>
    <row r="1011" ht="26.25" customHeight="1">
      <c r="A1011" s="290"/>
      <c r="B1011" s="264">
        <v>45899.0</v>
      </c>
      <c r="C1011" s="265" t="s">
        <v>965</v>
      </c>
      <c r="D1011" s="266" t="s">
        <v>1029</v>
      </c>
      <c r="E1011" s="267" t="s">
        <v>938</v>
      </c>
      <c r="F1011" s="289"/>
      <c r="G1011" s="269">
        <v>31000.0</v>
      </c>
      <c r="H1011" s="270">
        <v>0.0</v>
      </c>
      <c r="I1011" s="269">
        <v>31000.0</v>
      </c>
      <c r="J1011" s="271">
        <v>31000.0</v>
      </c>
      <c r="K1011" s="272">
        <f t="shared" si="2"/>
        <v>0</v>
      </c>
      <c r="L1011" s="290"/>
      <c r="M1011" s="290"/>
      <c r="N1011" s="290"/>
    </row>
    <row r="1012" ht="26.25" customHeight="1">
      <c r="A1012" s="290"/>
      <c r="B1012" s="264">
        <v>45899.0</v>
      </c>
      <c r="C1012" s="280"/>
      <c r="D1012" s="266" t="s">
        <v>930</v>
      </c>
      <c r="E1012" s="267" t="s">
        <v>2099</v>
      </c>
      <c r="F1012" s="289"/>
      <c r="G1012" s="269">
        <v>27000.0</v>
      </c>
      <c r="H1012" s="270">
        <v>0.0</v>
      </c>
      <c r="I1012" s="269">
        <v>27000.0</v>
      </c>
      <c r="J1012" s="271">
        <v>27000.0</v>
      </c>
      <c r="K1012" s="272">
        <f t="shared" si="2"/>
        <v>0</v>
      </c>
      <c r="L1012" s="290"/>
      <c r="M1012" s="290"/>
      <c r="N1012" s="290"/>
    </row>
    <row r="1013" ht="26.25" customHeight="1">
      <c r="A1013" s="274"/>
      <c r="B1013" s="264">
        <v>45900.0</v>
      </c>
      <c r="C1013" s="265" t="s">
        <v>974</v>
      </c>
      <c r="D1013" s="266" t="s">
        <v>824</v>
      </c>
      <c r="E1013" s="267" t="s">
        <v>2100</v>
      </c>
      <c r="F1013" s="268"/>
      <c r="G1013" s="269">
        <v>150000.0</v>
      </c>
      <c r="H1013" s="270">
        <v>0.0</v>
      </c>
      <c r="I1013" s="269">
        <v>150000.0</v>
      </c>
      <c r="J1013" s="271">
        <v>150000.0</v>
      </c>
      <c r="K1013" s="272">
        <f t="shared" si="2"/>
        <v>0</v>
      </c>
      <c r="L1013" s="273"/>
      <c r="M1013" s="273"/>
      <c r="N1013" s="273"/>
    </row>
    <row r="1014" ht="26.25" customHeight="1">
      <c r="A1014" s="273"/>
      <c r="B1014" s="264">
        <v>45900.0</v>
      </c>
      <c r="C1014" s="275" t="s">
        <v>974</v>
      </c>
      <c r="D1014" s="266" t="s">
        <v>824</v>
      </c>
      <c r="E1014" s="267" t="s">
        <v>2101</v>
      </c>
      <c r="F1014" s="268"/>
      <c r="G1014" s="269">
        <v>75000.0</v>
      </c>
      <c r="H1014" s="270">
        <v>0.0</v>
      </c>
      <c r="I1014" s="269">
        <v>75000.0</v>
      </c>
      <c r="J1014" s="271">
        <v>75000.0</v>
      </c>
      <c r="K1014" s="272">
        <f t="shared" si="2"/>
        <v>0</v>
      </c>
      <c r="L1014" s="273"/>
      <c r="M1014" s="273"/>
      <c r="N1014" s="273"/>
    </row>
    <row r="1015" ht="26.25" customHeight="1">
      <c r="A1015" s="273"/>
      <c r="B1015" s="264">
        <v>45900.0</v>
      </c>
      <c r="C1015" s="275" t="s">
        <v>974</v>
      </c>
      <c r="D1015" s="266" t="s">
        <v>824</v>
      </c>
      <c r="E1015" s="267" t="s">
        <v>2102</v>
      </c>
      <c r="F1015" s="268"/>
      <c r="G1015" s="269">
        <v>70000.0</v>
      </c>
      <c r="H1015" s="270">
        <v>0.0</v>
      </c>
      <c r="I1015" s="269">
        <v>70000.0</v>
      </c>
      <c r="J1015" s="271">
        <v>70000.0</v>
      </c>
      <c r="K1015" s="272">
        <f t="shared" si="2"/>
        <v>0</v>
      </c>
      <c r="L1015" s="273"/>
      <c r="M1015" s="273"/>
      <c r="N1015" s="273"/>
    </row>
    <row r="1016" ht="26.25" customHeight="1">
      <c r="A1016" s="290"/>
      <c r="B1016" s="264">
        <v>45900.0</v>
      </c>
      <c r="C1016" s="265" t="s">
        <v>974</v>
      </c>
      <c r="D1016" s="266" t="s">
        <v>824</v>
      </c>
      <c r="E1016" s="267" t="s">
        <v>1690</v>
      </c>
      <c r="F1016" s="289"/>
      <c r="G1016" s="269">
        <v>16000.0</v>
      </c>
      <c r="H1016" s="270">
        <v>0.0</v>
      </c>
      <c r="I1016" s="269">
        <v>16000.0</v>
      </c>
      <c r="J1016" s="271">
        <v>16000.0</v>
      </c>
      <c r="K1016" s="272">
        <f t="shared" si="2"/>
        <v>0</v>
      </c>
      <c r="L1016" s="290"/>
      <c r="M1016" s="290"/>
      <c r="N1016" s="290"/>
    </row>
    <row r="1017" ht="26.25" customHeight="1">
      <c r="A1017" s="290"/>
      <c r="B1017" s="264">
        <v>45900.0</v>
      </c>
      <c r="C1017" s="265" t="s">
        <v>974</v>
      </c>
      <c r="D1017" s="266" t="s">
        <v>824</v>
      </c>
      <c r="E1017" s="267" t="s">
        <v>1579</v>
      </c>
      <c r="F1017" s="289"/>
      <c r="G1017" s="269">
        <v>10000.0</v>
      </c>
      <c r="H1017" s="270">
        <v>0.0</v>
      </c>
      <c r="I1017" s="269">
        <v>10000.0</v>
      </c>
      <c r="J1017" s="271">
        <v>10000.0</v>
      </c>
      <c r="K1017" s="272">
        <f t="shared" si="2"/>
        <v>0</v>
      </c>
      <c r="L1017" s="290"/>
      <c r="M1017" s="290"/>
      <c r="N1017" s="290"/>
    </row>
    <row r="1018" ht="26.25" customHeight="1">
      <c r="A1018" s="290"/>
      <c r="B1018" s="264">
        <v>45901.0</v>
      </c>
      <c r="C1018" s="265" t="s">
        <v>1767</v>
      </c>
      <c r="D1018" s="266" t="s">
        <v>31</v>
      </c>
      <c r="E1018" s="267" t="s">
        <v>1768</v>
      </c>
      <c r="F1018" s="289"/>
      <c r="G1018" s="269">
        <v>2258333.0</v>
      </c>
      <c r="H1018" s="270">
        <v>0.0</v>
      </c>
      <c r="I1018" s="269">
        <v>2258333.0</v>
      </c>
      <c r="J1018" s="271">
        <v>2258333.0</v>
      </c>
      <c r="K1018" s="272">
        <f t="shared" si="2"/>
        <v>0</v>
      </c>
      <c r="L1018" s="290"/>
      <c r="M1018" s="290"/>
      <c r="N1018" s="290"/>
    </row>
    <row r="1019" ht="26.25" customHeight="1">
      <c r="A1019" s="288" t="s">
        <v>2103</v>
      </c>
      <c r="B1019" s="264">
        <v>45902.0</v>
      </c>
      <c r="C1019" s="265" t="s">
        <v>965</v>
      </c>
      <c r="D1019" s="266" t="s">
        <v>824</v>
      </c>
      <c r="E1019" s="267" t="s">
        <v>2063</v>
      </c>
      <c r="F1019" s="289"/>
      <c r="G1019" s="269">
        <v>135000.0</v>
      </c>
      <c r="H1019" s="270">
        <v>0.0</v>
      </c>
      <c r="I1019" s="269">
        <v>135000.0</v>
      </c>
      <c r="J1019" s="271">
        <v>135000.0</v>
      </c>
      <c r="K1019" s="272">
        <f t="shared" si="2"/>
        <v>0</v>
      </c>
      <c r="L1019" s="290"/>
      <c r="M1019" s="290"/>
      <c r="N1019" s="290"/>
    </row>
    <row r="1020" ht="26.25" customHeight="1">
      <c r="A1020" s="288" t="s">
        <v>2104</v>
      </c>
      <c r="B1020" s="264">
        <v>45903.0</v>
      </c>
      <c r="C1020" s="265" t="s">
        <v>965</v>
      </c>
      <c r="D1020" s="266" t="s">
        <v>21</v>
      </c>
      <c r="E1020" s="267" t="s">
        <v>2105</v>
      </c>
      <c r="F1020" s="289"/>
      <c r="G1020" s="269">
        <v>88000.0</v>
      </c>
      <c r="H1020" s="270">
        <v>0.0</v>
      </c>
      <c r="I1020" s="269">
        <v>88000.0</v>
      </c>
      <c r="J1020" s="271">
        <v>88000.0</v>
      </c>
      <c r="K1020" s="272">
        <f t="shared" si="2"/>
        <v>0</v>
      </c>
      <c r="L1020" s="290"/>
      <c r="M1020" s="290"/>
      <c r="N1020" s="290"/>
    </row>
    <row r="1021" ht="26.25" customHeight="1">
      <c r="A1021" s="290"/>
      <c r="B1021" s="264">
        <v>45903.0</v>
      </c>
      <c r="C1021" s="265" t="s">
        <v>1057</v>
      </c>
      <c r="D1021" s="266" t="s">
        <v>824</v>
      </c>
      <c r="E1021" s="267" t="s">
        <v>2106</v>
      </c>
      <c r="F1021" s="289"/>
      <c r="G1021" s="269">
        <v>50000.0</v>
      </c>
      <c r="H1021" s="270">
        <v>0.0</v>
      </c>
      <c r="I1021" s="269">
        <v>50000.0</v>
      </c>
      <c r="J1021" s="271">
        <v>50000.0</v>
      </c>
      <c r="K1021" s="272">
        <f t="shared" si="2"/>
        <v>0</v>
      </c>
      <c r="L1021" s="290"/>
      <c r="M1021" s="290"/>
      <c r="N1021" s="290"/>
    </row>
    <row r="1022" ht="26.25" customHeight="1">
      <c r="A1022" s="274"/>
      <c r="B1022" s="264">
        <v>45903.0</v>
      </c>
      <c r="C1022" s="265" t="s">
        <v>965</v>
      </c>
      <c r="D1022" s="266" t="s">
        <v>21</v>
      </c>
      <c r="E1022" s="267" t="s">
        <v>2107</v>
      </c>
      <c r="F1022" s="268"/>
      <c r="G1022" s="269">
        <v>50000.0</v>
      </c>
      <c r="H1022" s="270">
        <v>0.0</v>
      </c>
      <c r="I1022" s="269">
        <v>50000.0</v>
      </c>
      <c r="J1022" s="271">
        <v>50000.0</v>
      </c>
      <c r="K1022" s="272">
        <f t="shared" si="2"/>
        <v>0</v>
      </c>
      <c r="L1022" s="273"/>
      <c r="M1022" s="273"/>
      <c r="N1022" s="273"/>
    </row>
    <row r="1023" ht="26.25" customHeight="1">
      <c r="A1023" s="290"/>
      <c r="B1023" s="264">
        <v>45903.0</v>
      </c>
      <c r="C1023" s="265" t="s">
        <v>1057</v>
      </c>
      <c r="D1023" s="266" t="s">
        <v>824</v>
      </c>
      <c r="E1023" s="267" t="s">
        <v>2108</v>
      </c>
      <c r="F1023" s="289"/>
      <c r="G1023" s="269">
        <v>40000.0</v>
      </c>
      <c r="H1023" s="270">
        <v>0.0</v>
      </c>
      <c r="I1023" s="269">
        <v>40000.0</v>
      </c>
      <c r="J1023" s="271">
        <v>40000.0</v>
      </c>
      <c r="K1023" s="272">
        <f t="shared" si="2"/>
        <v>0</v>
      </c>
      <c r="L1023" s="290"/>
      <c r="M1023" s="290"/>
      <c r="N1023" s="290"/>
    </row>
    <row r="1024" ht="26.25" customHeight="1">
      <c r="A1024" s="290"/>
      <c r="B1024" s="264">
        <v>45903.0</v>
      </c>
      <c r="C1024" s="265" t="s">
        <v>1057</v>
      </c>
      <c r="D1024" s="266" t="s">
        <v>824</v>
      </c>
      <c r="E1024" s="267" t="s">
        <v>2109</v>
      </c>
      <c r="F1024" s="289"/>
      <c r="G1024" s="269">
        <v>15000.0</v>
      </c>
      <c r="H1024" s="270">
        <v>0.0</v>
      </c>
      <c r="I1024" s="269">
        <v>15000.0</v>
      </c>
      <c r="J1024" s="271">
        <v>15000.0</v>
      </c>
      <c r="K1024" s="272">
        <f t="shared" si="2"/>
        <v>0</v>
      </c>
      <c r="L1024" s="290"/>
      <c r="M1024" s="290"/>
      <c r="N1024" s="290"/>
    </row>
    <row r="1025" ht="26.25" customHeight="1">
      <c r="A1025" s="290"/>
      <c r="B1025" s="264">
        <v>45903.0</v>
      </c>
      <c r="C1025" s="265" t="s">
        <v>1057</v>
      </c>
      <c r="D1025" s="266" t="s">
        <v>824</v>
      </c>
      <c r="E1025" s="267" t="s">
        <v>1579</v>
      </c>
      <c r="F1025" s="289"/>
      <c r="G1025" s="269">
        <v>15000.0</v>
      </c>
      <c r="H1025" s="270">
        <v>0.0</v>
      </c>
      <c r="I1025" s="269">
        <v>15000.0</v>
      </c>
      <c r="J1025" s="271">
        <v>15000.0</v>
      </c>
      <c r="K1025" s="272">
        <f t="shared" si="2"/>
        <v>0</v>
      </c>
      <c r="L1025" s="290"/>
      <c r="M1025" s="290"/>
      <c r="N1025" s="290"/>
    </row>
    <row r="1026" ht="26.25" customHeight="1">
      <c r="A1026" s="290"/>
      <c r="B1026" s="264">
        <v>45903.0</v>
      </c>
      <c r="C1026" s="265" t="s">
        <v>974</v>
      </c>
      <c r="D1026" s="266" t="s">
        <v>1340</v>
      </c>
      <c r="E1026" s="267" t="s">
        <v>993</v>
      </c>
      <c r="F1026" s="289"/>
      <c r="G1026" s="269">
        <v>12000.0</v>
      </c>
      <c r="H1026" s="270">
        <v>0.0</v>
      </c>
      <c r="I1026" s="269">
        <v>12000.0</v>
      </c>
      <c r="J1026" s="271">
        <v>12000.0</v>
      </c>
      <c r="K1026" s="272">
        <f t="shared" si="2"/>
        <v>0</v>
      </c>
      <c r="L1026" s="290"/>
      <c r="M1026" s="290"/>
      <c r="N1026" s="290"/>
    </row>
    <row r="1027" ht="26.25" customHeight="1">
      <c r="A1027" s="273"/>
      <c r="B1027" s="264">
        <v>45903.0</v>
      </c>
      <c r="C1027" s="275" t="s">
        <v>974</v>
      </c>
      <c r="D1027" s="266" t="s">
        <v>21</v>
      </c>
      <c r="E1027" s="267" t="s">
        <v>1563</v>
      </c>
      <c r="F1027" s="268"/>
      <c r="G1027" s="269">
        <v>10000.0</v>
      </c>
      <c r="H1027" s="270">
        <v>0.0</v>
      </c>
      <c r="I1027" s="269">
        <v>10000.0</v>
      </c>
      <c r="J1027" s="271">
        <v>10000.0</v>
      </c>
      <c r="K1027" s="272">
        <f t="shared" si="2"/>
        <v>0</v>
      </c>
      <c r="L1027" s="273"/>
      <c r="M1027" s="273"/>
      <c r="N1027" s="273"/>
    </row>
    <row r="1028" ht="26.25" customHeight="1">
      <c r="A1028" s="273"/>
      <c r="B1028" s="264">
        <v>45903.0</v>
      </c>
      <c r="C1028" s="275" t="s">
        <v>974</v>
      </c>
      <c r="D1028" s="266" t="s">
        <v>21</v>
      </c>
      <c r="E1028" s="267" t="s">
        <v>2067</v>
      </c>
      <c r="F1028" s="268"/>
      <c r="G1028" s="269">
        <v>10000.0</v>
      </c>
      <c r="H1028" s="270">
        <v>0.0</v>
      </c>
      <c r="I1028" s="269">
        <v>10000.0</v>
      </c>
      <c r="J1028" s="271">
        <v>10000.0</v>
      </c>
      <c r="K1028" s="272">
        <f t="shared" si="2"/>
        <v>0</v>
      </c>
      <c r="L1028" s="273"/>
      <c r="M1028" s="273"/>
      <c r="N1028" s="273"/>
    </row>
    <row r="1029" ht="26.25" customHeight="1">
      <c r="A1029" s="273"/>
      <c r="B1029" s="264">
        <v>45904.0</v>
      </c>
      <c r="C1029" s="275" t="s">
        <v>960</v>
      </c>
      <c r="D1029" s="266" t="s">
        <v>824</v>
      </c>
      <c r="E1029" s="267" t="s">
        <v>1070</v>
      </c>
      <c r="F1029" s="268"/>
      <c r="G1029" s="269">
        <v>230000.0</v>
      </c>
      <c r="H1029" s="270">
        <v>0.0</v>
      </c>
      <c r="I1029" s="269">
        <v>230000.0</v>
      </c>
      <c r="J1029" s="271">
        <v>230000.0</v>
      </c>
      <c r="K1029" s="272">
        <f t="shared" si="2"/>
        <v>0</v>
      </c>
      <c r="L1029" s="273"/>
      <c r="M1029" s="273"/>
      <c r="N1029" s="273"/>
    </row>
    <row r="1030" ht="26.25" customHeight="1">
      <c r="A1030" s="277" t="s">
        <v>2110</v>
      </c>
      <c r="B1030" s="264">
        <v>45904.0</v>
      </c>
      <c r="C1030" s="265" t="s">
        <v>965</v>
      </c>
      <c r="D1030" s="266" t="s">
        <v>980</v>
      </c>
      <c r="E1030" s="267" t="s">
        <v>1597</v>
      </c>
      <c r="F1030" s="289"/>
      <c r="G1030" s="269">
        <v>76000.0</v>
      </c>
      <c r="H1030" s="270">
        <v>0.0</v>
      </c>
      <c r="I1030" s="269">
        <v>76000.0</v>
      </c>
      <c r="J1030" s="271">
        <v>76000.0</v>
      </c>
      <c r="K1030" s="272">
        <f t="shared" si="2"/>
        <v>0</v>
      </c>
      <c r="L1030" s="290"/>
      <c r="M1030" s="290"/>
      <c r="N1030" s="290"/>
    </row>
    <row r="1031" ht="26.25" customHeight="1">
      <c r="A1031" s="274"/>
      <c r="B1031" s="264">
        <v>45904.0</v>
      </c>
      <c r="C1031" s="265" t="s">
        <v>960</v>
      </c>
      <c r="D1031" s="266" t="s">
        <v>824</v>
      </c>
      <c r="E1031" s="267" t="s">
        <v>1484</v>
      </c>
      <c r="F1031" s="268"/>
      <c r="G1031" s="269">
        <v>60000.0</v>
      </c>
      <c r="H1031" s="270">
        <v>0.0</v>
      </c>
      <c r="I1031" s="269">
        <v>60000.0</v>
      </c>
      <c r="J1031" s="271">
        <v>60000.0</v>
      </c>
      <c r="K1031" s="272">
        <f t="shared" si="2"/>
        <v>0</v>
      </c>
      <c r="L1031" s="273"/>
      <c r="M1031" s="273"/>
      <c r="N1031" s="273"/>
    </row>
    <row r="1032" ht="26.25" customHeight="1">
      <c r="A1032" s="274"/>
      <c r="B1032" s="264">
        <v>45904.0</v>
      </c>
      <c r="C1032" s="265" t="s">
        <v>974</v>
      </c>
      <c r="D1032" s="266" t="s">
        <v>21</v>
      </c>
      <c r="E1032" s="267" t="s">
        <v>2111</v>
      </c>
      <c r="F1032" s="289"/>
      <c r="G1032" s="269">
        <v>50000.0</v>
      </c>
      <c r="H1032" s="270">
        <v>0.0</v>
      </c>
      <c r="I1032" s="269">
        <v>50000.0</v>
      </c>
      <c r="J1032" s="271">
        <v>50000.0</v>
      </c>
      <c r="K1032" s="272">
        <f t="shared" si="2"/>
        <v>0</v>
      </c>
      <c r="L1032" s="290"/>
      <c r="M1032" s="290"/>
      <c r="N1032" s="290"/>
    </row>
    <row r="1033" ht="26.25" customHeight="1">
      <c r="A1033" s="274"/>
      <c r="B1033" s="264">
        <v>45904.0</v>
      </c>
      <c r="C1033" s="265" t="s">
        <v>974</v>
      </c>
      <c r="D1033" s="266" t="s">
        <v>31</v>
      </c>
      <c r="E1033" s="267" t="s">
        <v>2112</v>
      </c>
      <c r="F1033" s="289"/>
      <c r="G1033" s="269">
        <v>40000.0</v>
      </c>
      <c r="H1033" s="270">
        <v>0.0</v>
      </c>
      <c r="I1033" s="269">
        <v>40000.0</v>
      </c>
      <c r="J1033" s="271">
        <v>40000.0</v>
      </c>
      <c r="K1033" s="272">
        <f t="shared" si="2"/>
        <v>0</v>
      </c>
      <c r="L1033" s="290"/>
      <c r="M1033" s="290"/>
      <c r="N1033" s="290"/>
    </row>
    <row r="1034" ht="26.25" customHeight="1">
      <c r="A1034" s="290"/>
      <c r="B1034" s="264">
        <v>45904.0</v>
      </c>
      <c r="C1034" s="265" t="s">
        <v>974</v>
      </c>
      <c r="D1034" s="266" t="s">
        <v>224</v>
      </c>
      <c r="E1034" s="267" t="s">
        <v>2080</v>
      </c>
      <c r="F1034" s="289"/>
      <c r="G1034" s="269">
        <v>33000.0</v>
      </c>
      <c r="H1034" s="270">
        <v>0.0</v>
      </c>
      <c r="I1034" s="269">
        <v>33000.0</v>
      </c>
      <c r="J1034" s="271">
        <v>33000.0</v>
      </c>
      <c r="K1034" s="272">
        <f t="shared" si="2"/>
        <v>0</v>
      </c>
      <c r="L1034" s="290"/>
      <c r="M1034" s="290"/>
      <c r="N1034" s="290"/>
    </row>
    <row r="1035" ht="26.25" customHeight="1">
      <c r="A1035" s="273"/>
      <c r="B1035" s="264">
        <v>45904.0</v>
      </c>
      <c r="C1035" s="275" t="s">
        <v>974</v>
      </c>
      <c r="D1035" s="266" t="s">
        <v>21</v>
      </c>
      <c r="E1035" s="267" t="s">
        <v>2113</v>
      </c>
      <c r="F1035" s="268"/>
      <c r="G1035" s="269">
        <v>25000.0</v>
      </c>
      <c r="H1035" s="270">
        <v>0.0</v>
      </c>
      <c r="I1035" s="269">
        <v>25000.0</v>
      </c>
      <c r="J1035" s="271">
        <v>25000.0</v>
      </c>
      <c r="K1035" s="272">
        <f t="shared" si="2"/>
        <v>0</v>
      </c>
      <c r="L1035" s="273"/>
      <c r="M1035" s="273"/>
      <c r="N1035" s="273"/>
    </row>
    <row r="1036" ht="26.25" customHeight="1">
      <c r="A1036" s="273"/>
      <c r="B1036" s="264">
        <v>45904.0</v>
      </c>
      <c r="C1036" s="275" t="s">
        <v>985</v>
      </c>
      <c r="D1036" s="266" t="s">
        <v>824</v>
      </c>
      <c r="E1036" s="267" t="s">
        <v>2114</v>
      </c>
      <c r="F1036" s="268"/>
      <c r="G1036" s="269">
        <v>20000.0</v>
      </c>
      <c r="H1036" s="270">
        <v>0.0</v>
      </c>
      <c r="I1036" s="269">
        <v>20000.0</v>
      </c>
      <c r="J1036" s="271">
        <v>20000.0</v>
      </c>
      <c r="K1036" s="272">
        <f t="shared" si="2"/>
        <v>0</v>
      </c>
      <c r="L1036" s="273"/>
      <c r="M1036" s="273"/>
      <c r="N1036" s="273"/>
    </row>
    <row r="1037" ht="26.25" customHeight="1">
      <c r="A1037" s="273"/>
      <c r="B1037" s="264">
        <v>45904.0</v>
      </c>
      <c r="C1037" s="275" t="s">
        <v>960</v>
      </c>
      <c r="D1037" s="266" t="s">
        <v>824</v>
      </c>
      <c r="E1037" s="267" t="s">
        <v>2115</v>
      </c>
      <c r="F1037" s="268"/>
      <c r="G1037" s="269">
        <v>12000.0</v>
      </c>
      <c r="H1037" s="270">
        <v>0.0</v>
      </c>
      <c r="I1037" s="269">
        <v>12000.0</v>
      </c>
      <c r="J1037" s="271">
        <v>12000.0</v>
      </c>
      <c r="K1037" s="272">
        <f t="shared" si="2"/>
        <v>0</v>
      </c>
      <c r="L1037" s="273"/>
      <c r="M1037" s="273"/>
      <c r="N1037" s="273"/>
    </row>
    <row r="1038" ht="26.25" customHeight="1">
      <c r="A1038" s="274"/>
      <c r="B1038" s="264">
        <v>45904.0</v>
      </c>
      <c r="C1038" s="280"/>
      <c r="D1038" s="266" t="s">
        <v>824</v>
      </c>
      <c r="E1038" s="267" t="s">
        <v>2116</v>
      </c>
      <c r="F1038" s="268"/>
      <c r="G1038" s="269">
        <v>3000.0</v>
      </c>
      <c r="H1038" s="270">
        <v>0.0</v>
      </c>
      <c r="I1038" s="269">
        <v>3000.0</v>
      </c>
      <c r="J1038" s="271">
        <v>3000.0</v>
      </c>
      <c r="K1038" s="272">
        <f t="shared" si="2"/>
        <v>0</v>
      </c>
      <c r="L1038" s="273"/>
      <c r="M1038" s="273"/>
      <c r="N1038" s="273"/>
    </row>
    <row r="1039" ht="26.25" customHeight="1">
      <c r="A1039" s="305"/>
      <c r="B1039" s="296">
        <v>45904.0</v>
      </c>
      <c r="C1039" s="265" t="s">
        <v>1035</v>
      </c>
      <c r="D1039" s="266" t="s">
        <v>824</v>
      </c>
      <c r="E1039" s="267" t="s">
        <v>1229</v>
      </c>
      <c r="F1039" s="268"/>
      <c r="G1039" s="269">
        <v>3000.0</v>
      </c>
      <c r="H1039" s="270">
        <v>0.0</v>
      </c>
      <c r="I1039" s="269">
        <v>3000.0</v>
      </c>
      <c r="J1039" s="271">
        <v>3000.0</v>
      </c>
      <c r="K1039" s="272">
        <f t="shared" si="2"/>
        <v>0</v>
      </c>
      <c r="L1039" s="273"/>
      <c r="M1039" s="273"/>
      <c r="N1039" s="273"/>
    </row>
    <row r="1040" ht="26.25" customHeight="1">
      <c r="A1040" s="273"/>
      <c r="B1040" s="264">
        <v>45906.0</v>
      </c>
      <c r="C1040" s="275" t="s">
        <v>965</v>
      </c>
      <c r="D1040" s="266" t="s">
        <v>1029</v>
      </c>
      <c r="E1040" s="267" t="s">
        <v>980</v>
      </c>
      <c r="F1040" s="268"/>
      <c r="G1040" s="269">
        <v>1571000.0</v>
      </c>
      <c r="H1040" s="270">
        <v>0.0</v>
      </c>
      <c r="I1040" s="269">
        <v>1571000.0</v>
      </c>
      <c r="J1040" s="271">
        <v>1571000.0</v>
      </c>
      <c r="K1040" s="272">
        <f t="shared" si="2"/>
        <v>0</v>
      </c>
      <c r="L1040" s="273"/>
      <c r="M1040" s="273"/>
      <c r="N1040" s="273"/>
    </row>
    <row r="1041" ht="26.25" customHeight="1">
      <c r="A1041" s="295"/>
      <c r="B1041" s="296">
        <v>45908.0</v>
      </c>
      <c r="C1041" s="303" t="s">
        <v>1057</v>
      </c>
      <c r="D1041" s="291" t="s">
        <v>2117</v>
      </c>
      <c r="E1041" s="267" t="s">
        <v>2118</v>
      </c>
      <c r="F1041" s="268"/>
      <c r="G1041" s="269">
        <v>778000.0</v>
      </c>
      <c r="H1041" s="270">
        <v>0.0</v>
      </c>
      <c r="I1041" s="269">
        <v>778000.0</v>
      </c>
      <c r="J1041" s="271">
        <v>778000.0</v>
      </c>
      <c r="K1041" s="272">
        <f t="shared" si="2"/>
        <v>0</v>
      </c>
      <c r="L1041" s="273"/>
      <c r="M1041" s="273"/>
      <c r="N1041" s="273"/>
    </row>
    <row r="1042" ht="26.25" customHeight="1">
      <c r="A1042" s="281" t="s">
        <v>2119</v>
      </c>
      <c r="B1042" s="264">
        <v>45908.0</v>
      </c>
      <c r="C1042" s="275" t="s">
        <v>1057</v>
      </c>
      <c r="D1042" s="266" t="s">
        <v>980</v>
      </c>
      <c r="E1042" s="267" t="s">
        <v>2120</v>
      </c>
      <c r="F1042" s="268"/>
      <c r="G1042" s="269">
        <v>748000.0</v>
      </c>
      <c r="H1042" s="270">
        <v>0.0</v>
      </c>
      <c r="I1042" s="269">
        <v>748000.0</v>
      </c>
      <c r="J1042" s="271">
        <v>748000.0</v>
      </c>
      <c r="K1042" s="272">
        <f t="shared" si="2"/>
        <v>0</v>
      </c>
      <c r="L1042" s="273"/>
      <c r="M1042" s="273"/>
      <c r="N1042" s="273"/>
    </row>
    <row r="1043" ht="26.25" customHeight="1">
      <c r="A1043" s="273"/>
      <c r="B1043" s="264">
        <v>45908.0</v>
      </c>
      <c r="C1043" s="275" t="s">
        <v>1057</v>
      </c>
      <c r="D1043" s="291" t="s">
        <v>2117</v>
      </c>
      <c r="E1043" s="267" t="s">
        <v>1287</v>
      </c>
      <c r="F1043" s="268"/>
      <c r="G1043" s="269">
        <v>500000.0</v>
      </c>
      <c r="H1043" s="270">
        <v>0.0</v>
      </c>
      <c r="I1043" s="269">
        <v>500000.0</v>
      </c>
      <c r="J1043" s="271">
        <v>500000.0</v>
      </c>
      <c r="K1043" s="272">
        <f t="shared" si="2"/>
        <v>0</v>
      </c>
      <c r="L1043" s="273"/>
      <c r="M1043" s="273"/>
      <c r="N1043" s="273"/>
    </row>
    <row r="1044" ht="26.25" customHeight="1">
      <c r="A1044" s="273"/>
      <c r="B1044" s="264">
        <v>45908.0</v>
      </c>
      <c r="C1044" s="275" t="s">
        <v>1057</v>
      </c>
      <c r="D1044" s="266" t="s">
        <v>980</v>
      </c>
      <c r="E1044" s="267" t="s">
        <v>2121</v>
      </c>
      <c r="F1044" s="268"/>
      <c r="G1044" s="269">
        <v>451000.0</v>
      </c>
      <c r="H1044" s="270">
        <v>0.0</v>
      </c>
      <c r="I1044" s="269">
        <v>451000.0</v>
      </c>
      <c r="J1044" s="271">
        <v>451000.0</v>
      </c>
      <c r="K1044" s="272">
        <f t="shared" si="2"/>
        <v>0</v>
      </c>
      <c r="L1044" s="273"/>
      <c r="M1044" s="273"/>
      <c r="N1044" s="273"/>
    </row>
    <row r="1045" ht="26.25" customHeight="1">
      <c r="A1045" s="290"/>
      <c r="B1045" s="264">
        <v>45908.0</v>
      </c>
      <c r="C1045" s="265" t="s">
        <v>1057</v>
      </c>
      <c r="D1045" s="291" t="s">
        <v>2117</v>
      </c>
      <c r="E1045" s="267" t="s">
        <v>2122</v>
      </c>
      <c r="F1045" s="289"/>
      <c r="G1045" s="269">
        <v>252000.0</v>
      </c>
      <c r="H1045" s="270">
        <v>0.0</v>
      </c>
      <c r="I1045" s="269">
        <v>252000.0</v>
      </c>
      <c r="J1045" s="271">
        <v>252000.0</v>
      </c>
      <c r="K1045" s="272">
        <f t="shared" si="2"/>
        <v>0</v>
      </c>
      <c r="L1045" s="290"/>
      <c r="M1045" s="290"/>
      <c r="N1045" s="290"/>
    </row>
    <row r="1046" ht="26.25" customHeight="1">
      <c r="A1046" s="288" t="s">
        <v>2119</v>
      </c>
      <c r="B1046" s="264">
        <v>45908.0</v>
      </c>
      <c r="C1046" s="265" t="s">
        <v>1057</v>
      </c>
      <c r="D1046" s="266" t="s">
        <v>980</v>
      </c>
      <c r="E1046" s="267" t="s">
        <v>2123</v>
      </c>
      <c r="F1046" s="289"/>
      <c r="G1046" s="269">
        <v>234000.0</v>
      </c>
      <c r="H1046" s="270">
        <v>0.0</v>
      </c>
      <c r="I1046" s="269">
        <v>234000.0</v>
      </c>
      <c r="J1046" s="271">
        <v>234000.0</v>
      </c>
      <c r="K1046" s="272">
        <f t="shared" si="2"/>
        <v>0</v>
      </c>
      <c r="L1046" s="290"/>
      <c r="M1046" s="290"/>
      <c r="N1046" s="290"/>
    </row>
    <row r="1047" ht="26.25" customHeight="1">
      <c r="A1047" s="290"/>
      <c r="B1047" s="264">
        <v>45908.0</v>
      </c>
      <c r="C1047" s="265" t="s">
        <v>1057</v>
      </c>
      <c r="D1047" s="291" t="s">
        <v>2117</v>
      </c>
      <c r="E1047" s="267" t="s">
        <v>1453</v>
      </c>
      <c r="F1047" s="289"/>
      <c r="G1047" s="269">
        <v>158000.0</v>
      </c>
      <c r="H1047" s="270">
        <v>0.0</v>
      </c>
      <c r="I1047" s="269">
        <v>158000.0</v>
      </c>
      <c r="J1047" s="271">
        <v>158000.0</v>
      </c>
      <c r="K1047" s="272">
        <f t="shared" si="2"/>
        <v>0</v>
      </c>
      <c r="L1047" s="290"/>
      <c r="M1047" s="290"/>
      <c r="N1047" s="290"/>
    </row>
    <row r="1048" ht="26.25" customHeight="1">
      <c r="A1048" s="274"/>
      <c r="B1048" s="264">
        <v>45908.0</v>
      </c>
      <c r="C1048" s="265" t="s">
        <v>1057</v>
      </c>
      <c r="D1048" s="291" t="s">
        <v>2117</v>
      </c>
      <c r="E1048" s="267" t="s">
        <v>2124</v>
      </c>
      <c r="F1048" s="289"/>
      <c r="G1048" s="269">
        <v>150000.0</v>
      </c>
      <c r="H1048" s="270">
        <v>0.0</v>
      </c>
      <c r="I1048" s="269">
        <v>150000.0</v>
      </c>
      <c r="J1048" s="271">
        <v>150000.0</v>
      </c>
      <c r="K1048" s="272">
        <f t="shared" si="2"/>
        <v>0</v>
      </c>
      <c r="L1048" s="290"/>
      <c r="M1048" s="290"/>
      <c r="N1048" s="290"/>
    </row>
    <row r="1049" ht="26.25" customHeight="1">
      <c r="A1049" s="274"/>
      <c r="B1049" s="264">
        <v>45908.0</v>
      </c>
      <c r="C1049" s="265" t="s">
        <v>1057</v>
      </c>
      <c r="D1049" s="291" t="s">
        <v>2117</v>
      </c>
      <c r="E1049" s="267" t="s">
        <v>2125</v>
      </c>
      <c r="F1049" s="268"/>
      <c r="G1049" s="269">
        <v>70000.0</v>
      </c>
      <c r="H1049" s="270">
        <v>0.0</v>
      </c>
      <c r="I1049" s="269">
        <v>70000.0</v>
      </c>
      <c r="J1049" s="271">
        <v>70000.0</v>
      </c>
      <c r="K1049" s="272">
        <f t="shared" si="2"/>
        <v>0</v>
      </c>
      <c r="L1049" s="273"/>
      <c r="M1049" s="273"/>
      <c r="N1049" s="273"/>
    </row>
    <row r="1050" ht="26.25" customHeight="1">
      <c r="A1050" s="274"/>
      <c r="B1050" s="264">
        <v>45908.0</v>
      </c>
      <c r="C1050" s="265" t="s">
        <v>1057</v>
      </c>
      <c r="D1050" s="291" t="s">
        <v>2117</v>
      </c>
      <c r="E1050" s="267" t="s">
        <v>2126</v>
      </c>
      <c r="F1050" s="268"/>
      <c r="G1050" s="269">
        <v>60000.0</v>
      </c>
      <c r="H1050" s="270">
        <v>0.0</v>
      </c>
      <c r="I1050" s="269">
        <v>60000.0</v>
      </c>
      <c r="J1050" s="271">
        <v>60000.0</v>
      </c>
      <c r="K1050" s="272">
        <f t="shared" si="2"/>
        <v>0</v>
      </c>
      <c r="L1050" s="273"/>
      <c r="M1050" s="273"/>
      <c r="N1050" s="273"/>
    </row>
    <row r="1051" ht="26.25" customHeight="1">
      <c r="A1051" s="290"/>
      <c r="B1051" s="264">
        <v>45908.0</v>
      </c>
      <c r="C1051" s="265" t="s">
        <v>1057</v>
      </c>
      <c r="D1051" s="291" t="s">
        <v>2117</v>
      </c>
      <c r="E1051" s="267" t="s">
        <v>2127</v>
      </c>
      <c r="F1051" s="289"/>
      <c r="G1051" s="269">
        <v>60000.0</v>
      </c>
      <c r="H1051" s="270">
        <v>0.0</v>
      </c>
      <c r="I1051" s="269">
        <v>60000.0</v>
      </c>
      <c r="J1051" s="271">
        <v>60000.0</v>
      </c>
      <c r="K1051" s="272">
        <f t="shared" si="2"/>
        <v>0</v>
      </c>
      <c r="L1051" s="290"/>
      <c r="M1051" s="290"/>
      <c r="N1051" s="290"/>
    </row>
    <row r="1052" ht="26.25" customHeight="1">
      <c r="A1052" s="273"/>
      <c r="B1052" s="264">
        <v>45908.0</v>
      </c>
      <c r="C1052" s="275" t="s">
        <v>1057</v>
      </c>
      <c r="D1052" s="291" t="s">
        <v>2117</v>
      </c>
      <c r="E1052" s="267" t="s">
        <v>2128</v>
      </c>
      <c r="F1052" s="268"/>
      <c r="G1052" s="269">
        <v>50000.0</v>
      </c>
      <c r="H1052" s="270">
        <v>0.0</v>
      </c>
      <c r="I1052" s="269">
        <v>50000.0</v>
      </c>
      <c r="J1052" s="271">
        <v>50000.0</v>
      </c>
      <c r="K1052" s="272">
        <f t="shared" si="2"/>
        <v>0</v>
      </c>
      <c r="L1052" s="273"/>
      <c r="M1052" s="273"/>
      <c r="N1052" s="273"/>
    </row>
    <row r="1053" ht="26.25" customHeight="1">
      <c r="A1053" s="273"/>
      <c r="B1053" s="264">
        <v>45908.0</v>
      </c>
      <c r="C1053" s="275" t="s">
        <v>1057</v>
      </c>
      <c r="D1053" s="291" t="s">
        <v>2117</v>
      </c>
      <c r="E1053" s="267" t="s">
        <v>2129</v>
      </c>
      <c r="F1053" s="268"/>
      <c r="G1053" s="269">
        <v>40000.0</v>
      </c>
      <c r="H1053" s="270">
        <v>0.0</v>
      </c>
      <c r="I1053" s="269">
        <v>40000.0</v>
      </c>
      <c r="J1053" s="271">
        <v>40000.0</v>
      </c>
      <c r="K1053" s="272">
        <f t="shared" si="2"/>
        <v>0</v>
      </c>
      <c r="L1053" s="273"/>
      <c r="M1053" s="273"/>
      <c r="N1053" s="273"/>
    </row>
    <row r="1054" ht="26.25" customHeight="1">
      <c r="A1054" s="273"/>
      <c r="B1054" s="264">
        <v>45908.0</v>
      </c>
      <c r="C1054" s="275" t="s">
        <v>1057</v>
      </c>
      <c r="D1054" s="291" t="s">
        <v>2117</v>
      </c>
      <c r="E1054" s="267" t="s">
        <v>2130</v>
      </c>
      <c r="F1054" s="268"/>
      <c r="G1054" s="269">
        <v>38000.0</v>
      </c>
      <c r="H1054" s="270">
        <v>0.0</v>
      </c>
      <c r="I1054" s="269">
        <v>38000.0</v>
      </c>
      <c r="J1054" s="271">
        <v>38000.0</v>
      </c>
      <c r="K1054" s="272">
        <f t="shared" si="2"/>
        <v>0</v>
      </c>
      <c r="L1054" s="273"/>
      <c r="M1054" s="273"/>
      <c r="N1054" s="273"/>
    </row>
    <row r="1055" ht="26.25" customHeight="1">
      <c r="A1055" s="273"/>
      <c r="B1055" s="264">
        <v>45908.0</v>
      </c>
      <c r="C1055" s="275" t="s">
        <v>1057</v>
      </c>
      <c r="D1055" s="291" t="s">
        <v>2117</v>
      </c>
      <c r="E1055" s="267" t="s">
        <v>2131</v>
      </c>
      <c r="F1055" s="268"/>
      <c r="G1055" s="269">
        <v>15000.0</v>
      </c>
      <c r="H1055" s="270">
        <v>0.0</v>
      </c>
      <c r="I1055" s="269">
        <v>15000.0</v>
      </c>
      <c r="J1055" s="271">
        <v>15000.0</v>
      </c>
      <c r="K1055" s="272">
        <f t="shared" si="2"/>
        <v>0</v>
      </c>
      <c r="L1055" s="273"/>
      <c r="M1055" s="273"/>
      <c r="N1055" s="273"/>
    </row>
    <row r="1056" ht="26.25" customHeight="1">
      <c r="A1056" s="273"/>
      <c r="B1056" s="264">
        <v>45908.0</v>
      </c>
      <c r="C1056" s="275" t="s">
        <v>1057</v>
      </c>
      <c r="D1056" s="291" t="s">
        <v>2117</v>
      </c>
      <c r="E1056" s="267" t="s">
        <v>1285</v>
      </c>
      <c r="F1056" s="268"/>
      <c r="G1056" s="269">
        <v>15000.0</v>
      </c>
      <c r="H1056" s="270">
        <v>0.0</v>
      </c>
      <c r="I1056" s="269">
        <v>15000.0</v>
      </c>
      <c r="J1056" s="271">
        <v>15000.0</v>
      </c>
      <c r="K1056" s="272">
        <f t="shared" si="2"/>
        <v>0</v>
      </c>
      <c r="L1056" s="273"/>
      <c r="M1056" s="273"/>
      <c r="N1056" s="273"/>
    </row>
    <row r="1057" ht="26.25" customHeight="1">
      <c r="A1057" s="273"/>
      <c r="B1057" s="264">
        <v>45908.0</v>
      </c>
      <c r="C1057" s="275" t="s">
        <v>1057</v>
      </c>
      <c r="D1057" s="291" t="s">
        <v>2117</v>
      </c>
      <c r="E1057" s="267" t="s">
        <v>2132</v>
      </c>
      <c r="F1057" s="268"/>
      <c r="G1057" s="269">
        <v>15000.0</v>
      </c>
      <c r="H1057" s="270">
        <v>0.0</v>
      </c>
      <c r="I1057" s="269">
        <v>15000.0</v>
      </c>
      <c r="J1057" s="271">
        <v>15000.0</v>
      </c>
      <c r="K1057" s="272">
        <f t="shared" si="2"/>
        <v>0</v>
      </c>
      <c r="L1057" s="273"/>
      <c r="M1057" s="273"/>
      <c r="N1057" s="273"/>
    </row>
    <row r="1058" ht="24.75" customHeight="1">
      <c r="A1058" s="273"/>
      <c r="B1058" s="264">
        <v>45908.0</v>
      </c>
      <c r="C1058" s="275" t="s">
        <v>1057</v>
      </c>
      <c r="D1058" s="291" t="s">
        <v>2117</v>
      </c>
      <c r="E1058" s="267" t="s">
        <v>2133</v>
      </c>
      <c r="F1058" s="268"/>
      <c r="G1058" s="269">
        <v>13000.0</v>
      </c>
      <c r="H1058" s="270">
        <v>0.0</v>
      </c>
      <c r="I1058" s="269">
        <v>13000.0</v>
      </c>
      <c r="J1058" s="271">
        <v>13000.0</v>
      </c>
      <c r="K1058" s="272">
        <f t="shared" si="2"/>
        <v>0</v>
      </c>
      <c r="L1058" s="273"/>
      <c r="M1058" s="273"/>
      <c r="N1058" s="273"/>
    </row>
    <row r="1059" ht="26.25" customHeight="1">
      <c r="A1059" s="273"/>
      <c r="B1059" s="264">
        <v>45908.0</v>
      </c>
      <c r="C1059" s="275" t="s">
        <v>1057</v>
      </c>
      <c r="D1059" s="291" t="s">
        <v>2117</v>
      </c>
      <c r="E1059" s="267" t="s">
        <v>249</v>
      </c>
      <c r="F1059" s="268"/>
      <c r="G1059" s="269">
        <v>10000.0</v>
      </c>
      <c r="H1059" s="270">
        <v>0.0</v>
      </c>
      <c r="I1059" s="269">
        <v>10000.0</v>
      </c>
      <c r="J1059" s="271">
        <v>10000.0</v>
      </c>
      <c r="K1059" s="272">
        <f t="shared" si="2"/>
        <v>0</v>
      </c>
      <c r="L1059" s="273"/>
      <c r="M1059" s="273"/>
      <c r="N1059" s="273"/>
    </row>
    <row r="1060" ht="26.25" customHeight="1">
      <c r="A1060" s="290"/>
      <c r="B1060" s="264">
        <v>45908.0</v>
      </c>
      <c r="C1060" s="265" t="s">
        <v>1057</v>
      </c>
      <c r="D1060" s="291" t="s">
        <v>2117</v>
      </c>
      <c r="E1060" s="267" t="s">
        <v>2134</v>
      </c>
      <c r="F1060" s="289"/>
      <c r="G1060" s="269">
        <v>10000.0</v>
      </c>
      <c r="H1060" s="270">
        <v>0.0</v>
      </c>
      <c r="I1060" s="269">
        <v>10000.0</v>
      </c>
      <c r="J1060" s="271">
        <v>10000.0</v>
      </c>
      <c r="K1060" s="272">
        <f t="shared" si="2"/>
        <v>0</v>
      </c>
      <c r="L1060" s="290"/>
      <c r="M1060" s="290"/>
      <c r="N1060" s="290"/>
    </row>
    <row r="1061" ht="26.25" customHeight="1">
      <c r="A1061" s="274"/>
      <c r="B1061" s="264">
        <v>45908.0</v>
      </c>
      <c r="C1061" s="265" t="s">
        <v>1057</v>
      </c>
      <c r="D1061" s="291" t="s">
        <v>2117</v>
      </c>
      <c r="E1061" s="267" t="s">
        <v>2135</v>
      </c>
      <c r="F1061" s="289"/>
      <c r="G1061" s="269">
        <v>10000.0</v>
      </c>
      <c r="H1061" s="270">
        <v>0.0</v>
      </c>
      <c r="I1061" s="269">
        <v>10000.0</v>
      </c>
      <c r="J1061" s="271">
        <v>10000.0</v>
      </c>
      <c r="K1061" s="272">
        <f t="shared" si="2"/>
        <v>0</v>
      </c>
      <c r="L1061" s="290"/>
      <c r="M1061" s="290"/>
      <c r="N1061" s="290"/>
    </row>
    <row r="1062" ht="26.25" customHeight="1">
      <c r="A1062" s="290"/>
      <c r="B1062" s="264">
        <v>45908.0</v>
      </c>
      <c r="C1062" s="265" t="s">
        <v>1057</v>
      </c>
      <c r="D1062" s="291" t="s">
        <v>2117</v>
      </c>
      <c r="E1062" s="267" t="s">
        <v>980</v>
      </c>
      <c r="F1062" s="289"/>
      <c r="G1062" s="269">
        <v>10000.0</v>
      </c>
      <c r="H1062" s="270">
        <v>0.0</v>
      </c>
      <c r="I1062" s="269">
        <v>10000.0</v>
      </c>
      <c r="J1062" s="271">
        <v>10000.0</v>
      </c>
      <c r="K1062" s="272">
        <f t="shared" si="2"/>
        <v>0</v>
      </c>
      <c r="L1062" s="290"/>
      <c r="M1062" s="290"/>
      <c r="N1062" s="290"/>
    </row>
    <row r="1063" ht="26.25" customHeight="1">
      <c r="A1063" s="290"/>
      <c r="B1063" s="264">
        <v>45908.0</v>
      </c>
      <c r="C1063" s="265" t="s">
        <v>1057</v>
      </c>
      <c r="D1063" s="291" t="s">
        <v>2117</v>
      </c>
      <c r="E1063" s="267" t="s">
        <v>980</v>
      </c>
      <c r="F1063" s="289"/>
      <c r="G1063" s="269">
        <v>10000.0</v>
      </c>
      <c r="H1063" s="270">
        <v>0.0</v>
      </c>
      <c r="I1063" s="269">
        <v>10000.0</v>
      </c>
      <c r="J1063" s="271">
        <v>10000.0</v>
      </c>
      <c r="K1063" s="272">
        <f t="shared" si="2"/>
        <v>0</v>
      </c>
      <c r="L1063" s="290"/>
      <c r="M1063" s="290"/>
      <c r="N1063" s="290"/>
    </row>
    <row r="1064" ht="26.25" customHeight="1">
      <c r="A1064" s="274"/>
      <c r="B1064" s="264">
        <v>45908.0</v>
      </c>
      <c r="C1064" s="265" t="s">
        <v>1057</v>
      </c>
      <c r="D1064" s="291" t="s">
        <v>2117</v>
      </c>
      <c r="E1064" s="267" t="s">
        <v>2136</v>
      </c>
      <c r="F1064" s="289"/>
      <c r="G1064" s="269">
        <v>10000.0</v>
      </c>
      <c r="H1064" s="270">
        <v>0.0</v>
      </c>
      <c r="I1064" s="269">
        <v>10000.0</v>
      </c>
      <c r="J1064" s="271">
        <v>10000.0</v>
      </c>
      <c r="K1064" s="272">
        <f t="shared" si="2"/>
        <v>0</v>
      </c>
      <c r="L1064" s="290"/>
      <c r="M1064" s="290"/>
      <c r="N1064" s="290"/>
    </row>
    <row r="1065" ht="26.25" customHeight="1">
      <c r="A1065" s="274"/>
      <c r="B1065" s="264">
        <v>45908.0</v>
      </c>
      <c r="C1065" s="265" t="s">
        <v>1057</v>
      </c>
      <c r="D1065" s="291" t="s">
        <v>2117</v>
      </c>
      <c r="E1065" s="267" t="s">
        <v>2137</v>
      </c>
      <c r="F1065" s="268"/>
      <c r="G1065" s="269">
        <v>10000.0</v>
      </c>
      <c r="H1065" s="270">
        <v>0.0</v>
      </c>
      <c r="I1065" s="269">
        <v>10000.0</v>
      </c>
      <c r="J1065" s="271">
        <v>10000.0</v>
      </c>
      <c r="K1065" s="272">
        <f t="shared" si="2"/>
        <v>0</v>
      </c>
      <c r="L1065" s="273"/>
      <c r="M1065" s="273"/>
      <c r="N1065" s="273"/>
    </row>
    <row r="1066" ht="26.25" customHeight="1">
      <c r="A1066" s="290"/>
      <c r="B1066" s="264">
        <v>45908.0</v>
      </c>
      <c r="C1066" s="265" t="s">
        <v>1057</v>
      </c>
      <c r="D1066" s="291" t="s">
        <v>2117</v>
      </c>
      <c r="E1066" s="267" t="s">
        <v>2138</v>
      </c>
      <c r="F1066" s="289"/>
      <c r="G1066" s="269">
        <v>6000.0</v>
      </c>
      <c r="H1066" s="270">
        <v>0.0</v>
      </c>
      <c r="I1066" s="269">
        <v>6000.0</v>
      </c>
      <c r="J1066" s="271">
        <v>6000.0</v>
      </c>
      <c r="K1066" s="272">
        <f t="shared" si="2"/>
        <v>0</v>
      </c>
      <c r="L1066" s="290"/>
      <c r="M1066" s="290"/>
      <c r="N1066" s="290"/>
    </row>
    <row r="1067" ht="26.25" customHeight="1">
      <c r="A1067" s="290"/>
      <c r="B1067" s="264">
        <v>45908.0</v>
      </c>
      <c r="C1067" s="265" t="s">
        <v>1057</v>
      </c>
      <c r="D1067" s="291" t="s">
        <v>2117</v>
      </c>
      <c r="E1067" s="267" t="s">
        <v>1788</v>
      </c>
      <c r="F1067" s="289"/>
      <c r="G1067" s="269">
        <v>5000.0</v>
      </c>
      <c r="H1067" s="270">
        <v>0.0</v>
      </c>
      <c r="I1067" s="269">
        <v>5000.0</v>
      </c>
      <c r="J1067" s="271">
        <v>5000.0</v>
      </c>
      <c r="K1067" s="272">
        <f t="shared" si="2"/>
        <v>0</v>
      </c>
      <c r="L1067" s="290"/>
      <c r="M1067" s="290"/>
      <c r="N1067" s="290"/>
    </row>
    <row r="1068" ht="26.25" customHeight="1">
      <c r="A1068" s="274"/>
      <c r="B1068" s="264">
        <v>45908.0</v>
      </c>
      <c r="C1068" s="265" t="s">
        <v>1057</v>
      </c>
      <c r="D1068" s="291" t="s">
        <v>2117</v>
      </c>
      <c r="E1068" s="267" t="s">
        <v>2139</v>
      </c>
      <c r="F1068" s="289"/>
      <c r="G1068" s="269">
        <v>2000.0</v>
      </c>
      <c r="H1068" s="270">
        <v>0.0</v>
      </c>
      <c r="I1068" s="269">
        <v>2000.0</v>
      </c>
      <c r="J1068" s="271">
        <v>2000.0</v>
      </c>
      <c r="K1068" s="272">
        <f t="shared" si="2"/>
        <v>0</v>
      </c>
      <c r="L1068" s="290"/>
      <c r="M1068" s="290"/>
      <c r="N1068" s="290"/>
    </row>
    <row r="1069" ht="26.25" customHeight="1">
      <c r="A1069" s="273"/>
      <c r="B1069" s="264">
        <v>45908.0</v>
      </c>
      <c r="C1069" s="275" t="s">
        <v>1057</v>
      </c>
      <c r="D1069" s="291" t="s">
        <v>2117</v>
      </c>
      <c r="E1069" s="267" t="s">
        <v>2140</v>
      </c>
      <c r="F1069" s="268"/>
      <c r="G1069" s="269">
        <v>2000.0</v>
      </c>
      <c r="H1069" s="270">
        <v>0.0</v>
      </c>
      <c r="I1069" s="269">
        <v>2000.0</v>
      </c>
      <c r="J1069" s="271">
        <v>2000.0</v>
      </c>
      <c r="K1069" s="272">
        <f t="shared" si="2"/>
        <v>0</v>
      </c>
      <c r="L1069" s="273"/>
      <c r="M1069" s="273"/>
      <c r="N1069" s="273"/>
    </row>
    <row r="1070" ht="26.25" customHeight="1">
      <c r="A1070" s="273"/>
      <c r="B1070" s="264">
        <v>45909.0</v>
      </c>
      <c r="C1070" s="275" t="s">
        <v>1057</v>
      </c>
      <c r="D1070" s="291" t="s">
        <v>2117</v>
      </c>
      <c r="E1070" s="267" t="s">
        <v>2141</v>
      </c>
      <c r="F1070" s="268"/>
      <c r="G1070" s="269">
        <v>309000.0</v>
      </c>
      <c r="H1070" s="270">
        <v>0.0</v>
      </c>
      <c r="I1070" s="269">
        <v>309000.0</v>
      </c>
      <c r="J1070" s="271">
        <v>309000.0</v>
      </c>
      <c r="K1070" s="272">
        <f t="shared" si="2"/>
        <v>0</v>
      </c>
      <c r="L1070" s="273"/>
      <c r="M1070" s="273"/>
      <c r="N1070" s="273"/>
    </row>
    <row r="1071" ht="26.25" customHeight="1">
      <c r="A1071" s="273"/>
      <c r="B1071" s="264">
        <v>45909.0</v>
      </c>
      <c r="C1071" s="275" t="s">
        <v>1057</v>
      </c>
      <c r="D1071" s="291" t="s">
        <v>2117</v>
      </c>
      <c r="E1071" s="267" t="s">
        <v>2142</v>
      </c>
      <c r="F1071" s="268"/>
      <c r="G1071" s="269">
        <v>252000.0</v>
      </c>
      <c r="H1071" s="270">
        <v>0.0</v>
      </c>
      <c r="I1071" s="269">
        <v>252000.0</v>
      </c>
      <c r="J1071" s="271">
        <v>252000.0</v>
      </c>
      <c r="K1071" s="272">
        <f t="shared" si="2"/>
        <v>0</v>
      </c>
      <c r="L1071" s="273"/>
      <c r="M1071" s="273"/>
      <c r="N1071" s="273"/>
    </row>
    <row r="1072" ht="26.25" customHeight="1">
      <c r="A1072" s="281" t="s">
        <v>2119</v>
      </c>
      <c r="B1072" s="264">
        <v>45909.0</v>
      </c>
      <c r="C1072" s="275" t="s">
        <v>1057</v>
      </c>
      <c r="D1072" s="266" t="s">
        <v>980</v>
      </c>
      <c r="E1072" s="267" t="s">
        <v>2143</v>
      </c>
      <c r="F1072" s="268"/>
      <c r="G1072" s="269">
        <v>90000.0</v>
      </c>
      <c r="H1072" s="270">
        <v>0.0</v>
      </c>
      <c r="I1072" s="269">
        <v>90000.0</v>
      </c>
      <c r="J1072" s="271">
        <v>90000.0</v>
      </c>
      <c r="K1072" s="272">
        <f t="shared" si="2"/>
        <v>0</v>
      </c>
      <c r="L1072" s="273"/>
      <c r="M1072" s="273"/>
      <c r="N1072" s="273"/>
    </row>
    <row r="1073" ht="26.25" customHeight="1">
      <c r="A1073" s="273"/>
      <c r="B1073" s="264">
        <v>45909.0</v>
      </c>
      <c r="C1073" s="275" t="s">
        <v>1057</v>
      </c>
      <c r="D1073" s="291" t="s">
        <v>2117</v>
      </c>
      <c r="E1073" s="267" t="s">
        <v>1631</v>
      </c>
      <c r="F1073" s="268"/>
      <c r="G1073" s="269">
        <v>41000.0</v>
      </c>
      <c r="H1073" s="270">
        <v>0.0</v>
      </c>
      <c r="I1073" s="269">
        <v>41000.0</v>
      </c>
      <c r="J1073" s="271">
        <v>41000.0</v>
      </c>
      <c r="K1073" s="272">
        <f t="shared" si="2"/>
        <v>0</v>
      </c>
      <c r="L1073" s="273"/>
      <c r="M1073" s="273"/>
      <c r="N1073" s="273"/>
    </row>
    <row r="1074" ht="26.25" customHeight="1">
      <c r="A1074" s="290"/>
      <c r="B1074" s="264">
        <v>45909.0</v>
      </c>
      <c r="C1074" s="265" t="s">
        <v>1057</v>
      </c>
      <c r="D1074" s="266" t="s">
        <v>1029</v>
      </c>
      <c r="E1074" s="267" t="s">
        <v>2144</v>
      </c>
      <c r="F1074" s="289"/>
      <c r="G1074" s="269">
        <v>26000.0</v>
      </c>
      <c r="H1074" s="270">
        <v>0.0</v>
      </c>
      <c r="I1074" s="269">
        <v>26000.0</v>
      </c>
      <c r="J1074" s="271">
        <v>26000.0</v>
      </c>
      <c r="K1074" s="272">
        <f t="shared" si="2"/>
        <v>0</v>
      </c>
      <c r="L1074" s="290"/>
      <c r="M1074" s="290"/>
      <c r="N1074" s="290"/>
    </row>
    <row r="1075" ht="26.25" customHeight="1">
      <c r="A1075" s="290"/>
      <c r="B1075" s="264">
        <v>45909.0</v>
      </c>
      <c r="C1075" s="265" t="s">
        <v>1057</v>
      </c>
      <c r="D1075" s="291" t="s">
        <v>2117</v>
      </c>
      <c r="E1075" s="267" t="s">
        <v>2145</v>
      </c>
      <c r="F1075" s="289"/>
      <c r="G1075" s="269">
        <v>16000.0</v>
      </c>
      <c r="H1075" s="270">
        <v>0.0</v>
      </c>
      <c r="I1075" s="269">
        <v>16000.0</v>
      </c>
      <c r="J1075" s="271">
        <v>16000.0</v>
      </c>
      <c r="K1075" s="272">
        <f t="shared" si="2"/>
        <v>0</v>
      </c>
      <c r="L1075" s="290"/>
      <c r="M1075" s="290"/>
      <c r="N1075" s="290"/>
    </row>
    <row r="1076" ht="26.25" customHeight="1">
      <c r="A1076" s="290"/>
      <c r="B1076" s="264">
        <v>45909.0</v>
      </c>
      <c r="C1076" s="265" t="s">
        <v>1057</v>
      </c>
      <c r="D1076" s="291" t="s">
        <v>2117</v>
      </c>
      <c r="E1076" s="267" t="s">
        <v>993</v>
      </c>
      <c r="F1076" s="289"/>
      <c r="G1076" s="269">
        <v>10000.0</v>
      </c>
      <c r="H1076" s="270">
        <v>0.0</v>
      </c>
      <c r="I1076" s="269">
        <v>10000.0</v>
      </c>
      <c r="J1076" s="271">
        <v>10000.0</v>
      </c>
      <c r="K1076" s="272">
        <f t="shared" si="2"/>
        <v>0</v>
      </c>
      <c r="L1076" s="290"/>
      <c r="M1076" s="290"/>
      <c r="N1076" s="290"/>
    </row>
    <row r="1077" ht="26.25" customHeight="1">
      <c r="A1077" s="290"/>
      <c r="B1077" s="264">
        <v>45910.0</v>
      </c>
      <c r="C1077" s="265" t="s">
        <v>960</v>
      </c>
      <c r="D1077" s="266" t="s">
        <v>824</v>
      </c>
      <c r="E1077" s="267" t="s">
        <v>2146</v>
      </c>
      <c r="F1077" s="289"/>
      <c r="G1077" s="269">
        <v>550000.0</v>
      </c>
      <c r="H1077" s="270">
        <v>0.0</v>
      </c>
      <c r="I1077" s="269">
        <v>550000.0</v>
      </c>
      <c r="J1077" s="271">
        <v>550000.0</v>
      </c>
      <c r="K1077" s="272">
        <f t="shared" si="2"/>
        <v>0</v>
      </c>
      <c r="L1077" s="290"/>
      <c r="M1077" s="290"/>
      <c r="N1077" s="290"/>
    </row>
    <row r="1078" ht="26.25" customHeight="1">
      <c r="A1078" s="288" t="s">
        <v>2147</v>
      </c>
      <c r="B1078" s="264">
        <v>45910.0</v>
      </c>
      <c r="C1078" s="265" t="s">
        <v>965</v>
      </c>
      <c r="D1078" s="266" t="s">
        <v>1029</v>
      </c>
      <c r="E1078" s="267" t="s">
        <v>980</v>
      </c>
      <c r="F1078" s="289"/>
      <c r="G1078" s="269">
        <v>521000.0</v>
      </c>
      <c r="H1078" s="270">
        <v>0.0</v>
      </c>
      <c r="I1078" s="269">
        <v>521000.0</v>
      </c>
      <c r="J1078" s="271">
        <v>521000.0</v>
      </c>
      <c r="K1078" s="272">
        <f t="shared" si="2"/>
        <v>0</v>
      </c>
      <c r="L1078" s="290"/>
      <c r="M1078" s="290"/>
      <c r="N1078" s="290"/>
    </row>
    <row r="1079" ht="26.25" customHeight="1">
      <c r="A1079" s="273"/>
      <c r="B1079" s="264">
        <v>45910.0</v>
      </c>
      <c r="C1079" s="275" t="s">
        <v>1057</v>
      </c>
      <c r="D1079" s="266" t="s">
        <v>824</v>
      </c>
      <c r="E1079" s="267" t="s">
        <v>1453</v>
      </c>
      <c r="F1079" s="268"/>
      <c r="G1079" s="269">
        <v>500000.0</v>
      </c>
      <c r="H1079" s="270">
        <v>0.0</v>
      </c>
      <c r="I1079" s="269">
        <v>500000.0</v>
      </c>
      <c r="J1079" s="271">
        <v>500000.0</v>
      </c>
      <c r="K1079" s="272">
        <f t="shared" si="2"/>
        <v>0</v>
      </c>
      <c r="L1079" s="273"/>
      <c r="M1079" s="273"/>
      <c r="N1079" s="273"/>
    </row>
    <row r="1080" ht="26.25" customHeight="1">
      <c r="A1080" s="281" t="s">
        <v>2148</v>
      </c>
      <c r="B1080" s="264">
        <v>45910.0</v>
      </c>
      <c r="C1080" s="275" t="s">
        <v>965</v>
      </c>
      <c r="D1080" s="266" t="s">
        <v>980</v>
      </c>
      <c r="E1080" s="267" t="s">
        <v>980</v>
      </c>
      <c r="F1080" s="268"/>
      <c r="G1080" s="269">
        <v>333000.0</v>
      </c>
      <c r="H1080" s="270">
        <v>0.0</v>
      </c>
      <c r="I1080" s="269">
        <v>333000.0</v>
      </c>
      <c r="J1080" s="271">
        <v>333000.0</v>
      </c>
      <c r="K1080" s="272">
        <f t="shared" si="2"/>
        <v>0</v>
      </c>
      <c r="L1080" s="273"/>
      <c r="M1080" s="273"/>
      <c r="N1080" s="273"/>
    </row>
    <row r="1081" ht="26.25" customHeight="1">
      <c r="A1081" s="273"/>
      <c r="B1081" s="264">
        <v>45910.0</v>
      </c>
      <c r="C1081" s="275" t="s">
        <v>1035</v>
      </c>
      <c r="D1081" s="266" t="s">
        <v>824</v>
      </c>
      <c r="E1081" s="267" t="s">
        <v>2149</v>
      </c>
      <c r="F1081" s="268"/>
      <c r="G1081" s="269">
        <v>206000.0</v>
      </c>
      <c r="H1081" s="270">
        <v>0.0</v>
      </c>
      <c r="I1081" s="269">
        <v>206000.0</v>
      </c>
      <c r="J1081" s="271">
        <v>206000.0</v>
      </c>
      <c r="K1081" s="272">
        <f t="shared" si="2"/>
        <v>0</v>
      </c>
      <c r="L1081" s="273"/>
      <c r="M1081" s="273"/>
      <c r="N1081" s="273"/>
    </row>
    <row r="1082" ht="26.25" customHeight="1">
      <c r="A1082" s="273"/>
      <c r="B1082" s="264">
        <v>45910.0</v>
      </c>
      <c r="C1082" s="275" t="s">
        <v>965</v>
      </c>
      <c r="D1082" s="266" t="s">
        <v>224</v>
      </c>
      <c r="E1082" s="267" t="s">
        <v>2150</v>
      </c>
      <c r="F1082" s="268"/>
      <c r="G1082" s="269">
        <v>200000.0</v>
      </c>
      <c r="H1082" s="270">
        <v>0.0</v>
      </c>
      <c r="I1082" s="269">
        <v>200000.0</v>
      </c>
      <c r="J1082" s="271">
        <v>200000.0</v>
      </c>
      <c r="K1082" s="272">
        <f t="shared" si="2"/>
        <v>0</v>
      </c>
      <c r="L1082" s="273"/>
      <c r="M1082" s="273"/>
      <c r="N1082" s="273"/>
    </row>
    <row r="1083" ht="26.25" customHeight="1">
      <c r="A1083" s="281" t="s">
        <v>2151</v>
      </c>
      <c r="B1083" s="264">
        <v>45910.0</v>
      </c>
      <c r="C1083" s="275" t="s">
        <v>965</v>
      </c>
      <c r="D1083" s="266" t="s">
        <v>224</v>
      </c>
      <c r="E1083" s="267" t="s">
        <v>2152</v>
      </c>
      <c r="F1083" s="268"/>
      <c r="G1083" s="269">
        <v>165000.0</v>
      </c>
      <c r="H1083" s="270">
        <v>0.0</v>
      </c>
      <c r="I1083" s="269">
        <v>165000.0</v>
      </c>
      <c r="J1083" s="271">
        <v>165000.0</v>
      </c>
      <c r="K1083" s="272">
        <f t="shared" si="2"/>
        <v>0</v>
      </c>
      <c r="L1083" s="273"/>
      <c r="M1083" s="273"/>
      <c r="N1083" s="273"/>
    </row>
    <row r="1084" ht="26.25" customHeight="1">
      <c r="A1084" s="281" t="s">
        <v>2110</v>
      </c>
      <c r="B1084" s="264">
        <v>45910.0</v>
      </c>
      <c r="C1084" s="275" t="s">
        <v>965</v>
      </c>
      <c r="D1084" s="266" t="s">
        <v>1029</v>
      </c>
      <c r="E1084" s="267" t="s">
        <v>980</v>
      </c>
      <c r="F1084" s="268"/>
      <c r="G1084" s="269">
        <v>70000.0</v>
      </c>
      <c r="H1084" s="270">
        <v>0.0</v>
      </c>
      <c r="I1084" s="269">
        <v>70000.0</v>
      </c>
      <c r="J1084" s="271">
        <v>70000.0</v>
      </c>
      <c r="K1084" s="272">
        <f t="shared" si="2"/>
        <v>0</v>
      </c>
      <c r="L1084" s="273"/>
      <c r="M1084" s="273"/>
      <c r="N1084" s="273"/>
    </row>
    <row r="1085" ht="26.25" customHeight="1">
      <c r="A1085" s="274"/>
      <c r="B1085" s="264">
        <v>45910.0</v>
      </c>
      <c r="C1085" s="265" t="s">
        <v>965</v>
      </c>
      <c r="D1085" s="266" t="s">
        <v>980</v>
      </c>
      <c r="E1085" s="267" t="s">
        <v>2153</v>
      </c>
      <c r="F1085" s="289"/>
      <c r="G1085" s="269">
        <v>70000.0</v>
      </c>
      <c r="H1085" s="270">
        <v>0.0</v>
      </c>
      <c r="I1085" s="269">
        <v>70000.0</v>
      </c>
      <c r="J1085" s="271">
        <v>70000.0</v>
      </c>
      <c r="K1085" s="272">
        <f t="shared" si="2"/>
        <v>0</v>
      </c>
      <c r="L1085" s="290"/>
      <c r="M1085" s="290"/>
      <c r="N1085" s="290"/>
    </row>
    <row r="1086" ht="26.25" customHeight="1">
      <c r="A1086" s="277" t="s">
        <v>2154</v>
      </c>
      <c r="B1086" s="264">
        <v>45910.0</v>
      </c>
      <c r="C1086" s="265" t="s">
        <v>1035</v>
      </c>
      <c r="D1086" s="266" t="s">
        <v>824</v>
      </c>
      <c r="E1086" s="267" t="s">
        <v>2155</v>
      </c>
      <c r="F1086" s="268"/>
      <c r="G1086" s="269">
        <v>49000.0</v>
      </c>
      <c r="H1086" s="270">
        <v>0.0</v>
      </c>
      <c r="I1086" s="269">
        <v>49000.0</v>
      </c>
      <c r="J1086" s="271">
        <v>49000.0</v>
      </c>
      <c r="K1086" s="272">
        <f t="shared" si="2"/>
        <v>0</v>
      </c>
      <c r="L1086" s="273"/>
      <c r="M1086" s="273"/>
      <c r="N1086" s="273"/>
    </row>
    <row r="1087" ht="26.25" customHeight="1">
      <c r="A1087" s="277" t="s">
        <v>2156</v>
      </c>
      <c r="B1087" s="264">
        <v>45910.0</v>
      </c>
      <c r="C1087" s="265" t="s">
        <v>972</v>
      </c>
      <c r="D1087" s="266" t="s">
        <v>31</v>
      </c>
      <c r="E1087" s="267" t="s">
        <v>1266</v>
      </c>
      <c r="F1087" s="268"/>
      <c r="G1087" s="269">
        <v>24000.0</v>
      </c>
      <c r="H1087" s="270">
        <v>0.0</v>
      </c>
      <c r="I1087" s="269">
        <v>24000.0</v>
      </c>
      <c r="J1087" s="271">
        <v>24000.0</v>
      </c>
      <c r="K1087" s="272">
        <f t="shared" si="2"/>
        <v>0</v>
      </c>
      <c r="L1087" s="273"/>
      <c r="M1087" s="273"/>
      <c r="N1087" s="273"/>
    </row>
    <row r="1088" ht="26.25" customHeight="1">
      <c r="A1088" s="274"/>
      <c r="B1088" s="264">
        <v>45911.0</v>
      </c>
      <c r="C1088" s="265" t="s">
        <v>1057</v>
      </c>
      <c r="D1088" s="266" t="s">
        <v>824</v>
      </c>
      <c r="E1088" s="267" t="s">
        <v>2157</v>
      </c>
      <c r="F1088" s="268"/>
      <c r="G1088" s="269">
        <v>1000000.0</v>
      </c>
      <c r="H1088" s="270">
        <v>0.0</v>
      </c>
      <c r="I1088" s="269">
        <v>1000000.0</v>
      </c>
      <c r="J1088" s="271">
        <v>1000000.0</v>
      </c>
      <c r="K1088" s="272">
        <f t="shared" si="2"/>
        <v>0</v>
      </c>
      <c r="L1088" s="273"/>
      <c r="M1088" s="273"/>
      <c r="N1088" s="273"/>
    </row>
    <row r="1089" ht="26.25" customHeight="1">
      <c r="A1089" s="274"/>
      <c r="B1089" s="264">
        <v>45911.0</v>
      </c>
      <c r="C1089" s="265" t="s">
        <v>960</v>
      </c>
      <c r="D1089" s="266" t="s">
        <v>1340</v>
      </c>
      <c r="E1089" s="267" t="s">
        <v>2158</v>
      </c>
      <c r="F1089" s="268"/>
      <c r="G1089" s="269">
        <v>200000.0</v>
      </c>
      <c r="H1089" s="270">
        <v>0.0</v>
      </c>
      <c r="I1089" s="269">
        <v>200000.0</v>
      </c>
      <c r="J1089" s="271">
        <v>200000.0</v>
      </c>
      <c r="K1089" s="272">
        <f t="shared" si="2"/>
        <v>0</v>
      </c>
      <c r="L1089" s="273"/>
      <c r="M1089" s="273"/>
      <c r="N1089" s="273"/>
    </row>
    <row r="1090" ht="26.25" customHeight="1">
      <c r="A1090" s="277" t="s">
        <v>2159</v>
      </c>
      <c r="B1090" s="264">
        <v>45911.0</v>
      </c>
      <c r="C1090" s="265" t="s">
        <v>965</v>
      </c>
      <c r="D1090" s="266" t="s">
        <v>1029</v>
      </c>
      <c r="E1090" s="267" t="s">
        <v>980</v>
      </c>
      <c r="F1090" s="268"/>
      <c r="G1090" s="269">
        <v>180000.0</v>
      </c>
      <c r="H1090" s="270">
        <v>0.0</v>
      </c>
      <c r="I1090" s="269">
        <v>180000.0</v>
      </c>
      <c r="J1090" s="271">
        <v>180000.0</v>
      </c>
      <c r="K1090" s="272">
        <f t="shared" si="2"/>
        <v>0</v>
      </c>
      <c r="L1090" s="273"/>
      <c r="M1090" s="273"/>
      <c r="N1090" s="273"/>
    </row>
    <row r="1091" ht="26.25" customHeight="1">
      <c r="A1091" s="288" t="s">
        <v>2160</v>
      </c>
      <c r="B1091" s="264">
        <v>45911.0</v>
      </c>
      <c r="C1091" s="265" t="s">
        <v>965</v>
      </c>
      <c r="D1091" s="266" t="s">
        <v>1029</v>
      </c>
      <c r="E1091" s="267" t="s">
        <v>980</v>
      </c>
      <c r="F1091" s="289"/>
      <c r="G1091" s="269">
        <v>163000.0</v>
      </c>
      <c r="H1091" s="270">
        <v>0.0</v>
      </c>
      <c r="I1091" s="269">
        <v>163000.0</v>
      </c>
      <c r="J1091" s="271">
        <v>163000.0</v>
      </c>
      <c r="K1091" s="272">
        <f t="shared" si="2"/>
        <v>0</v>
      </c>
      <c r="L1091" s="290"/>
      <c r="M1091" s="290"/>
      <c r="N1091" s="290"/>
    </row>
    <row r="1092" ht="26.25" customHeight="1">
      <c r="A1092" s="274"/>
      <c r="B1092" s="264">
        <v>45911.0</v>
      </c>
      <c r="C1092" s="265" t="s">
        <v>972</v>
      </c>
      <c r="D1092" s="266" t="s">
        <v>824</v>
      </c>
      <c r="E1092" s="267" t="s">
        <v>1266</v>
      </c>
      <c r="F1092" s="289"/>
      <c r="G1092" s="269">
        <v>124000.0</v>
      </c>
      <c r="H1092" s="270">
        <v>0.0</v>
      </c>
      <c r="I1092" s="269">
        <v>124000.0</v>
      </c>
      <c r="J1092" s="271">
        <v>124000.0</v>
      </c>
      <c r="K1092" s="272">
        <f t="shared" si="2"/>
        <v>0</v>
      </c>
      <c r="L1092" s="290"/>
      <c r="M1092" s="290"/>
      <c r="N1092" s="290"/>
    </row>
    <row r="1093" ht="26.25" customHeight="1">
      <c r="A1093" s="273"/>
      <c r="B1093" s="264">
        <v>45911.0</v>
      </c>
      <c r="C1093" s="265" t="s">
        <v>1035</v>
      </c>
      <c r="D1093" s="266" t="s">
        <v>31</v>
      </c>
      <c r="E1093" s="267" t="s">
        <v>2161</v>
      </c>
      <c r="F1093" s="268"/>
      <c r="G1093" s="269">
        <v>96000.0</v>
      </c>
      <c r="H1093" s="270">
        <v>0.0</v>
      </c>
      <c r="I1093" s="269">
        <v>96000.0</v>
      </c>
      <c r="J1093" s="271">
        <v>96000.0</v>
      </c>
      <c r="K1093" s="272">
        <f t="shared" si="2"/>
        <v>0</v>
      </c>
      <c r="L1093" s="273"/>
      <c r="M1093" s="273"/>
      <c r="N1093" s="273"/>
    </row>
    <row r="1094" ht="26.25" customHeight="1">
      <c r="A1094" s="290"/>
      <c r="B1094" s="264">
        <v>45911.0</v>
      </c>
      <c r="C1094" s="265" t="s">
        <v>960</v>
      </c>
      <c r="D1094" s="266" t="s">
        <v>1340</v>
      </c>
      <c r="E1094" s="267" t="s">
        <v>1328</v>
      </c>
      <c r="F1094" s="289"/>
      <c r="G1094" s="269">
        <v>87000.0</v>
      </c>
      <c r="H1094" s="270">
        <v>0.0</v>
      </c>
      <c r="I1094" s="269">
        <v>87000.0</v>
      </c>
      <c r="J1094" s="271">
        <v>87000.0</v>
      </c>
      <c r="K1094" s="272">
        <f t="shared" si="2"/>
        <v>0</v>
      </c>
      <c r="L1094" s="290"/>
      <c r="M1094" s="290"/>
      <c r="N1094" s="290"/>
    </row>
    <row r="1095" ht="26.25" customHeight="1">
      <c r="A1095" s="274"/>
      <c r="B1095" s="264">
        <v>45911.0</v>
      </c>
      <c r="C1095" s="265" t="s">
        <v>968</v>
      </c>
      <c r="D1095" s="266" t="s">
        <v>224</v>
      </c>
      <c r="E1095" s="267" t="s">
        <v>2162</v>
      </c>
      <c r="F1095" s="289"/>
      <c r="G1095" s="269">
        <v>72000.0</v>
      </c>
      <c r="H1095" s="270">
        <v>0.0</v>
      </c>
      <c r="I1095" s="269">
        <v>72000.0</v>
      </c>
      <c r="J1095" s="271">
        <v>72000.0</v>
      </c>
      <c r="K1095" s="272">
        <f t="shared" si="2"/>
        <v>0</v>
      </c>
      <c r="L1095" s="290"/>
      <c r="M1095" s="290"/>
      <c r="N1095" s="290"/>
    </row>
    <row r="1096" ht="26.25" customHeight="1">
      <c r="A1096" s="273"/>
      <c r="B1096" s="264">
        <v>45911.0</v>
      </c>
      <c r="C1096" s="275" t="s">
        <v>960</v>
      </c>
      <c r="D1096" s="266" t="s">
        <v>824</v>
      </c>
      <c r="E1096" s="267" t="s">
        <v>2163</v>
      </c>
      <c r="F1096" s="268"/>
      <c r="G1096" s="269">
        <v>50000.0</v>
      </c>
      <c r="H1096" s="270">
        <v>0.0</v>
      </c>
      <c r="I1096" s="269">
        <v>50000.0</v>
      </c>
      <c r="J1096" s="271">
        <v>50000.0</v>
      </c>
      <c r="K1096" s="272">
        <f t="shared" si="2"/>
        <v>0</v>
      </c>
      <c r="L1096" s="273"/>
      <c r="M1096" s="273"/>
      <c r="N1096" s="273"/>
    </row>
    <row r="1097" ht="26.25" customHeight="1">
      <c r="A1097" s="273"/>
      <c r="B1097" s="264">
        <v>45911.0</v>
      </c>
      <c r="C1097" s="275" t="s">
        <v>1339</v>
      </c>
      <c r="D1097" s="266" t="s">
        <v>20</v>
      </c>
      <c r="E1097" s="267" t="s">
        <v>2164</v>
      </c>
      <c r="F1097" s="268"/>
      <c r="G1097" s="269">
        <v>50000.0</v>
      </c>
      <c r="H1097" s="270">
        <v>0.0</v>
      </c>
      <c r="I1097" s="269">
        <v>50000.0</v>
      </c>
      <c r="J1097" s="271">
        <v>50000.0</v>
      </c>
      <c r="K1097" s="272">
        <f t="shared" si="2"/>
        <v>0</v>
      </c>
      <c r="L1097" s="273"/>
      <c r="M1097" s="273"/>
      <c r="N1097" s="273"/>
    </row>
    <row r="1098" ht="26.25" customHeight="1">
      <c r="A1098" s="290"/>
      <c r="B1098" s="264">
        <v>45911.0</v>
      </c>
      <c r="C1098" s="265" t="s">
        <v>1035</v>
      </c>
      <c r="D1098" s="266" t="s">
        <v>224</v>
      </c>
      <c r="E1098" s="267" t="s">
        <v>2165</v>
      </c>
      <c r="F1098" s="289"/>
      <c r="G1098" s="269">
        <v>48000.0</v>
      </c>
      <c r="H1098" s="270">
        <v>0.0</v>
      </c>
      <c r="I1098" s="269">
        <v>48000.0</v>
      </c>
      <c r="J1098" s="271">
        <v>48000.0</v>
      </c>
      <c r="K1098" s="272">
        <f t="shared" si="2"/>
        <v>0</v>
      </c>
      <c r="L1098" s="290"/>
      <c r="M1098" s="290"/>
      <c r="N1098" s="290"/>
    </row>
    <row r="1099" ht="26.25" customHeight="1">
      <c r="A1099" s="274"/>
      <c r="B1099" s="264">
        <v>45911.0</v>
      </c>
      <c r="C1099" s="265" t="s">
        <v>968</v>
      </c>
      <c r="D1099" s="266" t="s">
        <v>224</v>
      </c>
      <c r="E1099" s="267" t="s">
        <v>993</v>
      </c>
      <c r="F1099" s="289"/>
      <c r="G1099" s="269">
        <v>46000.0</v>
      </c>
      <c r="H1099" s="270">
        <v>0.0</v>
      </c>
      <c r="I1099" s="269">
        <v>46000.0</v>
      </c>
      <c r="J1099" s="271">
        <v>46000.0</v>
      </c>
      <c r="K1099" s="272">
        <f t="shared" si="2"/>
        <v>0</v>
      </c>
      <c r="L1099" s="290"/>
      <c r="M1099" s="290"/>
      <c r="N1099" s="290"/>
    </row>
    <row r="1100" ht="26.25" customHeight="1">
      <c r="A1100" s="290"/>
      <c r="B1100" s="264">
        <v>45911.0</v>
      </c>
      <c r="C1100" s="265" t="s">
        <v>974</v>
      </c>
      <c r="D1100" s="266" t="s">
        <v>31</v>
      </c>
      <c r="E1100" s="267" t="s">
        <v>2166</v>
      </c>
      <c r="F1100" s="289"/>
      <c r="G1100" s="269">
        <v>40000.0</v>
      </c>
      <c r="H1100" s="270">
        <v>0.0</v>
      </c>
      <c r="I1100" s="269">
        <v>40000.0</v>
      </c>
      <c r="J1100" s="271">
        <v>40000.0</v>
      </c>
      <c r="K1100" s="272">
        <f t="shared" si="2"/>
        <v>0</v>
      </c>
      <c r="L1100" s="290"/>
      <c r="M1100" s="290"/>
      <c r="N1100" s="290"/>
    </row>
    <row r="1101" ht="26.25" customHeight="1">
      <c r="A1101" s="274"/>
      <c r="B1101" s="264">
        <v>45911.0</v>
      </c>
      <c r="C1101" s="265" t="s">
        <v>963</v>
      </c>
      <c r="D1101" s="266" t="s">
        <v>237</v>
      </c>
      <c r="E1101" s="267" t="s">
        <v>2167</v>
      </c>
      <c r="F1101" s="268"/>
      <c r="G1101" s="269">
        <v>40000.0</v>
      </c>
      <c r="H1101" s="270">
        <v>0.0</v>
      </c>
      <c r="I1101" s="269">
        <v>40000.0</v>
      </c>
      <c r="J1101" s="271">
        <v>40000.0</v>
      </c>
      <c r="K1101" s="272">
        <f t="shared" si="2"/>
        <v>0</v>
      </c>
      <c r="L1101" s="273"/>
      <c r="M1101" s="273"/>
      <c r="N1101" s="273"/>
    </row>
    <row r="1102" ht="26.25" customHeight="1">
      <c r="A1102" s="290"/>
      <c r="B1102" s="264">
        <v>45911.0</v>
      </c>
      <c r="C1102" s="265" t="s">
        <v>965</v>
      </c>
      <c r="D1102" s="266" t="s">
        <v>224</v>
      </c>
      <c r="E1102" s="267" t="s">
        <v>2168</v>
      </c>
      <c r="F1102" s="289"/>
      <c r="G1102" s="269">
        <v>25000.0</v>
      </c>
      <c r="H1102" s="270">
        <v>0.0</v>
      </c>
      <c r="I1102" s="269">
        <v>25000.0</v>
      </c>
      <c r="J1102" s="271">
        <v>25000.0</v>
      </c>
      <c r="K1102" s="272">
        <f t="shared" si="2"/>
        <v>0</v>
      </c>
      <c r="L1102" s="290"/>
      <c r="M1102" s="290"/>
      <c r="N1102" s="290"/>
    </row>
    <row r="1103" ht="26.25" customHeight="1">
      <c r="A1103" s="290"/>
      <c r="B1103" s="264">
        <v>45911.0</v>
      </c>
      <c r="C1103" s="265" t="s">
        <v>968</v>
      </c>
      <c r="D1103" s="266" t="s">
        <v>224</v>
      </c>
      <c r="E1103" s="267" t="s">
        <v>2095</v>
      </c>
      <c r="F1103" s="289"/>
      <c r="G1103" s="269">
        <v>20000.0</v>
      </c>
      <c r="H1103" s="270">
        <v>0.0</v>
      </c>
      <c r="I1103" s="269">
        <v>20000.0</v>
      </c>
      <c r="J1103" s="271">
        <v>20000.0</v>
      </c>
      <c r="K1103" s="272">
        <f t="shared" si="2"/>
        <v>0</v>
      </c>
      <c r="L1103" s="290"/>
      <c r="M1103" s="290"/>
      <c r="N1103" s="290"/>
    </row>
    <row r="1104" ht="26.25" customHeight="1">
      <c r="A1104" s="290"/>
      <c r="B1104" s="264">
        <v>45911.0</v>
      </c>
      <c r="C1104" s="265" t="s">
        <v>968</v>
      </c>
      <c r="D1104" s="299" t="s">
        <v>224</v>
      </c>
      <c r="E1104" s="267" t="s">
        <v>2169</v>
      </c>
      <c r="F1104" s="289"/>
      <c r="G1104" s="269">
        <v>15000.0</v>
      </c>
      <c r="H1104" s="270">
        <v>0.0</v>
      </c>
      <c r="I1104" s="269">
        <v>15000.0</v>
      </c>
      <c r="J1104" s="271">
        <v>15000.0</v>
      </c>
      <c r="K1104" s="272">
        <f t="shared" si="2"/>
        <v>0</v>
      </c>
      <c r="L1104" s="290"/>
      <c r="M1104" s="290"/>
      <c r="N1104" s="290"/>
    </row>
    <row r="1105" ht="26.25" customHeight="1">
      <c r="A1105" s="290"/>
      <c r="B1105" s="264">
        <v>45911.0</v>
      </c>
      <c r="C1105" s="265" t="s">
        <v>974</v>
      </c>
      <c r="D1105" s="266" t="s">
        <v>237</v>
      </c>
      <c r="E1105" s="267" t="s">
        <v>1563</v>
      </c>
      <c r="F1105" s="289"/>
      <c r="G1105" s="269">
        <v>10000.0</v>
      </c>
      <c r="H1105" s="270">
        <v>0.0</v>
      </c>
      <c r="I1105" s="269">
        <v>10000.0</v>
      </c>
      <c r="J1105" s="271">
        <v>10000.0</v>
      </c>
      <c r="K1105" s="272">
        <f t="shared" si="2"/>
        <v>0</v>
      </c>
      <c r="L1105" s="290"/>
      <c r="M1105" s="290"/>
      <c r="N1105" s="290"/>
    </row>
    <row r="1106" ht="26.25" customHeight="1">
      <c r="A1106" s="273"/>
      <c r="B1106" s="264">
        <v>45911.0</v>
      </c>
      <c r="C1106" s="275" t="s">
        <v>974</v>
      </c>
      <c r="D1106" s="266" t="s">
        <v>824</v>
      </c>
      <c r="E1106" s="267" t="s">
        <v>1023</v>
      </c>
      <c r="F1106" s="268"/>
      <c r="G1106" s="269">
        <v>10000.0</v>
      </c>
      <c r="H1106" s="270">
        <v>0.0</v>
      </c>
      <c r="I1106" s="269">
        <v>10000.0</v>
      </c>
      <c r="J1106" s="271">
        <v>10000.0</v>
      </c>
      <c r="K1106" s="272">
        <f t="shared" si="2"/>
        <v>0</v>
      </c>
      <c r="L1106" s="273"/>
      <c r="M1106" s="273"/>
      <c r="N1106" s="273"/>
    </row>
    <row r="1107" ht="26.25" customHeight="1">
      <c r="A1107" s="290"/>
      <c r="B1107" s="264">
        <v>45911.0</v>
      </c>
      <c r="C1107" s="265" t="s">
        <v>974</v>
      </c>
      <c r="D1107" s="266" t="s">
        <v>1740</v>
      </c>
      <c r="E1107" s="267" t="s">
        <v>1631</v>
      </c>
      <c r="F1107" s="289"/>
      <c r="G1107" s="269">
        <v>5000.0</v>
      </c>
      <c r="H1107" s="270">
        <v>0.0</v>
      </c>
      <c r="I1107" s="269">
        <v>5000.0</v>
      </c>
      <c r="J1107" s="271">
        <v>5000.0</v>
      </c>
      <c r="K1107" s="272">
        <f t="shared" si="2"/>
        <v>0</v>
      </c>
      <c r="L1107" s="290"/>
      <c r="M1107" s="290"/>
      <c r="N1107" s="290"/>
    </row>
    <row r="1108" ht="26.25" customHeight="1">
      <c r="A1108" s="274"/>
      <c r="B1108" s="264">
        <v>45912.0</v>
      </c>
      <c r="C1108" s="265" t="s">
        <v>1057</v>
      </c>
      <c r="D1108" s="282"/>
      <c r="E1108" s="267" t="s">
        <v>1111</v>
      </c>
      <c r="F1108" s="289"/>
      <c r="G1108" s="269">
        <v>100000.0</v>
      </c>
      <c r="H1108" s="270">
        <v>0.0</v>
      </c>
      <c r="I1108" s="269">
        <v>100000.0</v>
      </c>
      <c r="J1108" s="271">
        <v>100000.0</v>
      </c>
      <c r="K1108" s="272">
        <f t="shared" si="2"/>
        <v>0</v>
      </c>
      <c r="L1108" s="290"/>
      <c r="M1108" s="290"/>
      <c r="N1108" s="290"/>
    </row>
    <row r="1109" ht="26.25" customHeight="1">
      <c r="A1109" s="290"/>
      <c r="B1109" s="264">
        <v>45913.0</v>
      </c>
      <c r="C1109" s="265" t="s">
        <v>1057</v>
      </c>
      <c r="D1109" s="266" t="s">
        <v>824</v>
      </c>
      <c r="E1109" s="267" t="s">
        <v>2170</v>
      </c>
      <c r="F1109" s="289"/>
      <c r="G1109" s="269">
        <v>650000.0</v>
      </c>
      <c r="H1109" s="270">
        <v>0.0</v>
      </c>
      <c r="I1109" s="269">
        <v>650000.0</v>
      </c>
      <c r="J1109" s="271">
        <v>650000.0</v>
      </c>
      <c r="K1109" s="272">
        <f t="shared" si="2"/>
        <v>0</v>
      </c>
      <c r="L1109" s="290"/>
      <c r="M1109" s="290"/>
      <c r="N1109" s="290"/>
    </row>
    <row r="1110" ht="26.25" customHeight="1">
      <c r="A1110" s="290"/>
      <c r="B1110" s="264">
        <v>45914.0</v>
      </c>
      <c r="C1110" s="265" t="s">
        <v>1057</v>
      </c>
      <c r="D1110" s="266" t="s">
        <v>824</v>
      </c>
      <c r="E1110" s="267" t="s">
        <v>2171</v>
      </c>
      <c r="F1110" s="289"/>
      <c r="G1110" s="269">
        <v>2000000.0</v>
      </c>
      <c r="H1110" s="270">
        <v>0.0</v>
      </c>
      <c r="I1110" s="269">
        <v>2000000.0</v>
      </c>
      <c r="J1110" s="271">
        <v>2000000.0</v>
      </c>
      <c r="K1110" s="272">
        <f t="shared" si="2"/>
        <v>0</v>
      </c>
      <c r="L1110" s="290"/>
      <c r="M1110" s="290"/>
      <c r="N1110" s="290"/>
    </row>
    <row r="1111" ht="26.25" customHeight="1">
      <c r="A1111" s="273"/>
      <c r="B1111" s="264">
        <v>45914.0</v>
      </c>
      <c r="C1111" s="275" t="s">
        <v>965</v>
      </c>
      <c r="D1111" s="282"/>
      <c r="E1111" s="267" t="s">
        <v>2172</v>
      </c>
      <c r="F1111" s="268"/>
      <c r="G1111" s="269">
        <v>250000.0</v>
      </c>
      <c r="H1111" s="270">
        <v>0.0</v>
      </c>
      <c r="I1111" s="269">
        <v>250000.0</v>
      </c>
      <c r="J1111" s="271">
        <v>250000.0</v>
      </c>
      <c r="K1111" s="272">
        <f t="shared" si="2"/>
        <v>0</v>
      </c>
      <c r="L1111" s="273"/>
      <c r="M1111" s="273"/>
      <c r="N1111" s="273"/>
    </row>
    <row r="1112" ht="26.25" customHeight="1">
      <c r="A1112" s="288" t="s">
        <v>2173</v>
      </c>
      <c r="B1112" s="264">
        <v>45914.0</v>
      </c>
      <c r="C1112" s="265" t="s">
        <v>965</v>
      </c>
      <c r="D1112" s="266" t="s">
        <v>1029</v>
      </c>
      <c r="E1112" s="267" t="s">
        <v>980</v>
      </c>
      <c r="F1112" s="289"/>
      <c r="G1112" s="269">
        <v>227000.0</v>
      </c>
      <c r="H1112" s="270">
        <v>0.0</v>
      </c>
      <c r="I1112" s="269">
        <v>227000.0</v>
      </c>
      <c r="J1112" s="271">
        <v>227000.0</v>
      </c>
      <c r="K1112" s="272">
        <f t="shared" si="2"/>
        <v>0</v>
      </c>
      <c r="L1112" s="290"/>
      <c r="M1112" s="290"/>
      <c r="N1112" s="290"/>
    </row>
    <row r="1113" ht="26.25" customHeight="1">
      <c r="A1113" s="273"/>
      <c r="B1113" s="264">
        <v>45914.0</v>
      </c>
      <c r="C1113" s="275" t="s">
        <v>1057</v>
      </c>
      <c r="D1113" s="266" t="s">
        <v>824</v>
      </c>
      <c r="E1113" s="267" t="s">
        <v>2174</v>
      </c>
      <c r="F1113" s="268"/>
      <c r="G1113" s="269">
        <v>150000.0</v>
      </c>
      <c r="H1113" s="270">
        <v>0.0</v>
      </c>
      <c r="I1113" s="269">
        <v>150000.0</v>
      </c>
      <c r="J1113" s="271">
        <v>150000.0</v>
      </c>
      <c r="K1113" s="272">
        <f t="shared" si="2"/>
        <v>0</v>
      </c>
      <c r="L1113" s="273"/>
      <c r="M1113" s="273"/>
      <c r="N1113" s="273"/>
    </row>
    <row r="1114" ht="26.25" customHeight="1">
      <c r="A1114" s="273"/>
      <c r="B1114" s="264">
        <v>45914.0</v>
      </c>
      <c r="C1114" s="265" t="s">
        <v>972</v>
      </c>
      <c r="D1114" s="291" t="s">
        <v>2175</v>
      </c>
      <c r="E1114" s="267" t="s">
        <v>2176</v>
      </c>
      <c r="F1114" s="268"/>
      <c r="G1114" s="269">
        <v>121000.0</v>
      </c>
      <c r="H1114" s="270">
        <v>0.0</v>
      </c>
      <c r="I1114" s="269">
        <v>121000.0</v>
      </c>
      <c r="J1114" s="271">
        <v>121000.0</v>
      </c>
      <c r="K1114" s="272">
        <f t="shared" si="2"/>
        <v>0</v>
      </c>
      <c r="L1114" s="273"/>
      <c r="M1114" s="273"/>
      <c r="N1114" s="273"/>
    </row>
    <row r="1115" ht="26.25" customHeight="1">
      <c r="A1115" s="290"/>
      <c r="B1115" s="264">
        <v>45914.0</v>
      </c>
      <c r="C1115" s="265" t="s">
        <v>1057</v>
      </c>
      <c r="D1115" s="266" t="s">
        <v>824</v>
      </c>
      <c r="E1115" s="267" t="s">
        <v>2177</v>
      </c>
      <c r="F1115" s="289"/>
      <c r="G1115" s="269">
        <v>105000.0</v>
      </c>
      <c r="H1115" s="270">
        <v>0.0</v>
      </c>
      <c r="I1115" s="269">
        <v>105000.0</v>
      </c>
      <c r="J1115" s="271">
        <v>105000.0</v>
      </c>
      <c r="K1115" s="272">
        <f t="shared" si="2"/>
        <v>0</v>
      </c>
      <c r="L1115" s="290"/>
      <c r="M1115" s="290"/>
      <c r="N1115" s="290"/>
    </row>
    <row r="1116" ht="26.25" customHeight="1">
      <c r="A1116" s="290"/>
      <c r="B1116" s="264">
        <v>45914.0</v>
      </c>
      <c r="C1116" s="265" t="s">
        <v>1088</v>
      </c>
      <c r="D1116" s="266" t="s">
        <v>824</v>
      </c>
      <c r="E1116" s="267" t="s">
        <v>2178</v>
      </c>
      <c r="F1116" s="289"/>
      <c r="G1116" s="269">
        <v>100000.0</v>
      </c>
      <c r="H1116" s="270">
        <v>0.0</v>
      </c>
      <c r="I1116" s="269">
        <v>100000.0</v>
      </c>
      <c r="J1116" s="271">
        <v>100000.0</v>
      </c>
      <c r="K1116" s="272">
        <f t="shared" si="2"/>
        <v>0</v>
      </c>
      <c r="L1116" s="290"/>
      <c r="M1116" s="290"/>
      <c r="N1116" s="290"/>
    </row>
    <row r="1117" ht="26.25" customHeight="1">
      <c r="A1117" s="274"/>
      <c r="B1117" s="264">
        <v>45914.0</v>
      </c>
      <c r="C1117" s="265" t="s">
        <v>1057</v>
      </c>
      <c r="D1117" s="266" t="s">
        <v>824</v>
      </c>
      <c r="E1117" s="267" t="s">
        <v>2179</v>
      </c>
      <c r="F1117" s="268"/>
      <c r="G1117" s="269">
        <v>80000.0</v>
      </c>
      <c r="H1117" s="270">
        <v>0.0</v>
      </c>
      <c r="I1117" s="269">
        <v>80000.0</v>
      </c>
      <c r="J1117" s="271">
        <v>80000.0</v>
      </c>
      <c r="K1117" s="272">
        <f t="shared" si="2"/>
        <v>0</v>
      </c>
      <c r="L1117" s="273"/>
      <c r="M1117" s="273"/>
      <c r="N1117" s="273"/>
    </row>
    <row r="1118" ht="26.25" customHeight="1">
      <c r="A1118" s="274"/>
      <c r="B1118" s="264">
        <v>45914.0</v>
      </c>
      <c r="C1118" s="265" t="s">
        <v>1057</v>
      </c>
      <c r="D1118" s="266" t="s">
        <v>31</v>
      </c>
      <c r="E1118" s="267" t="s">
        <v>2180</v>
      </c>
      <c r="F1118" s="289"/>
      <c r="G1118" s="269">
        <v>61000.0</v>
      </c>
      <c r="H1118" s="270">
        <v>0.0</v>
      </c>
      <c r="I1118" s="269">
        <v>61000.0</v>
      </c>
      <c r="J1118" s="271">
        <v>61000.0</v>
      </c>
      <c r="K1118" s="272">
        <f t="shared" si="2"/>
        <v>0</v>
      </c>
      <c r="L1118" s="290"/>
      <c r="M1118" s="290"/>
      <c r="N1118" s="290"/>
    </row>
    <row r="1119" ht="26.25" customHeight="1">
      <c r="A1119" s="290"/>
      <c r="B1119" s="264">
        <v>45914.0</v>
      </c>
      <c r="C1119" s="265" t="s">
        <v>1057</v>
      </c>
      <c r="D1119" s="266" t="s">
        <v>824</v>
      </c>
      <c r="E1119" s="267" t="s">
        <v>2181</v>
      </c>
      <c r="F1119" s="289"/>
      <c r="G1119" s="269">
        <v>55000.0</v>
      </c>
      <c r="H1119" s="270">
        <v>0.0</v>
      </c>
      <c r="I1119" s="269">
        <v>55000.0</v>
      </c>
      <c r="J1119" s="271">
        <v>55000.0</v>
      </c>
      <c r="K1119" s="272">
        <f t="shared" si="2"/>
        <v>0</v>
      </c>
      <c r="L1119" s="290"/>
      <c r="M1119" s="290"/>
      <c r="N1119" s="290"/>
    </row>
    <row r="1120" ht="26.25" customHeight="1">
      <c r="A1120" s="290"/>
      <c r="B1120" s="264">
        <v>45914.0</v>
      </c>
      <c r="C1120" s="265" t="s">
        <v>1057</v>
      </c>
      <c r="D1120" s="266" t="s">
        <v>824</v>
      </c>
      <c r="E1120" s="267" t="s">
        <v>2182</v>
      </c>
      <c r="F1120" s="289"/>
      <c r="G1120" s="269">
        <v>50000.0</v>
      </c>
      <c r="H1120" s="270">
        <v>0.0</v>
      </c>
      <c r="I1120" s="269">
        <v>50000.0</v>
      </c>
      <c r="J1120" s="271">
        <v>50000.0</v>
      </c>
      <c r="K1120" s="272">
        <f t="shared" si="2"/>
        <v>0</v>
      </c>
      <c r="L1120" s="290"/>
      <c r="M1120" s="290"/>
      <c r="N1120" s="290"/>
    </row>
    <row r="1121" ht="26.25" customHeight="1">
      <c r="A1121" s="273"/>
      <c r="B1121" s="264">
        <v>45914.0</v>
      </c>
      <c r="C1121" s="275" t="s">
        <v>1057</v>
      </c>
      <c r="D1121" s="266" t="s">
        <v>824</v>
      </c>
      <c r="E1121" s="267" t="s">
        <v>1579</v>
      </c>
      <c r="F1121" s="268"/>
      <c r="G1121" s="269">
        <v>50000.0</v>
      </c>
      <c r="H1121" s="270">
        <v>0.0</v>
      </c>
      <c r="I1121" s="269">
        <v>50000.0</v>
      </c>
      <c r="J1121" s="271">
        <v>50000.0</v>
      </c>
      <c r="K1121" s="272">
        <f t="shared" si="2"/>
        <v>0</v>
      </c>
      <c r="L1121" s="273"/>
      <c r="M1121" s="273"/>
      <c r="N1121" s="273"/>
    </row>
    <row r="1122" ht="26.25" customHeight="1">
      <c r="A1122" s="273"/>
      <c r="B1122" s="264">
        <v>45914.0</v>
      </c>
      <c r="C1122" s="275" t="s">
        <v>974</v>
      </c>
      <c r="D1122" s="266" t="s">
        <v>237</v>
      </c>
      <c r="E1122" s="267" t="s">
        <v>237</v>
      </c>
      <c r="F1122" s="268"/>
      <c r="G1122" s="269">
        <v>50000.0</v>
      </c>
      <c r="H1122" s="270">
        <v>0.0</v>
      </c>
      <c r="I1122" s="269">
        <v>50000.0</v>
      </c>
      <c r="J1122" s="271">
        <v>50000.0</v>
      </c>
      <c r="K1122" s="272">
        <f t="shared" si="2"/>
        <v>0</v>
      </c>
      <c r="L1122" s="273"/>
      <c r="M1122" s="273"/>
      <c r="N1122" s="273"/>
    </row>
    <row r="1123" ht="26.25" customHeight="1">
      <c r="A1123" s="290"/>
      <c r="B1123" s="264">
        <v>45914.0</v>
      </c>
      <c r="C1123" s="265" t="s">
        <v>1057</v>
      </c>
      <c r="D1123" s="266" t="s">
        <v>1407</v>
      </c>
      <c r="E1123" s="267" t="s">
        <v>2183</v>
      </c>
      <c r="F1123" s="289"/>
      <c r="G1123" s="269">
        <v>40000.0</v>
      </c>
      <c r="H1123" s="270">
        <v>0.0</v>
      </c>
      <c r="I1123" s="269">
        <v>40000.0</v>
      </c>
      <c r="J1123" s="271">
        <v>40000.0</v>
      </c>
      <c r="K1123" s="272">
        <f t="shared" si="2"/>
        <v>0</v>
      </c>
      <c r="L1123" s="290"/>
      <c r="M1123" s="290"/>
      <c r="N1123" s="290"/>
    </row>
    <row r="1124" ht="26.25" customHeight="1">
      <c r="A1124" s="290"/>
      <c r="B1124" s="264">
        <v>45914.0</v>
      </c>
      <c r="C1124" s="265" t="s">
        <v>963</v>
      </c>
      <c r="D1124" s="266" t="s">
        <v>31</v>
      </c>
      <c r="E1124" s="267" t="s">
        <v>2184</v>
      </c>
      <c r="F1124" s="289"/>
      <c r="G1124" s="269">
        <v>35000.0</v>
      </c>
      <c r="H1124" s="270">
        <v>0.0</v>
      </c>
      <c r="I1124" s="269">
        <v>35000.0</v>
      </c>
      <c r="J1124" s="271">
        <v>35000.0</v>
      </c>
      <c r="K1124" s="272">
        <f t="shared" si="2"/>
        <v>0</v>
      </c>
      <c r="L1124" s="290"/>
      <c r="M1124" s="290"/>
      <c r="N1124" s="290"/>
    </row>
    <row r="1125" ht="26.25" customHeight="1">
      <c r="A1125" s="290"/>
      <c r="B1125" s="264">
        <v>45914.0</v>
      </c>
      <c r="C1125" s="265" t="s">
        <v>1057</v>
      </c>
      <c r="D1125" s="266" t="s">
        <v>824</v>
      </c>
      <c r="E1125" s="267" t="s">
        <v>1579</v>
      </c>
      <c r="F1125" s="289"/>
      <c r="G1125" s="269">
        <v>30000.0</v>
      </c>
      <c r="H1125" s="270">
        <v>0.0</v>
      </c>
      <c r="I1125" s="269">
        <v>30000.0</v>
      </c>
      <c r="J1125" s="271">
        <v>30000.0</v>
      </c>
      <c r="K1125" s="272">
        <f t="shared" si="2"/>
        <v>0</v>
      </c>
      <c r="L1125" s="290"/>
      <c r="M1125" s="290"/>
      <c r="N1125" s="290"/>
    </row>
    <row r="1126" ht="26.25" customHeight="1">
      <c r="A1126" s="290"/>
      <c r="B1126" s="264">
        <v>45914.0</v>
      </c>
      <c r="C1126" s="265" t="s">
        <v>1057</v>
      </c>
      <c r="D1126" s="266" t="s">
        <v>824</v>
      </c>
      <c r="E1126" s="267" t="s">
        <v>1140</v>
      </c>
      <c r="F1126" s="289"/>
      <c r="G1126" s="269">
        <v>30000.0</v>
      </c>
      <c r="H1126" s="270">
        <v>0.0</v>
      </c>
      <c r="I1126" s="269">
        <v>30000.0</v>
      </c>
      <c r="J1126" s="271">
        <v>30000.0</v>
      </c>
      <c r="K1126" s="272">
        <f t="shared" si="2"/>
        <v>0</v>
      </c>
      <c r="L1126" s="290"/>
      <c r="M1126" s="290"/>
      <c r="N1126" s="290"/>
    </row>
    <row r="1127" ht="26.25" customHeight="1">
      <c r="A1127" s="273"/>
      <c r="B1127" s="264">
        <v>45914.0</v>
      </c>
      <c r="C1127" s="275" t="s">
        <v>974</v>
      </c>
      <c r="D1127" s="266" t="s">
        <v>824</v>
      </c>
      <c r="E1127" s="267" t="s">
        <v>2185</v>
      </c>
      <c r="F1127" s="268"/>
      <c r="G1127" s="269">
        <v>30000.0</v>
      </c>
      <c r="H1127" s="270">
        <v>0.0</v>
      </c>
      <c r="I1127" s="269">
        <v>30000.0</v>
      </c>
      <c r="J1127" s="271">
        <v>30000.0</v>
      </c>
      <c r="K1127" s="272">
        <f t="shared" si="2"/>
        <v>0</v>
      </c>
      <c r="L1127" s="273"/>
      <c r="M1127" s="273"/>
      <c r="N1127" s="273"/>
    </row>
    <row r="1128" ht="26.25" customHeight="1">
      <c r="A1128" s="273"/>
      <c r="B1128" s="264">
        <v>45914.0</v>
      </c>
      <c r="C1128" s="275" t="s">
        <v>960</v>
      </c>
      <c r="D1128" s="266" t="s">
        <v>824</v>
      </c>
      <c r="E1128" s="267" t="s">
        <v>2186</v>
      </c>
      <c r="F1128" s="268"/>
      <c r="G1128" s="269">
        <v>25000.0</v>
      </c>
      <c r="H1128" s="270">
        <v>0.0</v>
      </c>
      <c r="I1128" s="269">
        <v>25000.0</v>
      </c>
      <c r="J1128" s="271">
        <v>25000.0</v>
      </c>
      <c r="K1128" s="272">
        <f t="shared" si="2"/>
        <v>0</v>
      </c>
      <c r="L1128" s="273"/>
      <c r="M1128" s="273"/>
      <c r="N1128" s="273"/>
    </row>
    <row r="1129" ht="26.25" customHeight="1">
      <c r="A1129" s="273"/>
      <c r="B1129" s="264">
        <v>45914.0</v>
      </c>
      <c r="C1129" s="275" t="s">
        <v>974</v>
      </c>
      <c r="D1129" s="266" t="s">
        <v>824</v>
      </c>
      <c r="E1129" s="267" t="s">
        <v>2187</v>
      </c>
      <c r="F1129" s="268"/>
      <c r="G1129" s="269">
        <v>20000.0</v>
      </c>
      <c r="H1129" s="270">
        <v>0.0</v>
      </c>
      <c r="I1129" s="269">
        <v>20000.0</v>
      </c>
      <c r="J1129" s="271">
        <v>20000.0</v>
      </c>
      <c r="K1129" s="272">
        <f t="shared" si="2"/>
        <v>0</v>
      </c>
      <c r="L1129" s="273"/>
      <c r="M1129" s="273"/>
      <c r="N1129" s="273"/>
    </row>
    <row r="1130" ht="26.25" customHeight="1">
      <c r="A1130" s="290"/>
      <c r="B1130" s="264">
        <v>45914.0</v>
      </c>
      <c r="C1130" s="265" t="s">
        <v>985</v>
      </c>
      <c r="D1130" s="266" t="s">
        <v>1029</v>
      </c>
      <c r="E1130" s="267" t="s">
        <v>2188</v>
      </c>
      <c r="F1130" s="289"/>
      <c r="G1130" s="269">
        <v>20000.0</v>
      </c>
      <c r="H1130" s="270">
        <v>0.0</v>
      </c>
      <c r="I1130" s="269">
        <v>20000.0</v>
      </c>
      <c r="J1130" s="271">
        <v>20000.0</v>
      </c>
      <c r="K1130" s="272">
        <f t="shared" si="2"/>
        <v>0</v>
      </c>
      <c r="L1130" s="290"/>
      <c r="M1130" s="290"/>
      <c r="N1130" s="290"/>
    </row>
    <row r="1131" ht="26.25" customHeight="1">
      <c r="A1131" s="290"/>
      <c r="B1131" s="264">
        <v>45914.0</v>
      </c>
      <c r="C1131" s="265" t="s">
        <v>974</v>
      </c>
      <c r="D1131" s="266" t="s">
        <v>31</v>
      </c>
      <c r="E1131" s="267" t="s">
        <v>2189</v>
      </c>
      <c r="F1131" s="289"/>
      <c r="G1131" s="269">
        <v>16000.0</v>
      </c>
      <c r="H1131" s="270">
        <v>0.0</v>
      </c>
      <c r="I1131" s="269">
        <v>16000.0</v>
      </c>
      <c r="J1131" s="271">
        <v>16000.0</v>
      </c>
      <c r="K1131" s="272">
        <f t="shared" si="2"/>
        <v>0</v>
      </c>
      <c r="L1131" s="290"/>
      <c r="M1131" s="290"/>
      <c r="N1131" s="290"/>
    </row>
    <row r="1132" ht="26.25" customHeight="1">
      <c r="A1132" s="290"/>
      <c r="B1132" s="264">
        <v>45914.0</v>
      </c>
      <c r="C1132" s="265" t="s">
        <v>1057</v>
      </c>
      <c r="D1132" s="266" t="s">
        <v>21</v>
      </c>
      <c r="E1132" s="267" t="s">
        <v>2190</v>
      </c>
      <c r="F1132" s="289"/>
      <c r="G1132" s="269">
        <v>15000.0</v>
      </c>
      <c r="H1132" s="270">
        <v>0.0</v>
      </c>
      <c r="I1132" s="269">
        <v>15000.0</v>
      </c>
      <c r="J1132" s="271">
        <v>15000.0</v>
      </c>
      <c r="K1132" s="272">
        <f t="shared" si="2"/>
        <v>0</v>
      </c>
      <c r="L1132" s="290"/>
      <c r="M1132" s="290"/>
      <c r="N1132" s="290"/>
    </row>
    <row r="1133" ht="26.25" customHeight="1">
      <c r="A1133" s="273"/>
      <c r="B1133" s="264">
        <v>45914.0</v>
      </c>
      <c r="C1133" s="275" t="s">
        <v>1057</v>
      </c>
      <c r="D1133" s="266" t="s">
        <v>237</v>
      </c>
      <c r="E1133" s="294" t="s">
        <v>237</v>
      </c>
      <c r="F1133" s="268"/>
      <c r="G1133" s="269">
        <v>10000.0</v>
      </c>
      <c r="H1133" s="270">
        <v>0.0</v>
      </c>
      <c r="I1133" s="269">
        <v>10000.0</v>
      </c>
      <c r="J1133" s="271">
        <v>10000.0</v>
      </c>
      <c r="K1133" s="272">
        <f t="shared" si="2"/>
        <v>0</v>
      </c>
      <c r="L1133" s="273"/>
      <c r="M1133" s="273"/>
      <c r="N1133" s="273"/>
    </row>
    <row r="1134" ht="26.25" customHeight="1">
      <c r="A1134" s="273"/>
      <c r="B1134" s="264">
        <v>45914.0</v>
      </c>
      <c r="C1134" s="275" t="s">
        <v>974</v>
      </c>
      <c r="D1134" s="266" t="s">
        <v>1340</v>
      </c>
      <c r="E1134" s="294" t="s">
        <v>2180</v>
      </c>
      <c r="F1134" s="268"/>
      <c r="G1134" s="269">
        <v>10000.0</v>
      </c>
      <c r="H1134" s="270">
        <v>0.0</v>
      </c>
      <c r="I1134" s="269">
        <v>10000.0</v>
      </c>
      <c r="J1134" s="271">
        <v>10000.0</v>
      </c>
      <c r="K1134" s="272">
        <f t="shared" si="2"/>
        <v>0</v>
      </c>
      <c r="L1134" s="273"/>
      <c r="M1134" s="273"/>
      <c r="N1134" s="273"/>
    </row>
    <row r="1135" ht="26.25" customHeight="1">
      <c r="A1135" s="273"/>
      <c r="B1135" s="264">
        <v>45914.0</v>
      </c>
      <c r="C1135" s="275" t="s">
        <v>974</v>
      </c>
      <c r="D1135" s="266" t="s">
        <v>1029</v>
      </c>
      <c r="E1135" s="267" t="s">
        <v>1633</v>
      </c>
      <c r="F1135" s="268"/>
      <c r="G1135" s="269">
        <v>10000.0</v>
      </c>
      <c r="H1135" s="270">
        <v>0.0</v>
      </c>
      <c r="I1135" s="269">
        <v>10000.0</v>
      </c>
      <c r="J1135" s="271">
        <v>10000.0</v>
      </c>
      <c r="K1135" s="272">
        <f t="shared" si="2"/>
        <v>0</v>
      </c>
      <c r="L1135" s="273"/>
      <c r="M1135" s="273"/>
      <c r="N1135" s="273"/>
    </row>
    <row r="1136" ht="26.25" customHeight="1">
      <c r="A1136" s="273"/>
      <c r="B1136" s="264">
        <v>45914.0</v>
      </c>
      <c r="C1136" s="275" t="s">
        <v>974</v>
      </c>
      <c r="D1136" s="266" t="s">
        <v>824</v>
      </c>
      <c r="E1136" s="267" t="s">
        <v>1690</v>
      </c>
      <c r="F1136" s="268"/>
      <c r="G1136" s="269">
        <v>10000.0</v>
      </c>
      <c r="H1136" s="270">
        <v>0.0</v>
      </c>
      <c r="I1136" s="269">
        <v>10000.0</v>
      </c>
      <c r="J1136" s="271">
        <v>10000.0</v>
      </c>
      <c r="K1136" s="272">
        <f t="shared" si="2"/>
        <v>0</v>
      </c>
      <c r="L1136" s="273"/>
      <c r="M1136" s="273"/>
      <c r="N1136" s="273"/>
    </row>
    <row r="1137" ht="26.25" customHeight="1">
      <c r="A1137" s="274"/>
      <c r="B1137" s="264">
        <v>45914.0</v>
      </c>
      <c r="C1137" s="265" t="s">
        <v>972</v>
      </c>
      <c r="D1137" s="282"/>
      <c r="E1137" s="267" t="s">
        <v>1389</v>
      </c>
      <c r="F1137" s="268"/>
      <c r="G1137" s="269">
        <v>10000.0</v>
      </c>
      <c r="H1137" s="270">
        <v>0.0</v>
      </c>
      <c r="I1137" s="269">
        <v>10000.0</v>
      </c>
      <c r="J1137" s="271">
        <v>10000.0</v>
      </c>
      <c r="K1137" s="272">
        <f t="shared" si="2"/>
        <v>0</v>
      </c>
      <c r="L1137" s="273"/>
      <c r="M1137" s="273"/>
      <c r="N1137" s="273"/>
    </row>
    <row r="1138" ht="26.25" customHeight="1">
      <c r="A1138" s="290"/>
      <c r="B1138" s="264">
        <v>45914.0</v>
      </c>
      <c r="C1138" s="265" t="s">
        <v>968</v>
      </c>
      <c r="D1138" s="266" t="s">
        <v>31</v>
      </c>
      <c r="E1138" s="267" t="s">
        <v>1140</v>
      </c>
      <c r="F1138" s="289"/>
      <c r="G1138" s="269">
        <v>10000.0</v>
      </c>
      <c r="H1138" s="270">
        <v>0.0</v>
      </c>
      <c r="I1138" s="269">
        <v>10000.0</v>
      </c>
      <c r="J1138" s="271">
        <v>10000.0</v>
      </c>
      <c r="K1138" s="272">
        <f t="shared" si="2"/>
        <v>0</v>
      </c>
      <c r="L1138" s="290"/>
      <c r="M1138" s="290"/>
      <c r="N1138" s="290"/>
    </row>
    <row r="1139" ht="26.25" customHeight="1">
      <c r="A1139" s="290"/>
      <c r="B1139" s="264">
        <v>45914.0</v>
      </c>
      <c r="C1139" s="265" t="s">
        <v>1856</v>
      </c>
      <c r="D1139" s="266" t="s">
        <v>824</v>
      </c>
      <c r="E1139" s="267" t="s">
        <v>1563</v>
      </c>
      <c r="F1139" s="289"/>
      <c r="G1139" s="269">
        <v>6500.0</v>
      </c>
      <c r="H1139" s="270">
        <v>0.0</v>
      </c>
      <c r="I1139" s="269">
        <v>6500.0</v>
      </c>
      <c r="J1139" s="271">
        <v>6500.0</v>
      </c>
      <c r="K1139" s="272">
        <f t="shared" si="2"/>
        <v>0</v>
      </c>
      <c r="L1139" s="290"/>
      <c r="M1139" s="290"/>
      <c r="N1139" s="290"/>
    </row>
    <row r="1140" ht="26.25" customHeight="1">
      <c r="A1140" s="290"/>
      <c r="B1140" s="264">
        <v>45916.0</v>
      </c>
      <c r="C1140" s="265" t="s">
        <v>974</v>
      </c>
      <c r="D1140" s="266" t="s">
        <v>824</v>
      </c>
      <c r="E1140" s="267" t="s">
        <v>237</v>
      </c>
      <c r="F1140" s="289"/>
      <c r="G1140" s="269">
        <v>150000.0</v>
      </c>
      <c r="H1140" s="270">
        <v>0.0</v>
      </c>
      <c r="I1140" s="269">
        <v>150000.0</v>
      </c>
      <c r="J1140" s="271">
        <v>150000.0</v>
      </c>
      <c r="K1140" s="272">
        <f t="shared" si="2"/>
        <v>0</v>
      </c>
      <c r="L1140" s="290"/>
      <c r="M1140" s="290"/>
      <c r="N1140" s="290"/>
    </row>
    <row r="1141" ht="26.25" customHeight="1">
      <c r="A1141" s="281" t="s">
        <v>2191</v>
      </c>
      <c r="B1141" s="264">
        <v>45916.0</v>
      </c>
      <c r="C1141" s="275" t="s">
        <v>974</v>
      </c>
      <c r="D1141" s="266" t="s">
        <v>1029</v>
      </c>
      <c r="E1141" s="267" t="s">
        <v>980</v>
      </c>
      <c r="F1141" s="268"/>
      <c r="G1141" s="269">
        <v>79000.0</v>
      </c>
      <c r="H1141" s="270">
        <v>0.0</v>
      </c>
      <c r="I1141" s="269">
        <v>79000.0</v>
      </c>
      <c r="J1141" s="271">
        <v>79000.0</v>
      </c>
      <c r="K1141" s="272">
        <f t="shared" si="2"/>
        <v>0</v>
      </c>
      <c r="L1141" s="273"/>
      <c r="M1141" s="273"/>
      <c r="N1141" s="273"/>
    </row>
    <row r="1142" ht="26.25" customHeight="1">
      <c r="A1142" s="290"/>
      <c r="B1142" s="264">
        <v>45916.0</v>
      </c>
      <c r="C1142" s="265" t="s">
        <v>1057</v>
      </c>
      <c r="D1142" s="266" t="s">
        <v>824</v>
      </c>
      <c r="E1142" s="267" t="s">
        <v>2192</v>
      </c>
      <c r="F1142" s="289"/>
      <c r="G1142" s="269">
        <v>75000.0</v>
      </c>
      <c r="H1142" s="270">
        <v>0.0</v>
      </c>
      <c r="I1142" s="269">
        <v>75000.0</v>
      </c>
      <c r="J1142" s="306">
        <v>75000.0</v>
      </c>
      <c r="K1142" s="272">
        <f t="shared" si="2"/>
        <v>0</v>
      </c>
      <c r="L1142" s="290"/>
      <c r="M1142" s="290"/>
      <c r="N1142" s="290"/>
    </row>
    <row r="1143" ht="26.25" customHeight="1">
      <c r="A1143" s="277" t="s">
        <v>2193</v>
      </c>
      <c r="B1143" s="264">
        <v>45916.0</v>
      </c>
      <c r="C1143" s="265" t="s">
        <v>965</v>
      </c>
      <c r="D1143" s="266" t="s">
        <v>1029</v>
      </c>
      <c r="E1143" s="267" t="s">
        <v>980</v>
      </c>
      <c r="F1143" s="289"/>
      <c r="G1143" s="269">
        <v>55000.0</v>
      </c>
      <c r="H1143" s="270">
        <v>0.0</v>
      </c>
      <c r="I1143" s="269">
        <v>55000.0</v>
      </c>
      <c r="J1143" s="271">
        <v>55000.0</v>
      </c>
      <c r="K1143" s="272">
        <f t="shared" si="2"/>
        <v>0</v>
      </c>
      <c r="L1143" s="290"/>
      <c r="M1143" s="290"/>
      <c r="N1143" s="290"/>
    </row>
    <row r="1144" ht="26.25" customHeight="1">
      <c r="A1144" s="274"/>
      <c r="B1144" s="264">
        <v>45916.0</v>
      </c>
      <c r="C1144" s="265" t="s">
        <v>965</v>
      </c>
      <c r="D1144" s="266" t="s">
        <v>824</v>
      </c>
      <c r="E1144" s="267" t="s">
        <v>2194</v>
      </c>
      <c r="F1144" s="289"/>
      <c r="G1144" s="269">
        <v>38000.0</v>
      </c>
      <c r="H1144" s="270">
        <v>0.0</v>
      </c>
      <c r="I1144" s="269">
        <v>38000.0</v>
      </c>
      <c r="J1144" s="271">
        <v>38000.0</v>
      </c>
      <c r="K1144" s="272">
        <f t="shared" si="2"/>
        <v>0</v>
      </c>
      <c r="L1144" s="290"/>
      <c r="M1144" s="290"/>
      <c r="N1144" s="290"/>
    </row>
    <row r="1145" ht="26.25" customHeight="1">
      <c r="A1145" s="290"/>
      <c r="B1145" s="264">
        <v>45917.0</v>
      </c>
      <c r="C1145" s="265" t="s">
        <v>1057</v>
      </c>
      <c r="D1145" s="266" t="s">
        <v>824</v>
      </c>
      <c r="E1145" s="267" t="s">
        <v>1111</v>
      </c>
      <c r="F1145" s="289"/>
      <c r="G1145" s="269">
        <v>75000.0</v>
      </c>
      <c r="H1145" s="270">
        <v>0.0</v>
      </c>
      <c r="I1145" s="269">
        <v>75000.0</v>
      </c>
      <c r="J1145" s="271">
        <v>75000.0</v>
      </c>
      <c r="K1145" s="272">
        <f t="shared" si="2"/>
        <v>0</v>
      </c>
      <c r="L1145" s="290"/>
      <c r="M1145" s="290"/>
      <c r="N1145" s="290"/>
    </row>
    <row r="1146" ht="26.25" customHeight="1">
      <c r="A1146" s="290"/>
      <c r="B1146" s="264">
        <v>45917.0</v>
      </c>
      <c r="C1146" s="265" t="s">
        <v>1057</v>
      </c>
      <c r="D1146" s="266" t="s">
        <v>824</v>
      </c>
      <c r="E1146" s="267" t="s">
        <v>2195</v>
      </c>
      <c r="F1146" s="289"/>
      <c r="G1146" s="269">
        <v>67000.0</v>
      </c>
      <c r="H1146" s="270">
        <v>0.0</v>
      </c>
      <c r="I1146" s="269">
        <v>67000.0</v>
      </c>
      <c r="J1146" s="271">
        <v>67000.0</v>
      </c>
      <c r="K1146" s="272">
        <f t="shared" si="2"/>
        <v>0</v>
      </c>
      <c r="L1146" s="290"/>
      <c r="M1146" s="290"/>
      <c r="N1146" s="290"/>
    </row>
    <row r="1147" ht="26.25" customHeight="1">
      <c r="A1147" s="273"/>
      <c r="B1147" s="264">
        <v>45917.0</v>
      </c>
      <c r="C1147" s="275" t="s">
        <v>960</v>
      </c>
      <c r="D1147" s="266" t="s">
        <v>824</v>
      </c>
      <c r="E1147" s="267" t="s">
        <v>2196</v>
      </c>
      <c r="F1147" s="268"/>
      <c r="G1147" s="269">
        <v>54000.0</v>
      </c>
      <c r="H1147" s="270">
        <v>0.0</v>
      </c>
      <c r="I1147" s="269">
        <v>54000.0</v>
      </c>
      <c r="J1147" s="271">
        <v>54000.0</v>
      </c>
      <c r="K1147" s="272">
        <f t="shared" si="2"/>
        <v>0</v>
      </c>
      <c r="L1147" s="273"/>
      <c r="M1147" s="273"/>
      <c r="N1147" s="273"/>
    </row>
    <row r="1148" ht="26.25" customHeight="1">
      <c r="A1148" s="290"/>
      <c r="B1148" s="264">
        <v>45917.0</v>
      </c>
      <c r="C1148" s="265" t="s">
        <v>1057</v>
      </c>
      <c r="D1148" s="266" t="s">
        <v>824</v>
      </c>
      <c r="E1148" s="267" t="s">
        <v>2197</v>
      </c>
      <c r="F1148" s="289"/>
      <c r="G1148" s="269">
        <v>22000.0</v>
      </c>
      <c r="H1148" s="270">
        <v>0.0</v>
      </c>
      <c r="I1148" s="269">
        <v>22000.0</v>
      </c>
      <c r="J1148" s="271">
        <v>22000.0</v>
      </c>
      <c r="K1148" s="272">
        <f t="shared" si="2"/>
        <v>0</v>
      </c>
      <c r="L1148" s="290"/>
      <c r="M1148" s="290"/>
      <c r="N1148" s="290"/>
    </row>
    <row r="1149" ht="26.25" customHeight="1">
      <c r="A1149" s="281" t="s">
        <v>2198</v>
      </c>
      <c r="B1149" s="264">
        <v>45918.0</v>
      </c>
      <c r="C1149" s="275" t="s">
        <v>965</v>
      </c>
      <c r="D1149" s="266" t="s">
        <v>824</v>
      </c>
      <c r="E1149" s="267" t="s">
        <v>980</v>
      </c>
      <c r="F1149" s="268"/>
      <c r="G1149" s="269">
        <v>170000.0</v>
      </c>
      <c r="H1149" s="270">
        <v>0.0</v>
      </c>
      <c r="I1149" s="269">
        <v>170000.0</v>
      </c>
      <c r="J1149" s="271">
        <v>170000.0</v>
      </c>
      <c r="K1149" s="272">
        <f t="shared" si="2"/>
        <v>0</v>
      </c>
      <c r="L1149" s="273"/>
      <c r="M1149" s="273"/>
      <c r="N1149" s="273"/>
    </row>
    <row r="1150" ht="26.25" customHeight="1">
      <c r="A1150" s="290"/>
      <c r="B1150" s="264">
        <v>45918.0</v>
      </c>
      <c r="C1150" s="265" t="s">
        <v>974</v>
      </c>
      <c r="D1150" s="266" t="s">
        <v>21</v>
      </c>
      <c r="E1150" s="267" t="s">
        <v>2199</v>
      </c>
      <c r="F1150" s="289"/>
      <c r="G1150" s="269">
        <v>150000.0</v>
      </c>
      <c r="H1150" s="270">
        <v>0.0</v>
      </c>
      <c r="I1150" s="269">
        <v>150000.0</v>
      </c>
      <c r="J1150" s="271">
        <v>150000.0</v>
      </c>
      <c r="K1150" s="272">
        <f t="shared" si="2"/>
        <v>0</v>
      </c>
      <c r="L1150" s="290"/>
      <c r="M1150" s="290"/>
      <c r="N1150" s="290"/>
    </row>
    <row r="1151" ht="26.25" customHeight="1">
      <c r="A1151" s="273"/>
      <c r="B1151" s="264">
        <v>45918.0</v>
      </c>
      <c r="C1151" s="275" t="s">
        <v>1057</v>
      </c>
      <c r="D1151" s="266" t="s">
        <v>1740</v>
      </c>
      <c r="E1151" s="267" t="s">
        <v>2200</v>
      </c>
      <c r="F1151" s="268"/>
      <c r="G1151" s="269">
        <v>60000.0</v>
      </c>
      <c r="H1151" s="270">
        <v>0.0</v>
      </c>
      <c r="I1151" s="269">
        <v>60000.0</v>
      </c>
      <c r="J1151" s="271">
        <v>60000.0</v>
      </c>
      <c r="K1151" s="272">
        <f t="shared" si="2"/>
        <v>0</v>
      </c>
      <c r="L1151" s="273"/>
      <c r="M1151" s="273"/>
      <c r="N1151" s="273"/>
    </row>
    <row r="1152" ht="26.25" customHeight="1">
      <c r="A1152" s="273"/>
      <c r="B1152" s="264">
        <v>45918.0</v>
      </c>
      <c r="C1152" s="275" t="s">
        <v>1057</v>
      </c>
      <c r="D1152" s="266" t="s">
        <v>824</v>
      </c>
      <c r="E1152" s="267" t="s">
        <v>1599</v>
      </c>
      <c r="F1152" s="268"/>
      <c r="G1152" s="269">
        <v>43000.0</v>
      </c>
      <c r="H1152" s="270">
        <v>0.0</v>
      </c>
      <c r="I1152" s="269">
        <v>43000.0</v>
      </c>
      <c r="J1152" s="271">
        <v>43000.0</v>
      </c>
      <c r="K1152" s="272">
        <f t="shared" si="2"/>
        <v>0</v>
      </c>
      <c r="L1152" s="273"/>
      <c r="M1152" s="273"/>
      <c r="N1152" s="273"/>
    </row>
    <row r="1153" ht="26.25" customHeight="1">
      <c r="A1153" s="273"/>
      <c r="B1153" s="264">
        <v>45918.0</v>
      </c>
      <c r="C1153" s="275" t="s">
        <v>968</v>
      </c>
      <c r="D1153" s="266" t="s">
        <v>21</v>
      </c>
      <c r="E1153" s="267" t="s">
        <v>2201</v>
      </c>
      <c r="F1153" s="268"/>
      <c r="G1153" s="269">
        <v>40000.0</v>
      </c>
      <c r="H1153" s="270">
        <v>0.0</v>
      </c>
      <c r="I1153" s="269">
        <v>40000.0</v>
      </c>
      <c r="J1153" s="271">
        <v>40000.0</v>
      </c>
      <c r="K1153" s="272">
        <f t="shared" si="2"/>
        <v>0</v>
      </c>
      <c r="L1153" s="273"/>
      <c r="M1153" s="273"/>
      <c r="N1153" s="273"/>
    </row>
    <row r="1154" ht="26.25" customHeight="1">
      <c r="A1154" s="290"/>
      <c r="B1154" s="264">
        <v>45918.0</v>
      </c>
      <c r="C1154" s="265" t="s">
        <v>974</v>
      </c>
      <c r="D1154" s="266" t="s">
        <v>1740</v>
      </c>
      <c r="E1154" s="267" t="s">
        <v>1740</v>
      </c>
      <c r="F1154" s="289"/>
      <c r="G1154" s="269">
        <v>35000.0</v>
      </c>
      <c r="H1154" s="270">
        <v>0.0</v>
      </c>
      <c r="I1154" s="269">
        <v>35000.0</v>
      </c>
      <c r="J1154" s="271">
        <v>35000.0</v>
      </c>
      <c r="K1154" s="272">
        <f t="shared" si="2"/>
        <v>0</v>
      </c>
      <c r="L1154" s="290"/>
      <c r="M1154" s="290"/>
      <c r="N1154" s="290"/>
    </row>
    <row r="1155" ht="26.25" customHeight="1">
      <c r="A1155" s="290"/>
      <c r="B1155" s="264">
        <v>45918.0</v>
      </c>
      <c r="C1155" s="265" t="s">
        <v>1057</v>
      </c>
      <c r="D1155" s="266" t="s">
        <v>21</v>
      </c>
      <c r="E1155" s="267" t="s">
        <v>1563</v>
      </c>
      <c r="F1155" s="289"/>
      <c r="G1155" s="269">
        <v>25000.0</v>
      </c>
      <c r="H1155" s="270">
        <v>0.0</v>
      </c>
      <c r="I1155" s="269">
        <v>25000.0</v>
      </c>
      <c r="J1155" s="271">
        <v>25000.0</v>
      </c>
      <c r="K1155" s="272">
        <f t="shared" si="2"/>
        <v>0</v>
      </c>
      <c r="L1155" s="290"/>
      <c r="M1155" s="290"/>
      <c r="N1155" s="290"/>
    </row>
    <row r="1156" ht="26.25" customHeight="1">
      <c r="A1156" s="290"/>
      <c r="B1156" s="264">
        <v>45921.0</v>
      </c>
      <c r="C1156" s="265" t="s">
        <v>974</v>
      </c>
      <c r="D1156" s="266" t="s">
        <v>21</v>
      </c>
      <c r="E1156" s="267" t="s">
        <v>2202</v>
      </c>
      <c r="F1156" s="289"/>
      <c r="G1156" s="269">
        <v>150000.0</v>
      </c>
      <c r="H1156" s="270">
        <v>0.0</v>
      </c>
      <c r="I1156" s="269">
        <v>150000.0</v>
      </c>
      <c r="J1156" s="271">
        <v>150000.0</v>
      </c>
      <c r="K1156" s="272">
        <f t="shared" si="2"/>
        <v>0</v>
      </c>
      <c r="L1156" s="290"/>
      <c r="M1156" s="290"/>
      <c r="N1156" s="290"/>
    </row>
    <row r="1157" ht="26.25" customHeight="1">
      <c r="A1157" s="290"/>
      <c r="B1157" s="264">
        <v>45921.0</v>
      </c>
      <c r="C1157" s="265" t="s">
        <v>974</v>
      </c>
      <c r="D1157" s="266" t="s">
        <v>31</v>
      </c>
      <c r="E1157" s="267" t="s">
        <v>2203</v>
      </c>
      <c r="F1157" s="289"/>
      <c r="G1157" s="269">
        <v>145000.0</v>
      </c>
      <c r="H1157" s="270">
        <v>0.0</v>
      </c>
      <c r="I1157" s="269">
        <v>145000.0</v>
      </c>
      <c r="J1157" s="271">
        <v>145000.0</v>
      </c>
      <c r="K1157" s="272">
        <f t="shared" si="2"/>
        <v>0</v>
      </c>
      <c r="L1157" s="290"/>
      <c r="M1157" s="290"/>
      <c r="N1157" s="290"/>
    </row>
    <row r="1158" ht="26.25" customHeight="1">
      <c r="A1158" s="274"/>
      <c r="B1158" s="264">
        <v>45921.0</v>
      </c>
      <c r="C1158" s="265" t="s">
        <v>2204</v>
      </c>
      <c r="D1158" s="266" t="s">
        <v>21</v>
      </c>
      <c r="E1158" s="267" t="s">
        <v>2205</v>
      </c>
      <c r="F1158" s="289"/>
      <c r="G1158" s="269">
        <v>35000.0</v>
      </c>
      <c r="H1158" s="270">
        <v>0.0</v>
      </c>
      <c r="I1158" s="269">
        <v>35000.0</v>
      </c>
      <c r="J1158" s="271">
        <v>35000.0</v>
      </c>
      <c r="K1158" s="272">
        <f t="shared" si="2"/>
        <v>0</v>
      </c>
      <c r="L1158" s="290"/>
      <c r="M1158" s="290"/>
      <c r="N1158" s="290"/>
    </row>
    <row r="1159" ht="26.25" customHeight="1">
      <c r="A1159" s="290"/>
      <c r="B1159" s="264">
        <v>45921.0</v>
      </c>
      <c r="C1159" s="265" t="s">
        <v>974</v>
      </c>
      <c r="D1159" s="266" t="s">
        <v>21</v>
      </c>
      <c r="E1159" s="267" t="s">
        <v>2206</v>
      </c>
      <c r="F1159" s="289"/>
      <c r="G1159" s="269">
        <v>35000.0</v>
      </c>
      <c r="H1159" s="270">
        <v>0.0</v>
      </c>
      <c r="I1159" s="269">
        <v>35000.0</v>
      </c>
      <c r="J1159" s="271">
        <v>35000.0</v>
      </c>
      <c r="K1159" s="272">
        <f t="shared" si="2"/>
        <v>0</v>
      </c>
      <c r="L1159" s="290"/>
      <c r="M1159" s="290"/>
      <c r="N1159" s="290"/>
    </row>
    <row r="1160" ht="26.25" customHeight="1">
      <c r="A1160" s="290"/>
      <c r="B1160" s="264">
        <v>45921.0</v>
      </c>
      <c r="C1160" s="265" t="s">
        <v>974</v>
      </c>
      <c r="D1160" s="266" t="s">
        <v>2207</v>
      </c>
      <c r="E1160" s="267" t="s">
        <v>2208</v>
      </c>
      <c r="F1160" s="289"/>
      <c r="G1160" s="269">
        <v>25000.0</v>
      </c>
      <c r="H1160" s="270">
        <v>0.0</v>
      </c>
      <c r="I1160" s="269">
        <v>25000.0</v>
      </c>
      <c r="J1160" s="271">
        <v>25000.0</v>
      </c>
      <c r="K1160" s="272">
        <f t="shared" si="2"/>
        <v>0</v>
      </c>
      <c r="L1160" s="290"/>
      <c r="M1160" s="290"/>
      <c r="N1160" s="290"/>
    </row>
    <row r="1161" ht="26.25" customHeight="1">
      <c r="A1161" s="290"/>
      <c r="B1161" s="264">
        <v>45921.0</v>
      </c>
      <c r="C1161" s="265" t="s">
        <v>960</v>
      </c>
      <c r="D1161" s="266" t="s">
        <v>224</v>
      </c>
      <c r="E1161" s="267" t="s">
        <v>2209</v>
      </c>
      <c r="F1161" s="289"/>
      <c r="G1161" s="269">
        <v>15000.0</v>
      </c>
      <c r="H1161" s="270">
        <v>0.0</v>
      </c>
      <c r="I1161" s="269">
        <v>15000.0</v>
      </c>
      <c r="J1161" s="271">
        <v>15000.0</v>
      </c>
      <c r="K1161" s="272">
        <f t="shared" si="2"/>
        <v>0</v>
      </c>
      <c r="L1161" s="290"/>
      <c r="M1161" s="290"/>
      <c r="N1161" s="290"/>
    </row>
    <row r="1162" ht="26.25" customHeight="1">
      <c r="A1162" s="290"/>
      <c r="B1162" s="264">
        <v>45922.0</v>
      </c>
      <c r="C1162" s="265" t="s">
        <v>960</v>
      </c>
      <c r="D1162" s="266" t="s">
        <v>824</v>
      </c>
      <c r="E1162" s="267" t="s">
        <v>2210</v>
      </c>
      <c r="F1162" s="289"/>
      <c r="G1162" s="269">
        <v>10000.0</v>
      </c>
      <c r="H1162" s="270">
        <v>0.0</v>
      </c>
      <c r="I1162" s="269">
        <v>10000.0</v>
      </c>
      <c r="J1162" s="271">
        <v>10000.0</v>
      </c>
      <c r="K1162" s="272">
        <f t="shared" si="2"/>
        <v>0</v>
      </c>
      <c r="L1162" s="290"/>
      <c r="M1162" s="290"/>
      <c r="N1162" s="290"/>
    </row>
    <row r="1163" ht="26.25" customHeight="1">
      <c r="A1163" s="274"/>
      <c r="B1163" s="264">
        <v>45923.0</v>
      </c>
      <c r="C1163" s="265" t="s">
        <v>2211</v>
      </c>
      <c r="D1163" s="266" t="s">
        <v>824</v>
      </c>
      <c r="E1163" s="267" t="s">
        <v>2212</v>
      </c>
      <c r="F1163" s="289"/>
      <c r="G1163" s="269">
        <v>15000.0</v>
      </c>
      <c r="H1163" s="270">
        <v>0.0</v>
      </c>
      <c r="I1163" s="269">
        <v>15000.0</v>
      </c>
      <c r="J1163" s="271">
        <v>15000.0</v>
      </c>
      <c r="K1163" s="272">
        <f t="shared" si="2"/>
        <v>0</v>
      </c>
      <c r="L1163" s="290"/>
      <c r="M1163" s="290"/>
      <c r="N1163" s="290"/>
    </row>
    <row r="1164" ht="26.25" customHeight="1">
      <c r="A1164" s="290"/>
      <c r="B1164" s="264">
        <v>45924.0</v>
      </c>
      <c r="C1164" s="265" t="s">
        <v>993</v>
      </c>
      <c r="D1164" s="266" t="s">
        <v>21</v>
      </c>
      <c r="E1164" s="267" t="s">
        <v>2213</v>
      </c>
      <c r="F1164" s="289"/>
      <c r="G1164" s="269">
        <v>25000.0</v>
      </c>
      <c r="H1164" s="270">
        <v>0.0</v>
      </c>
      <c r="I1164" s="269">
        <v>25000.0</v>
      </c>
      <c r="J1164" s="271">
        <v>25000.0</v>
      </c>
      <c r="K1164" s="272">
        <f t="shared" si="2"/>
        <v>0</v>
      </c>
      <c r="L1164" s="290"/>
      <c r="M1164" s="290"/>
      <c r="N1164" s="290"/>
    </row>
    <row r="1165" ht="26.25" customHeight="1">
      <c r="A1165" s="290"/>
      <c r="B1165" s="264">
        <v>45924.0</v>
      </c>
      <c r="C1165" s="265" t="s">
        <v>960</v>
      </c>
      <c r="D1165" s="266" t="s">
        <v>2214</v>
      </c>
      <c r="E1165" s="267" t="s">
        <v>2114</v>
      </c>
      <c r="F1165" s="289"/>
      <c r="G1165" s="269">
        <v>12000.0</v>
      </c>
      <c r="H1165" s="270">
        <v>0.0</v>
      </c>
      <c r="I1165" s="269">
        <v>12000.0</v>
      </c>
      <c r="J1165" s="271">
        <v>12000.0</v>
      </c>
      <c r="K1165" s="272">
        <f t="shared" si="2"/>
        <v>0</v>
      </c>
      <c r="L1165" s="290"/>
      <c r="M1165" s="290"/>
      <c r="N1165" s="290"/>
    </row>
    <row r="1166" ht="26.25" customHeight="1">
      <c r="A1166" s="290"/>
      <c r="B1166" s="264">
        <v>45924.0</v>
      </c>
      <c r="C1166" s="265" t="s">
        <v>960</v>
      </c>
      <c r="D1166" s="266" t="s">
        <v>824</v>
      </c>
      <c r="E1166" s="267" t="s">
        <v>2215</v>
      </c>
      <c r="F1166" s="289"/>
      <c r="G1166" s="269">
        <v>7000.0</v>
      </c>
      <c r="H1166" s="270">
        <v>0.0</v>
      </c>
      <c r="I1166" s="269">
        <v>7000.0</v>
      </c>
      <c r="J1166" s="271">
        <v>7000.0</v>
      </c>
      <c r="K1166" s="272">
        <f t="shared" si="2"/>
        <v>0</v>
      </c>
      <c r="L1166" s="290"/>
      <c r="M1166" s="290"/>
      <c r="N1166" s="290"/>
    </row>
    <row r="1167" ht="26.25" customHeight="1">
      <c r="A1167" s="290"/>
      <c r="B1167" s="264">
        <v>45924.0</v>
      </c>
      <c r="C1167" s="265" t="s">
        <v>960</v>
      </c>
      <c r="D1167" s="266" t="s">
        <v>824</v>
      </c>
      <c r="E1167" s="267" t="s">
        <v>2180</v>
      </c>
      <c r="F1167" s="289"/>
      <c r="G1167" s="269">
        <v>5000.0</v>
      </c>
      <c r="H1167" s="270">
        <v>0.0</v>
      </c>
      <c r="I1167" s="269">
        <v>5000.0</v>
      </c>
      <c r="J1167" s="271">
        <v>5000.0</v>
      </c>
      <c r="K1167" s="272">
        <f t="shared" si="2"/>
        <v>0</v>
      </c>
      <c r="L1167" s="290"/>
      <c r="M1167" s="290"/>
      <c r="N1167" s="290"/>
    </row>
    <row r="1168" ht="26.25" customHeight="1">
      <c r="A1168" s="290"/>
      <c r="B1168" s="264">
        <v>45925.0</v>
      </c>
      <c r="C1168" s="265" t="s">
        <v>1098</v>
      </c>
      <c r="D1168" s="266" t="s">
        <v>2216</v>
      </c>
      <c r="E1168" s="267" t="s">
        <v>602</v>
      </c>
      <c r="F1168" s="289"/>
      <c r="G1168" s="269">
        <v>350000.0</v>
      </c>
      <c r="H1168" s="270">
        <v>0.0</v>
      </c>
      <c r="I1168" s="269">
        <v>350000.0</v>
      </c>
      <c r="J1168" s="271">
        <v>350000.0</v>
      </c>
      <c r="K1168" s="272">
        <f t="shared" si="2"/>
        <v>0</v>
      </c>
      <c r="L1168" s="290"/>
      <c r="M1168" s="290"/>
      <c r="N1168" s="290"/>
    </row>
    <row r="1169" ht="26.25" customHeight="1">
      <c r="A1169" s="290"/>
      <c r="B1169" s="264">
        <v>45925.0</v>
      </c>
      <c r="C1169" s="265" t="s">
        <v>993</v>
      </c>
      <c r="D1169" s="266" t="s">
        <v>824</v>
      </c>
      <c r="E1169" s="267" t="s">
        <v>2217</v>
      </c>
      <c r="F1169" s="289"/>
      <c r="G1169" s="269">
        <v>40000.0</v>
      </c>
      <c r="H1169" s="270">
        <v>0.0</v>
      </c>
      <c r="I1169" s="269">
        <v>40000.0</v>
      </c>
      <c r="J1169" s="271">
        <v>40000.0</v>
      </c>
      <c r="K1169" s="272">
        <f t="shared" si="2"/>
        <v>0</v>
      </c>
      <c r="L1169" s="290"/>
      <c r="M1169" s="290"/>
      <c r="N1169" s="290"/>
    </row>
    <row r="1170" ht="26.25" customHeight="1">
      <c r="A1170" s="290"/>
      <c r="B1170" s="264">
        <v>45925.0</v>
      </c>
      <c r="C1170" s="265" t="s">
        <v>1112</v>
      </c>
      <c r="D1170" s="266" t="s">
        <v>2214</v>
      </c>
      <c r="E1170" s="267" t="s">
        <v>2218</v>
      </c>
      <c r="F1170" s="289"/>
      <c r="G1170" s="269">
        <v>35000.0</v>
      </c>
      <c r="H1170" s="270">
        <v>0.0</v>
      </c>
      <c r="I1170" s="269">
        <v>35000.0</v>
      </c>
      <c r="J1170" s="271">
        <v>35000.0</v>
      </c>
      <c r="K1170" s="272">
        <f t="shared" si="2"/>
        <v>0</v>
      </c>
      <c r="L1170" s="290"/>
      <c r="M1170" s="290"/>
      <c r="N1170" s="290"/>
    </row>
    <row r="1171" ht="26.25" customHeight="1">
      <c r="A1171" s="290"/>
      <c r="B1171" s="264">
        <v>45925.0</v>
      </c>
      <c r="C1171" s="265" t="s">
        <v>985</v>
      </c>
      <c r="D1171" s="266" t="s">
        <v>2214</v>
      </c>
      <c r="E1171" s="267" t="s">
        <v>2114</v>
      </c>
      <c r="F1171" s="289"/>
      <c r="G1171" s="269">
        <v>25000.0</v>
      </c>
      <c r="H1171" s="270">
        <v>0.0</v>
      </c>
      <c r="I1171" s="269">
        <v>25000.0</v>
      </c>
      <c r="J1171" s="271">
        <v>25000.0</v>
      </c>
      <c r="K1171" s="272">
        <f t="shared" si="2"/>
        <v>0</v>
      </c>
      <c r="L1171" s="290"/>
      <c r="M1171" s="290"/>
      <c r="N1171" s="290"/>
    </row>
    <row r="1172" ht="26.25" customHeight="1">
      <c r="A1172" s="290"/>
      <c r="B1172" s="264">
        <v>45925.0</v>
      </c>
      <c r="C1172" s="265" t="s">
        <v>2219</v>
      </c>
      <c r="D1172" s="266" t="s">
        <v>2214</v>
      </c>
      <c r="E1172" s="267" t="s">
        <v>1563</v>
      </c>
      <c r="F1172" s="289"/>
      <c r="G1172" s="269">
        <v>12000.0</v>
      </c>
      <c r="H1172" s="270">
        <v>0.0</v>
      </c>
      <c r="I1172" s="269">
        <v>12000.0</v>
      </c>
      <c r="J1172" s="271">
        <v>12000.0</v>
      </c>
      <c r="K1172" s="272">
        <f t="shared" si="2"/>
        <v>0</v>
      </c>
      <c r="L1172" s="290"/>
      <c r="M1172" s="290"/>
      <c r="N1172" s="290"/>
    </row>
    <row r="1173" ht="26.25" customHeight="1">
      <c r="A1173" s="273"/>
      <c r="B1173" s="264">
        <v>45925.0</v>
      </c>
      <c r="C1173" s="275" t="s">
        <v>974</v>
      </c>
      <c r="D1173" s="266" t="s">
        <v>824</v>
      </c>
      <c r="E1173" s="267" t="s">
        <v>2220</v>
      </c>
      <c r="F1173" s="268"/>
      <c r="G1173" s="269">
        <v>10000.0</v>
      </c>
      <c r="H1173" s="270">
        <v>0.0</v>
      </c>
      <c r="I1173" s="269">
        <v>10000.0</v>
      </c>
      <c r="J1173" s="271">
        <v>10000.0</v>
      </c>
      <c r="K1173" s="272">
        <f t="shared" si="2"/>
        <v>0</v>
      </c>
      <c r="L1173" s="273"/>
      <c r="M1173" s="273"/>
      <c r="N1173" s="273"/>
    </row>
    <row r="1174" ht="26.25" customHeight="1">
      <c r="A1174" s="273"/>
      <c r="B1174" s="264">
        <v>45925.0</v>
      </c>
      <c r="C1174" s="275" t="s">
        <v>2219</v>
      </c>
      <c r="D1174" s="266" t="s">
        <v>1029</v>
      </c>
      <c r="E1174" s="267" t="s">
        <v>1563</v>
      </c>
      <c r="F1174" s="268"/>
      <c r="G1174" s="269">
        <v>8000.0</v>
      </c>
      <c r="H1174" s="270">
        <v>0.0</v>
      </c>
      <c r="I1174" s="269">
        <v>8000.0</v>
      </c>
      <c r="J1174" s="271">
        <v>8000.0</v>
      </c>
      <c r="K1174" s="272">
        <f t="shared" si="2"/>
        <v>0</v>
      </c>
      <c r="L1174" s="273"/>
      <c r="M1174" s="273"/>
      <c r="N1174" s="273"/>
    </row>
    <row r="1175" ht="26.25" customHeight="1">
      <c r="A1175" s="273"/>
      <c r="B1175" s="264">
        <v>45925.0</v>
      </c>
      <c r="C1175" s="275" t="s">
        <v>960</v>
      </c>
      <c r="D1175" s="266" t="s">
        <v>824</v>
      </c>
      <c r="E1175" s="267" t="s">
        <v>2037</v>
      </c>
      <c r="F1175" s="268"/>
      <c r="G1175" s="269">
        <v>7000.0</v>
      </c>
      <c r="H1175" s="270">
        <v>0.0</v>
      </c>
      <c r="I1175" s="269">
        <v>7000.0</v>
      </c>
      <c r="J1175" s="271">
        <v>7000.0</v>
      </c>
      <c r="K1175" s="272">
        <f t="shared" si="2"/>
        <v>0</v>
      </c>
      <c r="L1175" s="273"/>
      <c r="M1175" s="273"/>
      <c r="N1175" s="273"/>
    </row>
    <row r="1176" ht="26.25" customHeight="1">
      <c r="A1176" s="273"/>
      <c r="B1176" s="264">
        <v>45925.0</v>
      </c>
      <c r="C1176" s="275" t="s">
        <v>960</v>
      </c>
      <c r="D1176" s="266" t="s">
        <v>824</v>
      </c>
      <c r="E1176" s="267" t="s">
        <v>938</v>
      </c>
      <c r="F1176" s="268"/>
      <c r="G1176" s="269">
        <v>7000.0</v>
      </c>
      <c r="H1176" s="270">
        <v>0.0</v>
      </c>
      <c r="I1176" s="269">
        <v>7000.0</v>
      </c>
      <c r="J1176" s="271">
        <v>7000.0</v>
      </c>
      <c r="K1176" s="272">
        <f t="shared" si="2"/>
        <v>0</v>
      </c>
      <c r="L1176" s="273"/>
      <c r="M1176" s="273"/>
      <c r="N1176" s="273"/>
    </row>
    <row r="1177" ht="26.25" customHeight="1">
      <c r="A1177" s="273"/>
      <c r="B1177" s="264">
        <v>45926.0</v>
      </c>
      <c r="C1177" s="275" t="s">
        <v>1057</v>
      </c>
      <c r="D1177" s="266" t="s">
        <v>824</v>
      </c>
      <c r="E1177" s="267" t="s">
        <v>2221</v>
      </c>
      <c r="F1177" s="268"/>
      <c r="G1177" s="269">
        <v>6500000.0</v>
      </c>
      <c r="H1177" s="270">
        <v>0.0</v>
      </c>
      <c r="I1177" s="269">
        <v>6500000.0</v>
      </c>
      <c r="J1177" s="271">
        <v>6500000.0</v>
      </c>
      <c r="K1177" s="272">
        <f t="shared" si="2"/>
        <v>0</v>
      </c>
      <c r="L1177" s="273"/>
      <c r="M1177" s="273"/>
      <c r="N1177" s="273"/>
    </row>
    <row r="1178" ht="26.25" customHeight="1">
      <c r="A1178" s="273"/>
      <c r="B1178" s="264">
        <v>45926.0</v>
      </c>
      <c r="C1178" s="275" t="s">
        <v>1057</v>
      </c>
      <c r="D1178" s="266" t="s">
        <v>824</v>
      </c>
      <c r="E1178" s="267" t="s">
        <v>2222</v>
      </c>
      <c r="F1178" s="268"/>
      <c r="G1178" s="269">
        <v>675000.0</v>
      </c>
      <c r="H1178" s="270">
        <v>0.0</v>
      </c>
      <c r="I1178" s="269">
        <v>675000.0</v>
      </c>
      <c r="J1178" s="271">
        <v>675000.0</v>
      </c>
      <c r="K1178" s="272">
        <f t="shared" si="2"/>
        <v>0</v>
      </c>
      <c r="L1178" s="273"/>
      <c r="M1178" s="273"/>
      <c r="N1178" s="273"/>
    </row>
    <row r="1179" ht="26.25" customHeight="1">
      <c r="A1179" s="273"/>
      <c r="B1179" s="264">
        <v>45926.0</v>
      </c>
      <c r="C1179" s="275" t="s">
        <v>968</v>
      </c>
      <c r="D1179" s="266" t="s">
        <v>224</v>
      </c>
      <c r="E1179" s="267" t="s">
        <v>2223</v>
      </c>
      <c r="F1179" s="268"/>
      <c r="G1179" s="269">
        <v>100000.0</v>
      </c>
      <c r="H1179" s="270">
        <v>0.0</v>
      </c>
      <c r="I1179" s="269">
        <v>100000.0</v>
      </c>
      <c r="J1179" s="271">
        <v>100000.0</v>
      </c>
      <c r="K1179" s="272">
        <f t="shared" si="2"/>
        <v>0</v>
      </c>
      <c r="L1179" s="273"/>
      <c r="M1179" s="273"/>
      <c r="N1179" s="273"/>
    </row>
    <row r="1180" ht="26.25" customHeight="1">
      <c r="A1180" s="281" t="s">
        <v>2224</v>
      </c>
      <c r="B1180" s="264">
        <v>45927.0</v>
      </c>
      <c r="C1180" s="275" t="s">
        <v>965</v>
      </c>
      <c r="D1180" s="266" t="s">
        <v>980</v>
      </c>
      <c r="E1180" s="267" t="s">
        <v>980</v>
      </c>
      <c r="F1180" s="268"/>
      <c r="G1180" s="269">
        <v>868000.0</v>
      </c>
      <c r="H1180" s="270">
        <v>0.0</v>
      </c>
      <c r="I1180" s="269">
        <v>868000.0</v>
      </c>
      <c r="J1180" s="271">
        <v>868000.0</v>
      </c>
      <c r="K1180" s="272">
        <f t="shared" si="2"/>
        <v>0</v>
      </c>
      <c r="L1180" s="273"/>
      <c r="M1180" s="273"/>
      <c r="N1180" s="273"/>
    </row>
    <row r="1181" ht="26.25" customHeight="1">
      <c r="A1181" s="281" t="s">
        <v>2225</v>
      </c>
      <c r="B1181" s="264">
        <v>45927.0</v>
      </c>
      <c r="C1181" s="275" t="s">
        <v>993</v>
      </c>
      <c r="D1181" s="266" t="s">
        <v>21</v>
      </c>
      <c r="E1181" s="267" t="s">
        <v>2226</v>
      </c>
      <c r="F1181" s="268"/>
      <c r="G1181" s="269">
        <v>360000.0</v>
      </c>
      <c r="H1181" s="270">
        <v>0.0</v>
      </c>
      <c r="I1181" s="269">
        <v>360000.0</v>
      </c>
      <c r="J1181" s="271">
        <v>360000.0</v>
      </c>
      <c r="K1181" s="272">
        <f t="shared" si="2"/>
        <v>0</v>
      </c>
      <c r="L1181" s="273"/>
      <c r="M1181" s="273"/>
      <c r="N1181" s="273"/>
    </row>
    <row r="1182" ht="26.25" customHeight="1">
      <c r="A1182" s="290"/>
      <c r="B1182" s="264">
        <v>45927.0</v>
      </c>
      <c r="C1182" s="265" t="s">
        <v>2211</v>
      </c>
      <c r="D1182" s="266" t="s">
        <v>824</v>
      </c>
      <c r="E1182" s="267" t="s">
        <v>2227</v>
      </c>
      <c r="F1182" s="289"/>
      <c r="G1182" s="269">
        <v>350000.0</v>
      </c>
      <c r="H1182" s="270">
        <v>0.0</v>
      </c>
      <c r="I1182" s="269">
        <v>350000.0</v>
      </c>
      <c r="J1182" s="271">
        <v>350000.0</v>
      </c>
      <c r="K1182" s="272">
        <f t="shared" si="2"/>
        <v>0</v>
      </c>
      <c r="L1182" s="290"/>
      <c r="M1182" s="290"/>
      <c r="N1182" s="290"/>
    </row>
    <row r="1183" ht="26.25" customHeight="1">
      <c r="A1183" s="288" t="s">
        <v>2228</v>
      </c>
      <c r="B1183" s="264">
        <v>45927.0</v>
      </c>
      <c r="C1183" s="265" t="s">
        <v>965</v>
      </c>
      <c r="D1183" s="266" t="s">
        <v>980</v>
      </c>
      <c r="E1183" s="267" t="s">
        <v>980</v>
      </c>
      <c r="F1183" s="289"/>
      <c r="G1183" s="269">
        <v>206000.0</v>
      </c>
      <c r="H1183" s="270">
        <v>0.0</v>
      </c>
      <c r="I1183" s="269">
        <v>206000.0</v>
      </c>
      <c r="J1183" s="271">
        <v>206000.0</v>
      </c>
      <c r="K1183" s="272">
        <f t="shared" si="2"/>
        <v>0</v>
      </c>
      <c r="L1183" s="290"/>
      <c r="M1183" s="290"/>
      <c r="N1183" s="290"/>
    </row>
    <row r="1184" ht="26.25" customHeight="1">
      <c r="A1184" s="290"/>
      <c r="B1184" s="264">
        <v>45927.0</v>
      </c>
      <c r="C1184" s="265" t="s">
        <v>993</v>
      </c>
      <c r="D1184" s="266" t="s">
        <v>21</v>
      </c>
      <c r="E1184" s="267" t="s">
        <v>2229</v>
      </c>
      <c r="F1184" s="289"/>
      <c r="G1184" s="269">
        <v>145000.0</v>
      </c>
      <c r="H1184" s="270">
        <v>0.0</v>
      </c>
      <c r="I1184" s="269">
        <v>145000.0</v>
      </c>
      <c r="J1184" s="271">
        <v>145000.0</v>
      </c>
      <c r="K1184" s="272">
        <f t="shared" si="2"/>
        <v>0</v>
      </c>
      <c r="L1184" s="290"/>
      <c r="M1184" s="290"/>
      <c r="N1184" s="290"/>
    </row>
    <row r="1185" ht="26.25" customHeight="1">
      <c r="A1185" s="290"/>
      <c r="B1185" s="264">
        <v>45927.0</v>
      </c>
      <c r="C1185" s="265" t="s">
        <v>974</v>
      </c>
      <c r="D1185" s="266" t="s">
        <v>824</v>
      </c>
      <c r="E1185" s="267" t="s">
        <v>2230</v>
      </c>
      <c r="F1185" s="289"/>
      <c r="G1185" s="269">
        <v>125000.0</v>
      </c>
      <c r="H1185" s="270">
        <v>0.0</v>
      </c>
      <c r="I1185" s="269">
        <v>125000.0</v>
      </c>
      <c r="J1185" s="271">
        <v>125000.0</v>
      </c>
      <c r="K1185" s="272">
        <f t="shared" si="2"/>
        <v>0</v>
      </c>
      <c r="L1185" s="290"/>
      <c r="M1185" s="290"/>
      <c r="N1185" s="290"/>
    </row>
    <row r="1186" ht="26.25" customHeight="1">
      <c r="A1186" s="290"/>
      <c r="B1186" s="264">
        <v>45927.0</v>
      </c>
      <c r="C1186" s="265" t="s">
        <v>1057</v>
      </c>
      <c r="D1186" s="266" t="s">
        <v>824</v>
      </c>
      <c r="E1186" s="267" t="s">
        <v>2231</v>
      </c>
      <c r="F1186" s="289"/>
      <c r="G1186" s="269">
        <v>113000.0</v>
      </c>
      <c r="H1186" s="270">
        <v>0.0</v>
      </c>
      <c r="I1186" s="269">
        <v>113000.0</v>
      </c>
      <c r="J1186" s="271">
        <v>113000.0</v>
      </c>
      <c r="K1186" s="272">
        <f t="shared" si="2"/>
        <v>0</v>
      </c>
      <c r="L1186" s="290"/>
      <c r="M1186" s="290"/>
      <c r="N1186" s="290"/>
    </row>
    <row r="1187" ht="26.25" customHeight="1">
      <c r="A1187" s="273"/>
      <c r="B1187" s="264">
        <v>45927.0</v>
      </c>
      <c r="C1187" s="275" t="s">
        <v>965</v>
      </c>
      <c r="D1187" s="266" t="s">
        <v>824</v>
      </c>
      <c r="E1187" s="267" t="s">
        <v>1004</v>
      </c>
      <c r="F1187" s="268"/>
      <c r="G1187" s="269">
        <v>108000.0</v>
      </c>
      <c r="H1187" s="270">
        <v>0.0</v>
      </c>
      <c r="I1187" s="269">
        <v>108000.0</v>
      </c>
      <c r="J1187" s="271">
        <v>108000.0</v>
      </c>
      <c r="K1187" s="272">
        <f t="shared" si="2"/>
        <v>0</v>
      </c>
      <c r="L1187" s="273"/>
      <c r="M1187" s="273"/>
      <c r="N1187" s="273"/>
    </row>
    <row r="1188" ht="26.25" customHeight="1">
      <c r="A1188" s="273"/>
      <c r="B1188" s="264">
        <v>45927.0</v>
      </c>
      <c r="C1188" s="275" t="s">
        <v>960</v>
      </c>
      <c r="D1188" s="266" t="s">
        <v>824</v>
      </c>
      <c r="E1188" s="267" t="s">
        <v>1019</v>
      </c>
      <c r="F1188" s="268"/>
      <c r="G1188" s="269">
        <v>75000.0</v>
      </c>
      <c r="H1188" s="270">
        <v>0.0</v>
      </c>
      <c r="I1188" s="269">
        <v>75000.0</v>
      </c>
      <c r="J1188" s="271">
        <v>75000.0</v>
      </c>
      <c r="K1188" s="272">
        <f t="shared" si="2"/>
        <v>0</v>
      </c>
      <c r="L1188" s="273"/>
      <c r="M1188" s="273"/>
      <c r="N1188" s="273"/>
    </row>
    <row r="1189" ht="26.25" customHeight="1">
      <c r="A1189" s="273"/>
      <c r="B1189" s="264">
        <v>45927.0</v>
      </c>
      <c r="C1189" s="275" t="s">
        <v>974</v>
      </c>
      <c r="D1189" s="266" t="s">
        <v>1029</v>
      </c>
      <c r="E1189" s="267" t="s">
        <v>2232</v>
      </c>
      <c r="F1189" s="268"/>
      <c r="G1189" s="269">
        <v>70000.0</v>
      </c>
      <c r="H1189" s="270">
        <v>0.0</v>
      </c>
      <c r="I1189" s="269">
        <v>70000.0</v>
      </c>
      <c r="J1189" s="271">
        <v>70000.0</v>
      </c>
      <c r="K1189" s="272">
        <f t="shared" si="2"/>
        <v>0</v>
      </c>
      <c r="L1189" s="273"/>
      <c r="M1189" s="273"/>
      <c r="N1189" s="273"/>
    </row>
    <row r="1190" ht="26.25" customHeight="1">
      <c r="A1190" s="273"/>
      <c r="B1190" s="264">
        <v>45927.0</v>
      </c>
      <c r="C1190" s="275" t="s">
        <v>993</v>
      </c>
      <c r="D1190" s="266" t="s">
        <v>21</v>
      </c>
      <c r="E1190" s="267" t="s">
        <v>2233</v>
      </c>
      <c r="F1190" s="268"/>
      <c r="G1190" s="269">
        <v>60000.0</v>
      </c>
      <c r="H1190" s="270">
        <v>0.0</v>
      </c>
      <c r="I1190" s="269">
        <v>60000.0</v>
      </c>
      <c r="J1190" s="271">
        <v>60000.0</v>
      </c>
      <c r="K1190" s="272">
        <f t="shared" si="2"/>
        <v>0</v>
      </c>
      <c r="L1190" s="273"/>
      <c r="M1190" s="273"/>
      <c r="N1190" s="273"/>
    </row>
    <row r="1191" ht="26.25" customHeight="1">
      <c r="A1191" s="273"/>
      <c r="B1191" s="264">
        <v>45927.0</v>
      </c>
      <c r="C1191" s="275" t="s">
        <v>993</v>
      </c>
      <c r="D1191" s="266" t="s">
        <v>824</v>
      </c>
      <c r="E1191" s="267" t="s">
        <v>2234</v>
      </c>
      <c r="F1191" s="268"/>
      <c r="G1191" s="269">
        <v>50000.0</v>
      </c>
      <c r="H1191" s="270">
        <v>0.0</v>
      </c>
      <c r="I1191" s="269">
        <v>50000.0</v>
      </c>
      <c r="J1191" s="271">
        <v>50000.0</v>
      </c>
      <c r="K1191" s="272">
        <f t="shared" si="2"/>
        <v>0</v>
      </c>
      <c r="L1191" s="273"/>
      <c r="M1191" s="273"/>
      <c r="N1191" s="273"/>
    </row>
    <row r="1192" ht="26.25" customHeight="1">
      <c r="A1192" s="273"/>
      <c r="B1192" s="264">
        <v>45927.0</v>
      </c>
      <c r="C1192" s="275" t="s">
        <v>2211</v>
      </c>
      <c r="D1192" s="266" t="s">
        <v>824</v>
      </c>
      <c r="E1192" s="267" t="s">
        <v>2235</v>
      </c>
      <c r="F1192" s="268"/>
      <c r="G1192" s="269">
        <v>40000.0</v>
      </c>
      <c r="H1192" s="270">
        <v>0.0</v>
      </c>
      <c r="I1192" s="269">
        <v>40000.0</v>
      </c>
      <c r="J1192" s="271">
        <v>40000.0</v>
      </c>
      <c r="K1192" s="272">
        <f t="shared" si="2"/>
        <v>0</v>
      </c>
      <c r="L1192" s="273"/>
      <c r="M1192" s="273"/>
      <c r="N1192" s="273"/>
    </row>
    <row r="1193" ht="26.25" customHeight="1">
      <c r="A1193" s="273"/>
      <c r="B1193" s="264">
        <v>45927.0</v>
      </c>
      <c r="C1193" s="275" t="s">
        <v>2204</v>
      </c>
      <c r="D1193" s="266" t="s">
        <v>1029</v>
      </c>
      <c r="E1193" s="267" t="s">
        <v>2236</v>
      </c>
      <c r="F1193" s="268"/>
      <c r="G1193" s="269">
        <v>20000.0</v>
      </c>
      <c r="H1193" s="270">
        <v>0.0</v>
      </c>
      <c r="I1193" s="269">
        <v>20000.0</v>
      </c>
      <c r="J1193" s="271">
        <v>20000.0</v>
      </c>
      <c r="K1193" s="272">
        <f t="shared" si="2"/>
        <v>0</v>
      </c>
      <c r="L1193" s="273"/>
      <c r="M1193" s="273"/>
      <c r="N1193" s="273"/>
    </row>
    <row r="1194" ht="26.25" customHeight="1">
      <c r="A1194" s="273"/>
      <c r="B1194" s="264">
        <v>45927.0</v>
      </c>
      <c r="C1194" s="275" t="s">
        <v>960</v>
      </c>
      <c r="D1194" s="266" t="s">
        <v>824</v>
      </c>
      <c r="E1194" s="267" t="s">
        <v>1973</v>
      </c>
      <c r="F1194" s="268"/>
      <c r="G1194" s="269">
        <v>15000.0</v>
      </c>
      <c r="H1194" s="270">
        <v>0.0</v>
      </c>
      <c r="I1194" s="269">
        <v>15000.0</v>
      </c>
      <c r="J1194" s="271">
        <v>15000.0</v>
      </c>
      <c r="K1194" s="272">
        <f t="shared" si="2"/>
        <v>0</v>
      </c>
      <c r="L1194" s="273"/>
      <c r="M1194" s="273"/>
      <c r="N1194" s="273"/>
    </row>
    <row r="1195" ht="26.25" customHeight="1">
      <c r="A1195" s="273"/>
      <c r="B1195" s="264">
        <v>45927.0</v>
      </c>
      <c r="C1195" s="275" t="s">
        <v>2211</v>
      </c>
      <c r="D1195" s="266" t="s">
        <v>25</v>
      </c>
      <c r="E1195" s="267" t="s">
        <v>2237</v>
      </c>
      <c r="F1195" s="268"/>
      <c r="G1195" s="269">
        <v>15000.0</v>
      </c>
      <c r="H1195" s="270">
        <v>0.0</v>
      </c>
      <c r="I1195" s="269">
        <v>15000.0</v>
      </c>
      <c r="J1195" s="271">
        <v>15000.0</v>
      </c>
      <c r="K1195" s="272">
        <f t="shared" si="2"/>
        <v>0</v>
      </c>
      <c r="L1195" s="273"/>
      <c r="M1195" s="273"/>
      <c r="N1195" s="273"/>
    </row>
    <row r="1196" ht="26.25" customHeight="1">
      <c r="A1196" s="290"/>
      <c r="B1196" s="264">
        <v>45927.0</v>
      </c>
      <c r="C1196" s="265" t="s">
        <v>1112</v>
      </c>
      <c r="D1196" s="266" t="s">
        <v>2214</v>
      </c>
      <c r="E1196" s="267" t="s">
        <v>1112</v>
      </c>
      <c r="F1196" s="289"/>
      <c r="G1196" s="269">
        <v>13000.0</v>
      </c>
      <c r="H1196" s="270">
        <v>0.0</v>
      </c>
      <c r="I1196" s="269">
        <v>13000.0</v>
      </c>
      <c r="J1196" s="271">
        <v>13000.0</v>
      </c>
      <c r="K1196" s="272">
        <f t="shared" si="2"/>
        <v>0</v>
      </c>
      <c r="L1196" s="290"/>
      <c r="M1196" s="290"/>
      <c r="N1196" s="290"/>
    </row>
    <row r="1197" ht="26.25" customHeight="1">
      <c r="A1197" s="290"/>
      <c r="B1197" s="264">
        <v>45927.0</v>
      </c>
      <c r="C1197" s="265" t="s">
        <v>2219</v>
      </c>
      <c r="D1197" s="266" t="s">
        <v>21</v>
      </c>
      <c r="E1197" s="267" t="s">
        <v>1563</v>
      </c>
      <c r="F1197" s="289"/>
      <c r="G1197" s="269">
        <v>10000.0</v>
      </c>
      <c r="H1197" s="270">
        <v>0.0</v>
      </c>
      <c r="I1197" s="269">
        <v>10000.0</v>
      </c>
      <c r="J1197" s="271">
        <v>10000.0</v>
      </c>
      <c r="K1197" s="272">
        <f t="shared" si="2"/>
        <v>0</v>
      </c>
      <c r="L1197" s="290"/>
      <c r="M1197" s="290"/>
      <c r="N1197" s="290"/>
    </row>
    <row r="1198" ht="26.25" customHeight="1">
      <c r="A1198" s="290"/>
      <c r="B1198" s="264">
        <v>45927.0</v>
      </c>
      <c r="C1198" s="265" t="s">
        <v>993</v>
      </c>
      <c r="D1198" s="266" t="s">
        <v>824</v>
      </c>
      <c r="E1198" s="267" t="s">
        <v>2238</v>
      </c>
      <c r="F1198" s="289"/>
      <c r="G1198" s="269">
        <v>7500.0</v>
      </c>
      <c r="H1198" s="270">
        <v>0.0</v>
      </c>
      <c r="I1198" s="269">
        <v>7500.0</v>
      </c>
      <c r="J1198" s="271">
        <v>7500.0</v>
      </c>
      <c r="K1198" s="272">
        <f t="shared" si="2"/>
        <v>0</v>
      </c>
      <c r="L1198" s="290"/>
      <c r="M1198" s="290"/>
      <c r="N1198" s="290"/>
    </row>
    <row r="1199" ht="26.25" customHeight="1">
      <c r="A1199" s="290"/>
      <c r="B1199" s="264">
        <v>45927.0</v>
      </c>
      <c r="C1199" s="265" t="s">
        <v>2219</v>
      </c>
      <c r="D1199" s="282"/>
      <c r="E1199" s="267" t="s">
        <v>1563</v>
      </c>
      <c r="F1199" s="289"/>
      <c r="G1199" s="269">
        <v>5000.0</v>
      </c>
      <c r="H1199" s="270">
        <v>0.0</v>
      </c>
      <c r="I1199" s="269">
        <v>5000.0</v>
      </c>
      <c r="J1199" s="271">
        <v>5000.0</v>
      </c>
      <c r="K1199" s="272">
        <f t="shared" si="2"/>
        <v>0</v>
      </c>
      <c r="L1199" s="290"/>
      <c r="M1199" s="290"/>
      <c r="N1199" s="290"/>
    </row>
    <row r="1200" ht="26.25" customHeight="1">
      <c r="A1200" s="290"/>
      <c r="B1200" s="264">
        <v>45927.0</v>
      </c>
      <c r="C1200" s="265" t="s">
        <v>960</v>
      </c>
      <c r="D1200" s="266" t="s">
        <v>824</v>
      </c>
      <c r="E1200" s="267" t="s">
        <v>2239</v>
      </c>
      <c r="F1200" s="289"/>
      <c r="G1200" s="269">
        <v>5000.0</v>
      </c>
      <c r="H1200" s="270">
        <v>0.0</v>
      </c>
      <c r="I1200" s="269">
        <v>5000.0</v>
      </c>
      <c r="J1200" s="271">
        <v>5000.0</v>
      </c>
      <c r="K1200" s="272">
        <f t="shared" si="2"/>
        <v>0</v>
      </c>
      <c r="L1200" s="290"/>
      <c r="M1200" s="290"/>
      <c r="N1200" s="290"/>
    </row>
    <row r="1201" ht="26.25" customHeight="1">
      <c r="A1201" s="288" t="s">
        <v>2240</v>
      </c>
      <c r="B1201" s="264">
        <v>45928.0</v>
      </c>
      <c r="C1201" s="265" t="s">
        <v>965</v>
      </c>
      <c r="D1201" s="266" t="s">
        <v>980</v>
      </c>
      <c r="E1201" s="267" t="s">
        <v>980</v>
      </c>
      <c r="F1201" s="289"/>
      <c r="G1201" s="269">
        <v>150000.0</v>
      </c>
      <c r="H1201" s="270">
        <v>0.0</v>
      </c>
      <c r="I1201" s="269">
        <v>150000.0</v>
      </c>
      <c r="J1201" s="271">
        <v>150000.0</v>
      </c>
      <c r="K1201" s="272">
        <f t="shared" si="2"/>
        <v>0</v>
      </c>
      <c r="L1201" s="290"/>
      <c r="M1201" s="290"/>
      <c r="N1201" s="290"/>
    </row>
    <row r="1202" ht="26.25" customHeight="1">
      <c r="A1202" s="290"/>
      <c r="B1202" s="264">
        <v>45931.0</v>
      </c>
      <c r="C1202" s="265" t="s">
        <v>1767</v>
      </c>
      <c r="D1202" s="266" t="s">
        <v>31</v>
      </c>
      <c r="E1202" s="267" t="s">
        <v>1768</v>
      </c>
      <c r="F1202" s="304">
        <v>1.0</v>
      </c>
      <c r="G1202" s="269">
        <v>2258333.0</v>
      </c>
      <c r="H1202" s="270">
        <v>0.0</v>
      </c>
      <c r="I1202" s="269">
        <v>2258333.0</v>
      </c>
      <c r="J1202" s="271">
        <v>2258333.0</v>
      </c>
      <c r="K1202" s="272">
        <f t="shared" si="2"/>
        <v>0</v>
      </c>
      <c r="L1202" s="290"/>
      <c r="M1202" s="290"/>
      <c r="N1202" s="290"/>
    </row>
    <row r="1203" ht="26.25" customHeight="1">
      <c r="A1203" s="290"/>
      <c r="B1203" s="264">
        <v>45932.0</v>
      </c>
      <c r="C1203" s="265" t="s">
        <v>974</v>
      </c>
      <c r="D1203" s="266" t="s">
        <v>20</v>
      </c>
      <c r="E1203" s="267" t="s">
        <v>2215</v>
      </c>
      <c r="F1203" s="289"/>
      <c r="G1203" s="269">
        <v>20000.0</v>
      </c>
      <c r="H1203" s="270">
        <v>0.0</v>
      </c>
      <c r="I1203" s="269">
        <v>20000.0</v>
      </c>
      <c r="J1203" s="271">
        <v>20000.0</v>
      </c>
      <c r="K1203" s="272">
        <f t="shared" si="2"/>
        <v>0</v>
      </c>
      <c r="L1203" s="290"/>
      <c r="M1203" s="290"/>
      <c r="N1203" s="290"/>
    </row>
    <row r="1204" ht="26.25" customHeight="1">
      <c r="A1204" s="290"/>
      <c r="B1204" s="264">
        <v>45932.0</v>
      </c>
      <c r="C1204" s="265" t="s">
        <v>974</v>
      </c>
      <c r="D1204" s="266" t="s">
        <v>824</v>
      </c>
      <c r="E1204" s="267" t="s">
        <v>2241</v>
      </c>
      <c r="F1204" s="289"/>
      <c r="G1204" s="269">
        <v>15000.0</v>
      </c>
      <c r="H1204" s="270">
        <v>0.0</v>
      </c>
      <c r="I1204" s="269">
        <v>15000.0</v>
      </c>
      <c r="J1204" s="271">
        <v>15000.0</v>
      </c>
      <c r="K1204" s="272">
        <f t="shared" si="2"/>
        <v>0</v>
      </c>
      <c r="L1204" s="290"/>
      <c r="M1204" s="290"/>
      <c r="N1204" s="290"/>
    </row>
    <row r="1205" ht="26.25" customHeight="1">
      <c r="A1205" s="288" t="s">
        <v>2242</v>
      </c>
      <c r="B1205" s="264">
        <v>45934.0</v>
      </c>
      <c r="C1205" s="265" t="s">
        <v>965</v>
      </c>
      <c r="D1205" s="266" t="s">
        <v>980</v>
      </c>
      <c r="E1205" s="267" t="s">
        <v>980</v>
      </c>
      <c r="F1205" s="289"/>
      <c r="G1205" s="269">
        <v>132000.0</v>
      </c>
      <c r="H1205" s="270">
        <v>0.0</v>
      </c>
      <c r="I1205" s="269">
        <v>132000.0</v>
      </c>
      <c r="J1205" s="271">
        <v>132000.0</v>
      </c>
      <c r="K1205" s="272">
        <f t="shared" si="2"/>
        <v>0</v>
      </c>
      <c r="L1205" s="290"/>
      <c r="M1205" s="290"/>
      <c r="N1205" s="290"/>
    </row>
    <row r="1206" ht="26.25" customHeight="1">
      <c r="A1206" s="281" t="s">
        <v>2243</v>
      </c>
      <c r="B1206" s="264">
        <v>45935.0</v>
      </c>
      <c r="C1206" s="275" t="s">
        <v>965</v>
      </c>
      <c r="D1206" s="266" t="s">
        <v>980</v>
      </c>
      <c r="E1206" s="267" t="s">
        <v>980</v>
      </c>
      <c r="F1206" s="268"/>
      <c r="G1206" s="269">
        <v>198000.0</v>
      </c>
      <c r="H1206" s="270">
        <v>0.0</v>
      </c>
      <c r="I1206" s="269">
        <v>198000.0</v>
      </c>
      <c r="J1206" s="271">
        <v>198000.0</v>
      </c>
      <c r="K1206" s="272">
        <f t="shared" si="2"/>
        <v>0</v>
      </c>
      <c r="L1206" s="273"/>
      <c r="M1206" s="273"/>
      <c r="N1206" s="273"/>
    </row>
    <row r="1207" ht="26.25" customHeight="1">
      <c r="A1207" s="273"/>
      <c r="B1207" s="264">
        <v>45935.0</v>
      </c>
      <c r="C1207" s="275" t="s">
        <v>974</v>
      </c>
      <c r="D1207" s="266" t="s">
        <v>824</v>
      </c>
      <c r="E1207" s="267" t="s">
        <v>2244</v>
      </c>
      <c r="F1207" s="268"/>
      <c r="G1207" s="269">
        <v>20000.0</v>
      </c>
      <c r="H1207" s="270">
        <v>0.0</v>
      </c>
      <c r="I1207" s="269">
        <v>20000.0</v>
      </c>
      <c r="J1207" s="271">
        <v>20000.0</v>
      </c>
      <c r="K1207" s="272">
        <f t="shared" si="2"/>
        <v>0</v>
      </c>
      <c r="L1207" s="273"/>
      <c r="M1207" s="273"/>
      <c r="N1207" s="273"/>
    </row>
    <row r="1208" ht="26.25" customHeight="1">
      <c r="A1208" s="281" t="s">
        <v>2245</v>
      </c>
      <c r="B1208" s="264">
        <v>45936.0</v>
      </c>
      <c r="C1208" s="275" t="s">
        <v>965</v>
      </c>
      <c r="D1208" s="266" t="s">
        <v>980</v>
      </c>
      <c r="E1208" s="267" t="s">
        <v>980</v>
      </c>
      <c r="F1208" s="268"/>
      <c r="G1208" s="269">
        <v>644000.0</v>
      </c>
      <c r="H1208" s="270">
        <v>0.0</v>
      </c>
      <c r="I1208" s="269">
        <v>644000.0</v>
      </c>
      <c r="J1208" s="271">
        <v>644000.0</v>
      </c>
      <c r="K1208" s="272">
        <f t="shared" si="2"/>
        <v>0</v>
      </c>
      <c r="L1208" s="273"/>
      <c r="M1208" s="273"/>
      <c r="N1208" s="273"/>
    </row>
    <row r="1209" ht="26.25" customHeight="1">
      <c r="A1209" s="273"/>
      <c r="B1209" s="264">
        <v>45936.0</v>
      </c>
      <c r="C1209" s="275" t="s">
        <v>1057</v>
      </c>
      <c r="D1209" s="266" t="s">
        <v>21</v>
      </c>
      <c r="E1209" s="267" t="s">
        <v>1111</v>
      </c>
      <c r="F1209" s="268"/>
      <c r="G1209" s="269">
        <v>75000.0</v>
      </c>
      <c r="H1209" s="270">
        <v>0.0</v>
      </c>
      <c r="I1209" s="269">
        <v>75000.0</v>
      </c>
      <c r="J1209" s="271">
        <v>75000.0</v>
      </c>
      <c r="K1209" s="272">
        <f t="shared" si="2"/>
        <v>0</v>
      </c>
      <c r="L1209" s="273"/>
      <c r="M1209" s="273"/>
      <c r="N1209" s="273"/>
    </row>
    <row r="1210" ht="26.25" customHeight="1">
      <c r="A1210" s="273"/>
      <c r="B1210" s="264">
        <v>45936.0</v>
      </c>
      <c r="C1210" s="275" t="s">
        <v>1057</v>
      </c>
      <c r="D1210" s="266" t="s">
        <v>21</v>
      </c>
      <c r="E1210" s="267" t="s">
        <v>2246</v>
      </c>
      <c r="F1210" s="268"/>
      <c r="G1210" s="269">
        <v>68000.0</v>
      </c>
      <c r="H1210" s="270">
        <v>0.0</v>
      </c>
      <c r="I1210" s="269">
        <v>68000.0</v>
      </c>
      <c r="J1210" s="271">
        <v>68000.0</v>
      </c>
      <c r="K1210" s="272">
        <f t="shared" si="2"/>
        <v>0</v>
      </c>
      <c r="L1210" s="273"/>
      <c r="M1210" s="273"/>
      <c r="N1210" s="273"/>
    </row>
    <row r="1211" ht="26.25" customHeight="1">
      <c r="A1211" s="290"/>
      <c r="B1211" s="264">
        <v>45937.0</v>
      </c>
      <c r="C1211" s="265" t="s">
        <v>1057</v>
      </c>
      <c r="D1211" s="266" t="s">
        <v>31</v>
      </c>
      <c r="E1211" s="267" t="s">
        <v>2247</v>
      </c>
      <c r="F1211" s="289"/>
      <c r="G1211" s="269">
        <v>325000.0</v>
      </c>
      <c r="H1211" s="270">
        <v>0.0</v>
      </c>
      <c r="I1211" s="269">
        <v>325000.0</v>
      </c>
      <c r="J1211" s="271">
        <v>325000.0</v>
      </c>
      <c r="K1211" s="272">
        <f t="shared" si="2"/>
        <v>0</v>
      </c>
      <c r="L1211" s="290"/>
      <c r="M1211" s="290"/>
      <c r="N1211" s="290"/>
    </row>
    <row r="1212" ht="26.25" customHeight="1">
      <c r="A1212" s="274"/>
      <c r="B1212" s="264">
        <v>45937.0</v>
      </c>
      <c r="C1212" s="265" t="s">
        <v>974</v>
      </c>
      <c r="D1212" s="266" t="s">
        <v>31</v>
      </c>
      <c r="E1212" s="267" t="s">
        <v>2248</v>
      </c>
      <c r="F1212" s="289"/>
      <c r="G1212" s="269">
        <v>150000.0</v>
      </c>
      <c r="H1212" s="270">
        <v>0.0</v>
      </c>
      <c r="I1212" s="269">
        <v>150000.0</v>
      </c>
      <c r="J1212" s="271">
        <v>150000.0</v>
      </c>
      <c r="K1212" s="272">
        <f t="shared" si="2"/>
        <v>0</v>
      </c>
      <c r="L1212" s="290"/>
      <c r="M1212" s="290"/>
      <c r="N1212" s="290"/>
    </row>
    <row r="1213" ht="26.25" customHeight="1">
      <c r="A1213" s="290"/>
      <c r="B1213" s="264">
        <v>45937.0</v>
      </c>
      <c r="C1213" s="265" t="s">
        <v>974</v>
      </c>
      <c r="D1213" s="266" t="s">
        <v>31</v>
      </c>
      <c r="E1213" s="267" t="s">
        <v>2249</v>
      </c>
      <c r="F1213" s="289"/>
      <c r="G1213" s="269">
        <v>80000.0</v>
      </c>
      <c r="H1213" s="270">
        <v>0.0</v>
      </c>
      <c r="I1213" s="269">
        <v>80000.0</v>
      </c>
      <c r="J1213" s="271">
        <v>80000.0</v>
      </c>
      <c r="K1213" s="272">
        <f t="shared" si="2"/>
        <v>0</v>
      </c>
      <c r="L1213" s="290"/>
      <c r="M1213" s="290"/>
      <c r="N1213" s="290"/>
    </row>
    <row r="1214" ht="26.25" customHeight="1">
      <c r="A1214" s="290"/>
      <c r="B1214" s="264">
        <v>45937.0</v>
      </c>
      <c r="C1214" s="265" t="s">
        <v>974</v>
      </c>
      <c r="D1214" s="266" t="s">
        <v>21</v>
      </c>
      <c r="E1214" s="267" t="s">
        <v>2246</v>
      </c>
      <c r="F1214" s="289"/>
      <c r="G1214" s="269">
        <v>68000.0</v>
      </c>
      <c r="H1214" s="270">
        <v>0.0</v>
      </c>
      <c r="I1214" s="269">
        <v>68000.0</v>
      </c>
      <c r="J1214" s="271">
        <v>68000.0</v>
      </c>
      <c r="K1214" s="272">
        <f t="shared" si="2"/>
        <v>0</v>
      </c>
      <c r="L1214" s="290"/>
      <c r="M1214" s="290"/>
      <c r="N1214" s="290"/>
    </row>
    <row r="1215" ht="26.25" customHeight="1">
      <c r="A1215" s="274"/>
      <c r="B1215" s="264">
        <v>45937.0</v>
      </c>
      <c r="C1215" s="265" t="s">
        <v>974</v>
      </c>
      <c r="D1215" s="266" t="s">
        <v>31</v>
      </c>
      <c r="E1215" s="267" t="s">
        <v>2250</v>
      </c>
      <c r="F1215" s="289"/>
      <c r="G1215" s="269">
        <v>55000.0</v>
      </c>
      <c r="H1215" s="270">
        <v>0.0</v>
      </c>
      <c r="I1215" s="269">
        <v>55000.0</v>
      </c>
      <c r="J1215" s="271">
        <v>55000.0</v>
      </c>
      <c r="K1215" s="272">
        <f t="shared" si="2"/>
        <v>0</v>
      </c>
      <c r="L1215" s="290"/>
      <c r="M1215" s="290"/>
      <c r="N1215" s="290"/>
    </row>
    <row r="1216" ht="26.25" customHeight="1">
      <c r="A1216" s="290"/>
      <c r="B1216" s="264">
        <v>45937.0</v>
      </c>
      <c r="C1216" s="275" t="s">
        <v>1057</v>
      </c>
      <c r="D1216" s="266" t="s">
        <v>824</v>
      </c>
      <c r="E1216" s="267" t="s">
        <v>2251</v>
      </c>
      <c r="F1216" s="289"/>
      <c r="G1216" s="269">
        <v>20000.0</v>
      </c>
      <c r="H1216" s="270">
        <v>0.0</v>
      </c>
      <c r="I1216" s="269">
        <v>20000.0</v>
      </c>
      <c r="J1216" s="271">
        <v>20000.0</v>
      </c>
      <c r="K1216" s="272">
        <f t="shared" si="2"/>
        <v>0</v>
      </c>
      <c r="L1216" s="290"/>
      <c r="M1216" s="290"/>
      <c r="N1216" s="290"/>
    </row>
    <row r="1217" ht="26.25" customHeight="1">
      <c r="A1217" s="281" t="s">
        <v>2252</v>
      </c>
      <c r="B1217" s="264">
        <v>45938.0</v>
      </c>
      <c r="C1217" s="275" t="s">
        <v>965</v>
      </c>
      <c r="D1217" s="266" t="s">
        <v>1525</v>
      </c>
      <c r="E1217" s="267" t="s">
        <v>2253</v>
      </c>
      <c r="F1217" s="268"/>
      <c r="G1217" s="269">
        <v>113000.0</v>
      </c>
      <c r="H1217" s="270">
        <v>0.0</v>
      </c>
      <c r="I1217" s="269">
        <v>113000.0</v>
      </c>
      <c r="J1217" s="271">
        <v>113000.0</v>
      </c>
      <c r="K1217" s="272">
        <f t="shared" si="2"/>
        <v>0</v>
      </c>
      <c r="L1217" s="273"/>
      <c r="M1217" s="273"/>
      <c r="N1217" s="273"/>
    </row>
    <row r="1218" ht="26.25" customHeight="1">
      <c r="A1218" s="288" t="s">
        <v>2254</v>
      </c>
      <c r="B1218" s="264">
        <v>45939.0</v>
      </c>
      <c r="C1218" s="265" t="s">
        <v>965</v>
      </c>
      <c r="D1218" s="266" t="s">
        <v>980</v>
      </c>
      <c r="E1218" s="267" t="s">
        <v>980</v>
      </c>
      <c r="F1218" s="289"/>
      <c r="G1218" s="269">
        <v>120000.0</v>
      </c>
      <c r="H1218" s="270">
        <v>0.0</v>
      </c>
      <c r="I1218" s="269">
        <v>120000.0</v>
      </c>
      <c r="J1218" s="271">
        <v>120000.0</v>
      </c>
      <c r="K1218" s="272">
        <f t="shared" si="2"/>
        <v>0</v>
      </c>
      <c r="L1218" s="290"/>
      <c r="M1218" s="290"/>
      <c r="N1218" s="290"/>
    </row>
    <row r="1219" ht="26.25" customHeight="1">
      <c r="A1219" s="281" t="s">
        <v>279</v>
      </c>
      <c r="B1219" s="264">
        <v>45939.0</v>
      </c>
      <c r="C1219" s="275" t="s">
        <v>974</v>
      </c>
      <c r="D1219" s="266" t="s">
        <v>21</v>
      </c>
      <c r="E1219" s="267" t="s">
        <v>2255</v>
      </c>
      <c r="F1219" s="268"/>
      <c r="G1219" s="269">
        <v>49000.0</v>
      </c>
      <c r="H1219" s="270">
        <v>0.0</v>
      </c>
      <c r="I1219" s="269">
        <v>49000.0</v>
      </c>
      <c r="J1219" s="271">
        <v>49000.0</v>
      </c>
      <c r="K1219" s="272">
        <f t="shared" si="2"/>
        <v>0</v>
      </c>
      <c r="L1219" s="273"/>
      <c r="M1219" s="273"/>
      <c r="N1219" s="273"/>
    </row>
    <row r="1220" ht="26.25" customHeight="1">
      <c r="A1220" s="290"/>
      <c r="B1220" s="264">
        <v>45941.0</v>
      </c>
      <c r="C1220" s="265" t="s">
        <v>957</v>
      </c>
      <c r="D1220" s="266" t="s">
        <v>2256</v>
      </c>
      <c r="E1220" s="267" t="s">
        <v>2257</v>
      </c>
      <c r="F1220" s="289"/>
      <c r="G1220" s="269">
        <v>525000.0</v>
      </c>
      <c r="H1220" s="270">
        <v>0.0</v>
      </c>
      <c r="I1220" s="269">
        <v>525000.0</v>
      </c>
      <c r="J1220" s="271">
        <v>525000.0</v>
      </c>
      <c r="K1220" s="272">
        <f t="shared" si="2"/>
        <v>0</v>
      </c>
      <c r="L1220" s="290"/>
      <c r="M1220" s="290"/>
      <c r="N1220" s="290"/>
    </row>
    <row r="1221" ht="26.25" customHeight="1">
      <c r="A1221" s="290"/>
      <c r="B1221" s="264">
        <v>45941.0</v>
      </c>
      <c r="C1221" s="265" t="s">
        <v>1098</v>
      </c>
      <c r="D1221" s="266" t="s">
        <v>824</v>
      </c>
      <c r="E1221" s="267" t="s">
        <v>2258</v>
      </c>
      <c r="F1221" s="289"/>
      <c r="G1221" s="269">
        <v>380000.0</v>
      </c>
      <c r="H1221" s="270">
        <v>0.0</v>
      </c>
      <c r="I1221" s="269">
        <v>380000.0</v>
      </c>
      <c r="J1221" s="271">
        <v>380000.0</v>
      </c>
      <c r="K1221" s="272">
        <f t="shared" si="2"/>
        <v>0</v>
      </c>
      <c r="L1221" s="290"/>
      <c r="M1221" s="290"/>
      <c r="N1221" s="290"/>
    </row>
    <row r="1222" ht="26.25" customHeight="1">
      <c r="A1222" s="290"/>
      <c r="B1222" s="264">
        <v>45941.0</v>
      </c>
      <c r="C1222" s="265" t="s">
        <v>968</v>
      </c>
      <c r="D1222" s="266" t="s">
        <v>824</v>
      </c>
      <c r="E1222" s="267" t="s">
        <v>2259</v>
      </c>
      <c r="F1222" s="289"/>
      <c r="G1222" s="269">
        <v>147000.0</v>
      </c>
      <c r="H1222" s="270">
        <v>0.0</v>
      </c>
      <c r="I1222" s="269">
        <v>147000.0</v>
      </c>
      <c r="J1222" s="271">
        <v>147000.0</v>
      </c>
      <c r="K1222" s="272">
        <f t="shared" si="2"/>
        <v>0</v>
      </c>
      <c r="L1222" s="290"/>
      <c r="M1222" s="290"/>
      <c r="N1222" s="290"/>
    </row>
    <row r="1223" ht="26.25" customHeight="1">
      <c r="A1223" s="290"/>
      <c r="B1223" s="264">
        <v>45941.0</v>
      </c>
      <c r="C1223" s="265" t="s">
        <v>974</v>
      </c>
      <c r="D1223" s="266" t="s">
        <v>21</v>
      </c>
      <c r="E1223" s="267" t="s">
        <v>2260</v>
      </c>
      <c r="F1223" s="289"/>
      <c r="G1223" s="269">
        <v>35000.0</v>
      </c>
      <c r="H1223" s="270">
        <v>0.0</v>
      </c>
      <c r="I1223" s="269">
        <v>35000.0</v>
      </c>
      <c r="J1223" s="271">
        <v>35000.0</v>
      </c>
      <c r="K1223" s="272">
        <f t="shared" si="2"/>
        <v>0</v>
      </c>
      <c r="L1223" s="290"/>
      <c r="M1223" s="290"/>
      <c r="N1223" s="290"/>
    </row>
    <row r="1224" ht="26.25" customHeight="1">
      <c r="A1224" s="290"/>
      <c r="B1224" s="264">
        <v>45941.0</v>
      </c>
      <c r="C1224" s="265" t="s">
        <v>974</v>
      </c>
      <c r="D1224" s="266" t="s">
        <v>1029</v>
      </c>
      <c r="E1224" s="267" t="s">
        <v>2261</v>
      </c>
      <c r="F1224" s="289"/>
      <c r="G1224" s="269">
        <v>25000.0</v>
      </c>
      <c r="H1224" s="270">
        <v>0.0</v>
      </c>
      <c r="I1224" s="269">
        <v>25000.0</v>
      </c>
      <c r="J1224" s="271">
        <v>25000.0</v>
      </c>
      <c r="K1224" s="272">
        <f t="shared" si="2"/>
        <v>0</v>
      </c>
      <c r="L1224" s="290"/>
      <c r="M1224" s="290"/>
      <c r="N1224" s="290"/>
    </row>
    <row r="1225" ht="26.25" customHeight="1">
      <c r="A1225" s="290"/>
      <c r="B1225" s="264">
        <v>45941.0</v>
      </c>
      <c r="C1225" s="265" t="s">
        <v>974</v>
      </c>
      <c r="D1225" s="266" t="s">
        <v>1740</v>
      </c>
      <c r="E1225" s="267" t="s">
        <v>2262</v>
      </c>
      <c r="F1225" s="289"/>
      <c r="G1225" s="269">
        <v>25000.0</v>
      </c>
      <c r="H1225" s="270">
        <v>0.0</v>
      </c>
      <c r="I1225" s="269">
        <v>25000.0</v>
      </c>
      <c r="J1225" s="271">
        <v>25000.0</v>
      </c>
      <c r="K1225" s="272">
        <f t="shared" si="2"/>
        <v>0</v>
      </c>
      <c r="L1225" s="290"/>
      <c r="M1225" s="290"/>
      <c r="N1225" s="290"/>
    </row>
    <row r="1226" ht="26.25" customHeight="1">
      <c r="A1226" s="290"/>
      <c r="B1226" s="264">
        <v>45941.0</v>
      </c>
      <c r="C1226" s="265" t="s">
        <v>957</v>
      </c>
      <c r="D1226" s="266" t="s">
        <v>21</v>
      </c>
      <c r="E1226" s="267" t="s">
        <v>2263</v>
      </c>
      <c r="F1226" s="289"/>
      <c r="G1226" s="269">
        <v>15000.0</v>
      </c>
      <c r="H1226" s="270">
        <v>0.0</v>
      </c>
      <c r="I1226" s="269">
        <v>15000.0</v>
      </c>
      <c r="J1226" s="271">
        <v>15000.0</v>
      </c>
      <c r="K1226" s="272">
        <f t="shared" si="2"/>
        <v>0</v>
      </c>
      <c r="L1226" s="290"/>
      <c r="M1226" s="290"/>
      <c r="N1226" s="290"/>
    </row>
    <row r="1227" ht="26.25" customHeight="1">
      <c r="A1227" s="273"/>
      <c r="B1227" s="264">
        <v>45941.0</v>
      </c>
      <c r="C1227" s="275" t="s">
        <v>974</v>
      </c>
      <c r="D1227" s="266" t="s">
        <v>21</v>
      </c>
      <c r="E1227" s="267" t="s">
        <v>2264</v>
      </c>
      <c r="F1227" s="268"/>
      <c r="G1227" s="269">
        <v>10000.0</v>
      </c>
      <c r="H1227" s="270">
        <v>0.0</v>
      </c>
      <c r="I1227" s="269">
        <v>10000.0</v>
      </c>
      <c r="J1227" s="271">
        <v>10000.0</v>
      </c>
      <c r="K1227" s="272">
        <f t="shared" si="2"/>
        <v>0</v>
      </c>
      <c r="L1227" s="273"/>
      <c r="M1227" s="273"/>
      <c r="N1227" s="273"/>
    </row>
    <row r="1228" ht="26.25" customHeight="1">
      <c r="A1228" s="273"/>
      <c r="B1228" s="264">
        <v>45941.0</v>
      </c>
      <c r="C1228" s="275" t="s">
        <v>974</v>
      </c>
      <c r="D1228" s="266" t="s">
        <v>20</v>
      </c>
      <c r="E1228" s="267" t="s">
        <v>2265</v>
      </c>
      <c r="F1228" s="268"/>
      <c r="G1228" s="269">
        <v>10000.0</v>
      </c>
      <c r="H1228" s="270">
        <v>0.0</v>
      </c>
      <c r="I1228" s="269">
        <v>10000.0</v>
      </c>
      <c r="J1228" s="271">
        <v>10000.0</v>
      </c>
      <c r="K1228" s="272">
        <f t="shared" si="2"/>
        <v>0</v>
      </c>
      <c r="L1228" s="273"/>
      <c r="M1228" s="273"/>
      <c r="N1228" s="273"/>
    </row>
    <row r="1229" ht="26.25" customHeight="1">
      <c r="A1229" s="290"/>
      <c r="B1229" s="264">
        <v>45941.0</v>
      </c>
      <c r="C1229" s="265" t="s">
        <v>974</v>
      </c>
      <c r="D1229" s="266" t="s">
        <v>824</v>
      </c>
      <c r="E1229" s="267" t="s">
        <v>2266</v>
      </c>
      <c r="F1229" s="289"/>
      <c r="G1229" s="269">
        <v>5000.0</v>
      </c>
      <c r="H1229" s="270">
        <v>0.0</v>
      </c>
      <c r="I1229" s="269">
        <v>5000.0</v>
      </c>
      <c r="J1229" s="271">
        <v>5000.0</v>
      </c>
      <c r="K1229" s="272">
        <f t="shared" si="2"/>
        <v>0</v>
      </c>
      <c r="L1229" s="290"/>
      <c r="M1229" s="290"/>
      <c r="N1229" s="290"/>
    </row>
    <row r="1230" ht="26.25" customHeight="1">
      <c r="A1230" s="290"/>
      <c r="B1230" s="264">
        <v>45942.0</v>
      </c>
      <c r="C1230" s="265" t="s">
        <v>1057</v>
      </c>
      <c r="D1230" s="266" t="s">
        <v>2207</v>
      </c>
      <c r="E1230" s="267" t="s">
        <v>2267</v>
      </c>
      <c r="F1230" s="289"/>
      <c r="G1230" s="269">
        <v>255000.0</v>
      </c>
      <c r="H1230" s="270">
        <v>0.0</v>
      </c>
      <c r="I1230" s="269">
        <v>255000.0</v>
      </c>
      <c r="J1230" s="271">
        <v>255000.0</v>
      </c>
      <c r="K1230" s="272">
        <f t="shared" si="2"/>
        <v>0</v>
      </c>
      <c r="L1230" s="290"/>
      <c r="M1230" s="290"/>
      <c r="N1230" s="290"/>
    </row>
    <row r="1231" ht="26.25" customHeight="1">
      <c r="A1231" s="288" t="s">
        <v>2268</v>
      </c>
      <c r="B1231" s="264">
        <v>45942.0</v>
      </c>
      <c r="C1231" s="265" t="s">
        <v>965</v>
      </c>
      <c r="D1231" s="266" t="s">
        <v>980</v>
      </c>
      <c r="E1231" s="267" t="s">
        <v>2035</v>
      </c>
      <c r="F1231" s="289"/>
      <c r="G1231" s="269">
        <v>86000.0</v>
      </c>
      <c r="H1231" s="270">
        <v>0.0</v>
      </c>
      <c r="I1231" s="269">
        <v>86000.0</v>
      </c>
      <c r="J1231" s="271">
        <v>86000.0</v>
      </c>
      <c r="K1231" s="272">
        <f t="shared" si="2"/>
        <v>0</v>
      </c>
      <c r="L1231" s="290"/>
      <c r="M1231" s="290"/>
      <c r="N1231" s="290"/>
    </row>
    <row r="1232" ht="26.25" customHeight="1">
      <c r="A1232" s="288" t="s">
        <v>2269</v>
      </c>
      <c r="B1232" s="264">
        <v>45944.0</v>
      </c>
      <c r="C1232" s="265" t="s">
        <v>965</v>
      </c>
      <c r="D1232" s="266" t="s">
        <v>824</v>
      </c>
      <c r="E1232" s="267" t="s">
        <v>2035</v>
      </c>
      <c r="F1232" s="289"/>
      <c r="G1232" s="269">
        <v>977000.0</v>
      </c>
      <c r="H1232" s="270">
        <v>0.0</v>
      </c>
      <c r="I1232" s="269">
        <v>977000.0</v>
      </c>
      <c r="J1232" s="271">
        <v>977000.0</v>
      </c>
      <c r="K1232" s="272">
        <f t="shared" si="2"/>
        <v>0</v>
      </c>
      <c r="L1232" s="290"/>
      <c r="M1232" s="290"/>
      <c r="N1232" s="290"/>
    </row>
    <row r="1233" ht="26.25" customHeight="1">
      <c r="A1233" s="290"/>
      <c r="B1233" s="264">
        <v>45944.0</v>
      </c>
      <c r="C1233" s="265" t="s">
        <v>1057</v>
      </c>
      <c r="D1233" s="266" t="s">
        <v>31</v>
      </c>
      <c r="E1233" s="267" t="s">
        <v>2270</v>
      </c>
      <c r="F1233" s="289"/>
      <c r="G1233" s="269">
        <v>100000.0</v>
      </c>
      <c r="H1233" s="270">
        <v>0.0</v>
      </c>
      <c r="I1233" s="269">
        <v>100000.0</v>
      </c>
      <c r="J1233" s="271">
        <v>100000.0</v>
      </c>
      <c r="K1233" s="272">
        <f t="shared" si="2"/>
        <v>0</v>
      </c>
      <c r="L1233" s="290"/>
      <c r="M1233" s="290"/>
      <c r="N1233" s="290"/>
    </row>
    <row r="1234" ht="26.25" customHeight="1">
      <c r="A1234" s="281" t="s">
        <v>2271</v>
      </c>
      <c r="B1234" s="264">
        <v>45944.0</v>
      </c>
      <c r="C1234" s="275" t="s">
        <v>965</v>
      </c>
      <c r="D1234" s="266" t="s">
        <v>824</v>
      </c>
      <c r="E1234" s="267" t="s">
        <v>2272</v>
      </c>
      <c r="F1234" s="268"/>
      <c r="G1234" s="269">
        <v>81000.0</v>
      </c>
      <c r="H1234" s="270">
        <v>0.0</v>
      </c>
      <c r="I1234" s="269">
        <v>81000.0</v>
      </c>
      <c r="J1234" s="271">
        <v>81000.0</v>
      </c>
      <c r="K1234" s="272">
        <f t="shared" si="2"/>
        <v>0</v>
      </c>
      <c r="L1234" s="273"/>
      <c r="M1234" s="273"/>
      <c r="N1234" s="273"/>
    </row>
    <row r="1235" ht="26.25" customHeight="1">
      <c r="A1235" s="288" t="s">
        <v>2273</v>
      </c>
      <c r="B1235" s="264">
        <v>45946.0</v>
      </c>
      <c r="C1235" s="265" t="s">
        <v>965</v>
      </c>
      <c r="D1235" s="266" t="s">
        <v>824</v>
      </c>
      <c r="E1235" s="267" t="s">
        <v>2035</v>
      </c>
      <c r="F1235" s="289"/>
      <c r="G1235" s="269">
        <v>459000.0</v>
      </c>
      <c r="H1235" s="270">
        <v>0.0</v>
      </c>
      <c r="I1235" s="269">
        <v>459000.0</v>
      </c>
      <c r="J1235" s="271">
        <v>459000.0</v>
      </c>
      <c r="K1235" s="272">
        <f t="shared" si="2"/>
        <v>0</v>
      </c>
      <c r="L1235" s="290"/>
      <c r="M1235" s="290"/>
      <c r="N1235" s="290"/>
    </row>
    <row r="1236" ht="26.25" customHeight="1">
      <c r="A1236" s="290"/>
      <c r="B1236" s="264">
        <v>45946.0</v>
      </c>
      <c r="C1236" s="265" t="s">
        <v>1057</v>
      </c>
      <c r="D1236" s="266" t="s">
        <v>21</v>
      </c>
      <c r="E1236" s="267" t="s">
        <v>2274</v>
      </c>
      <c r="F1236" s="289"/>
      <c r="G1236" s="269">
        <v>30000.0</v>
      </c>
      <c r="H1236" s="270">
        <v>0.0</v>
      </c>
      <c r="I1236" s="269">
        <v>30000.0</v>
      </c>
      <c r="J1236" s="271">
        <v>30000.0</v>
      </c>
      <c r="K1236" s="272">
        <f t="shared" si="2"/>
        <v>0</v>
      </c>
      <c r="L1236" s="290"/>
      <c r="M1236" s="290"/>
      <c r="N1236" s="290"/>
    </row>
    <row r="1237" ht="26.25" customHeight="1">
      <c r="A1237" s="290"/>
      <c r="B1237" s="264">
        <v>45946.0</v>
      </c>
      <c r="C1237" s="265" t="s">
        <v>974</v>
      </c>
      <c r="D1237" s="266" t="s">
        <v>21</v>
      </c>
      <c r="E1237" s="267" t="s">
        <v>2275</v>
      </c>
      <c r="F1237" s="289"/>
      <c r="G1237" s="269">
        <v>25000.0</v>
      </c>
      <c r="H1237" s="270">
        <v>0.0</v>
      </c>
      <c r="I1237" s="269">
        <v>25000.0</v>
      </c>
      <c r="J1237" s="271">
        <v>25000.0</v>
      </c>
      <c r="K1237" s="272">
        <f t="shared" si="2"/>
        <v>0</v>
      </c>
      <c r="L1237" s="290"/>
      <c r="M1237" s="290"/>
      <c r="N1237" s="290"/>
    </row>
    <row r="1238" ht="26.25" customHeight="1">
      <c r="A1238" s="273"/>
      <c r="B1238" s="264">
        <v>45948.0</v>
      </c>
      <c r="C1238" s="275" t="s">
        <v>1057</v>
      </c>
      <c r="D1238" s="266" t="s">
        <v>824</v>
      </c>
      <c r="E1238" s="267" t="s">
        <v>2276</v>
      </c>
      <c r="F1238" s="268"/>
      <c r="G1238" s="269">
        <v>25000.0</v>
      </c>
      <c r="H1238" s="270">
        <v>0.0</v>
      </c>
      <c r="I1238" s="269">
        <v>25000.0</v>
      </c>
      <c r="J1238" s="271">
        <v>25000.0</v>
      </c>
      <c r="K1238" s="272">
        <f t="shared" si="2"/>
        <v>0</v>
      </c>
      <c r="L1238" s="273"/>
      <c r="M1238" s="273"/>
      <c r="N1238" s="273"/>
    </row>
    <row r="1239" ht="26.25" customHeight="1">
      <c r="A1239" s="273"/>
      <c r="B1239" s="264">
        <v>45948.0</v>
      </c>
      <c r="C1239" s="275" t="s">
        <v>974</v>
      </c>
      <c r="D1239" s="266" t="s">
        <v>21</v>
      </c>
      <c r="E1239" s="267" t="s">
        <v>1959</v>
      </c>
      <c r="F1239" s="268"/>
      <c r="G1239" s="269">
        <v>25000.0</v>
      </c>
      <c r="H1239" s="270">
        <v>0.0</v>
      </c>
      <c r="I1239" s="269">
        <v>25000.0</v>
      </c>
      <c r="J1239" s="271">
        <v>25000.0</v>
      </c>
      <c r="K1239" s="272">
        <f t="shared" si="2"/>
        <v>0</v>
      </c>
      <c r="L1239" s="273"/>
      <c r="M1239" s="273"/>
      <c r="N1239" s="273"/>
    </row>
    <row r="1240" ht="26.25" customHeight="1">
      <c r="A1240" s="273"/>
      <c r="B1240" s="264">
        <v>45948.0</v>
      </c>
      <c r="C1240" s="275" t="s">
        <v>1057</v>
      </c>
      <c r="D1240" s="266" t="s">
        <v>21</v>
      </c>
      <c r="E1240" s="267" t="s">
        <v>2277</v>
      </c>
      <c r="F1240" s="268"/>
      <c r="G1240" s="269">
        <v>11000.0</v>
      </c>
      <c r="H1240" s="270">
        <v>0.0</v>
      </c>
      <c r="I1240" s="269">
        <v>11000.0</v>
      </c>
      <c r="J1240" s="271">
        <v>11000.0</v>
      </c>
      <c r="K1240" s="272">
        <f t="shared" si="2"/>
        <v>0</v>
      </c>
      <c r="L1240" s="273"/>
      <c r="M1240" s="273"/>
      <c r="N1240" s="273"/>
    </row>
    <row r="1241" ht="26.25" customHeight="1">
      <c r="A1241" s="290"/>
      <c r="B1241" s="264">
        <v>45948.0</v>
      </c>
      <c r="C1241" s="265" t="s">
        <v>1057</v>
      </c>
      <c r="D1241" s="266" t="s">
        <v>824</v>
      </c>
      <c r="E1241" s="267" t="s">
        <v>2278</v>
      </c>
      <c r="F1241" s="289"/>
      <c r="G1241" s="269">
        <v>2000.0</v>
      </c>
      <c r="H1241" s="270">
        <v>0.0</v>
      </c>
      <c r="I1241" s="269">
        <v>2000.0</v>
      </c>
      <c r="J1241" s="271">
        <v>2000.0</v>
      </c>
      <c r="K1241" s="272">
        <f t="shared" si="2"/>
        <v>0</v>
      </c>
      <c r="L1241" s="290"/>
      <c r="M1241" s="290"/>
      <c r="N1241" s="290"/>
    </row>
    <row r="1242" ht="26.25" customHeight="1">
      <c r="A1242" s="288" t="s">
        <v>2279</v>
      </c>
      <c r="B1242" s="264">
        <v>45950.0</v>
      </c>
      <c r="C1242" s="265" t="s">
        <v>965</v>
      </c>
      <c r="D1242" s="266" t="s">
        <v>980</v>
      </c>
      <c r="E1242" s="267" t="s">
        <v>2280</v>
      </c>
      <c r="F1242" s="289"/>
      <c r="G1242" s="269">
        <v>209000.0</v>
      </c>
      <c r="H1242" s="270">
        <v>0.0</v>
      </c>
      <c r="I1242" s="269">
        <v>209000.0</v>
      </c>
      <c r="J1242" s="306">
        <v>209000.0</v>
      </c>
      <c r="K1242" s="272">
        <f t="shared" si="2"/>
        <v>0</v>
      </c>
      <c r="L1242" s="290"/>
      <c r="M1242" s="290"/>
      <c r="N1242" s="290"/>
    </row>
    <row r="1243" ht="26.25" customHeight="1">
      <c r="A1243" s="290"/>
      <c r="B1243" s="264">
        <v>45950.0</v>
      </c>
      <c r="C1243" s="265" t="s">
        <v>974</v>
      </c>
      <c r="D1243" s="266" t="s">
        <v>21</v>
      </c>
      <c r="E1243" s="267" t="s">
        <v>2281</v>
      </c>
      <c r="F1243" s="289"/>
      <c r="G1243" s="269">
        <v>30000.0</v>
      </c>
      <c r="H1243" s="270">
        <v>0.0</v>
      </c>
      <c r="I1243" s="269">
        <v>30000.0</v>
      </c>
      <c r="J1243" s="271">
        <v>30000.0</v>
      </c>
      <c r="K1243" s="272">
        <f t="shared" si="2"/>
        <v>0</v>
      </c>
      <c r="L1243" s="290"/>
      <c r="M1243" s="290"/>
      <c r="N1243" s="290"/>
    </row>
    <row r="1244" ht="26.25" customHeight="1">
      <c r="A1244" s="290"/>
      <c r="B1244" s="264">
        <v>45950.0</v>
      </c>
      <c r="C1244" s="265" t="s">
        <v>974</v>
      </c>
      <c r="D1244" s="266" t="s">
        <v>21</v>
      </c>
      <c r="E1244" s="267" t="s">
        <v>2282</v>
      </c>
      <c r="F1244" s="289"/>
      <c r="G1244" s="269">
        <v>5000.0</v>
      </c>
      <c r="H1244" s="270">
        <v>0.0</v>
      </c>
      <c r="I1244" s="269">
        <v>5000.0</v>
      </c>
      <c r="J1244" s="271">
        <v>5000.0</v>
      </c>
      <c r="K1244" s="272">
        <f t="shared" si="2"/>
        <v>0</v>
      </c>
      <c r="L1244" s="290"/>
      <c r="M1244" s="290"/>
      <c r="N1244" s="290"/>
    </row>
    <row r="1245" ht="26.25" customHeight="1">
      <c r="A1245" s="290"/>
      <c r="B1245" s="264">
        <v>45951.0</v>
      </c>
      <c r="C1245" s="301" t="s">
        <v>968</v>
      </c>
      <c r="D1245" s="299" t="s">
        <v>21</v>
      </c>
      <c r="E1245" s="267" t="s">
        <v>2283</v>
      </c>
      <c r="F1245" s="289"/>
      <c r="G1245" s="269">
        <v>20000.0</v>
      </c>
      <c r="H1245" s="270">
        <v>0.0</v>
      </c>
      <c r="I1245" s="269">
        <v>20000.0</v>
      </c>
      <c r="J1245" s="271">
        <v>20000.0</v>
      </c>
      <c r="K1245" s="272">
        <f t="shared" si="2"/>
        <v>0</v>
      </c>
      <c r="L1245" s="290"/>
      <c r="M1245" s="290"/>
      <c r="N1245" s="290"/>
    </row>
    <row r="1246" ht="26.25" customHeight="1">
      <c r="A1246" s="273"/>
      <c r="B1246" s="264">
        <v>45951.0</v>
      </c>
      <c r="C1246" s="275" t="s">
        <v>974</v>
      </c>
      <c r="D1246" s="266" t="s">
        <v>824</v>
      </c>
      <c r="E1246" s="267" t="s">
        <v>2284</v>
      </c>
      <c r="F1246" s="268"/>
      <c r="G1246" s="269">
        <v>10000.0</v>
      </c>
      <c r="H1246" s="270">
        <v>0.0</v>
      </c>
      <c r="I1246" s="269">
        <v>10000.0</v>
      </c>
      <c r="J1246" s="271">
        <v>10000.0</v>
      </c>
      <c r="K1246" s="272">
        <f t="shared" si="2"/>
        <v>0</v>
      </c>
      <c r="L1246" s="273"/>
      <c r="M1246" s="273"/>
      <c r="N1246" s="273"/>
    </row>
    <row r="1247" ht="26.25" customHeight="1">
      <c r="A1247" s="281" t="s">
        <v>2285</v>
      </c>
      <c r="B1247" s="264">
        <v>45952.0</v>
      </c>
      <c r="C1247" s="275" t="s">
        <v>965</v>
      </c>
      <c r="D1247" s="266" t="s">
        <v>980</v>
      </c>
      <c r="E1247" s="267" t="s">
        <v>2286</v>
      </c>
      <c r="F1247" s="268"/>
      <c r="G1247" s="269">
        <v>145000.0</v>
      </c>
      <c r="H1247" s="270">
        <v>0.0</v>
      </c>
      <c r="I1247" s="269">
        <v>145000.0</v>
      </c>
      <c r="J1247" s="306">
        <v>145000.0</v>
      </c>
      <c r="K1247" s="272">
        <f t="shared" si="2"/>
        <v>0</v>
      </c>
      <c r="L1247" s="273"/>
      <c r="M1247" s="273"/>
      <c r="N1247" s="273"/>
    </row>
    <row r="1248" ht="26.25" customHeight="1">
      <c r="A1248" s="273"/>
      <c r="B1248" s="264">
        <v>45952.0</v>
      </c>
      <c r="C1248" s="275" t="s">
        <v>974</v>
      </c>
      <c r="D1248" s="266" t="s">
        <v>824</v>
      </c>
      <c r="E1248" s="267" t="s">
        <v>2287</v>
      </c>
      <c r="F1248" s="268"/>
      <c r="G1248" s="269">
        <v>115000.0</v>
      </c>
      <c r="H1248" s="270">
        <v>0.0</v>
      </c>
      <c r="I1248" s="269">
        <v>115000.0</v>
      </c>
      <c r="J1248" s="271">
        <v>115000.0</v>
      </c>
      <c r="K1248" s="272">
        <f t="shared" si="2"/>
        <v>0</v>
      </c>
      <c r="L1248" s="273"/>
      <c r="M1248" s="273"/>
      <c r="N1248" s="273"/>
    </row>
    <row r="1249" ht="26.25" customHeight="1">
      <c r="A1249" s="273"/>
      <c r="B1249" s="264">
        <v>45953.0</v>
      </c>
      <c r="C1249" s="275" t="s">
        <v>974</v>
      </c>
      <c r="D1249" s="266" t="s">
        <v>21</v>
      </c>
      <c r="E1249" s="267" t="s">
        <v>2288</v>
      </c>
      <c r="F1249" s="268"/>
      <c r="G1249" s="269">
        <v>50000.0</v>
      </c>
      <c r="H1249" s="270">
        <v>0.0</v>
      </c>
      <c r="I1249" s="269">
        <v>50000.0</v>
      </c>
      <c r="J1249" s="271">
        <v>50000.0</v>
      </c>
      <c r="K1249" s="272">
        <f t="shared" si="2"/>
        <v>0</v>
      </c>
      <c r="L1249" s="273"/>
      <c r="M1249" s="273"/>
      <c r="N1249" s="273"/>
    </row>
    <row r="1250" ht="26.25" customHeight="1">
      <c r="A1250" s="290"/>
      <c r="B1250" s="264">
        <v>45953.0</v>
      </c>
      <c r="C1250" s="265" t="s">
        <v>974</v>
      </c>
      <c r="D1250" s="266" t="s">
        <v>31</v>
      </c>
      <c r="E1250" s="267" t="s">
        <v>1579</v>
      </c>
      <c r="F1250" s="289"/>
      <c r="G1250" s="269">
        <v>15000.0</v>
      </c>
      <c r="H1250" s="270">
        <v>0.0</v>
      </c>
      <c r="I1250" s="269">
        <v>15000.0</v>
      </c>
      <c r="J1250" s="271">
        <v>15000.0</v>
      </c>
      <c r="K1250" s="272">
        <f t="shared" si="2"/>
        <v>0</v>
      </c>
      <c r="L1250" s="290"/>
      <c r="M1250" s="290"/>
      <c r="N1250" s="290"/>
    </row>
    <row r="1251" ht="26.25" customHeight="1">
      <c r="A1251" s="290"/>
      <c r="B1251" s="264">
        <v>45953.0</v>
      </c>
      <c r="C1251" s="265" t="s">
        <v>974</v>
      </c>
      <c r="D1251" s="266" t="s">
        <v>21</v>
      </c>
      <c r="E1251" s="267" t="s">
        <v>2289</v>
      </c>
      <c r="F1251" s="289"/>
      <c r="G1251" s="269">
        <v>5000.0</v>
      </c>
      <c r="H1251" s="270">
        <v>0.0</v>
      </c>
      <c r="I1251" s="269">
        <v>5000.0</v>
      </c>
      <c r="J1251" s="271">
        <v>5000.0</v>
      </c>
      <c r="K1251" s="272">
        <f t="shared" si="2"/>
        <v>0</v>
      </c>
      <c r="L1251" s="290"/>
      <c r="M1251" s="290"/>
      <c r="N1251" s="290"/>
    </row>
    <row r="1252" ht="26.25" customHeight="1">
      <c r="A1252" s="273"/>
      <c r="B1252" s="264">
        <v>45956.0</v>
      </c>
      <c r="C1252" s="275" t="s">
        <v>974</v>
      </c>
      <c r="D1252" s="266" t="s">
        <v>21</v>
      </c>
      <c r="E1252" s="267" t="s">
        <v>1563</v>
      </c>
      <c r="F1252" s="268"/>
      <c r="G1252" s="269">
        <v>10000.0</v>
      </c>
      <c r="H1252" s="270">
        <v>0.0</v>
      </c>
      <c r="I1252" s="269">
        <v>10000.0</v>
      </c>
      <c r="J1252" s="271">
        <v>10000.0</v>
      </c>
      <c r="K1252" s="272">
        <f t="shared" si="2"/>
        <v>0</v>
      </c>
      <c r="L1252" s="273"/>
      <c r="M1252" s="273"/>
      <c r="N1252" s="273"/>
    </row>
    <row r="1253" ht="26.25" customHeight="1">
      <c r="A1253" s="273"/>
      <c r="B1253" s="264">
        <v>45957.0</v>
      </c>
      <c r="C1253" s="275" t="s">
        <v>974</v>
      </c>
      <c r="D1253" s="266" t="s">
        <v>45</v>
      </c>
      <c r="E1253" s="267" t="s">
        <v>2290</v>
      </c>
      <c r="F1253" s="268"/>
      <c r="G1253" s="269">
        <v>25000.0</v>
      </c>
      <c r="H1253" s="270">
        <v>0.0</v>
      </c>
      <c r="I1253" s="269">
        <v>25000.0</v>
      </c>
      <c r="J1253" s="271">
        <v>25000.0</v>
      </c>
      <c r="K1253" s="272">
        <f t="shared" si="2"/>
        <v>0</v>
      </c>
      <c r="L1253" s="273"/>
      <c r="M1253" s="273"/>
      <c r="N1253" s="273"/>
    </row>
    <row r="1254" ht="26.25" customHeight="1">
      <c r="A1254" s="273"/>
      <c r="B1254" s="264">
        <v>45962.0</v>
      </c>
      <c r="C1254" s="275" t="s">
        <v>1767</v>
      </c>
      <c r="D1254" s="266" t="s">
        <v>31</v>
      </c>
      <c r="E1254" s="267" t="s">
        <v>1768</v>
      </c>
      <c r="F1254" s="263">
        <v>1.0</v>
      </c>
      <c r="G1254" s="269">
        <v>2258333.0</v>
      </c>
      <c r="H1254" s="270">
        <v>0.0</v>
      </c>
      <c r="I1254" s="269">
        <v>2258333.0</v>
      </c>
      <c r="J1254" s="271">
        <v>2258333.0</v>
      </c>
      <c r="K1254" s="272">
        <f t="shared" si="2"/>
        <v>0</v>
      </c>
      <c r="L1254" s="273"/>
      <c r="M1254" s="273"/>
      <c r="N1254" s="273"/>
    </row>
    <row r="1255" ht="26.25" customHeight="1">
      <c r="A1255" s="281" t="s">
        <v>2291</v>
      </c>
      <c r="B1255" s="264">
        <v>45962.0</v>
      </c>
      <c r="C1255" s="275" t="s">
        <v>965</v>
      </c>
      <c r="D1255" s="266" t="s">
        <v>980</v>
      </c>
      <c r="E1255" s="267" t="s">
        <v>2292</v>
      </c>
      <c r="F1255" s="268"/>
      <c r="G1255" s="269">
        <v>45000.0</v>
      </c>
      <c r="H1255" s="270">
        <v>0.0</v>
      </c>
      <c r="I1255" s="269">
        <v>45000.0</v>
      </c>
      <c r="J1255" s="306">
        <v>45000.0</v>
      </c>
      <c r="K1255" s="272">
        <f t="shared" si="2"/>
        <v>0</v>
      </c>
      <c r="L1255" s="273"/>
      <c r="M1255" s="273"/>
      <c r="N1255" s="273"/>
    </row>
    <row r="1256" ht="26.25" customHeight="1">
      <c r="A1256" s="273"/>
      <c r="B1256" s="264">
        <v>45964.0</v>
      </c>
      <c r="C1256" s="275" t="s">
        <v>974</v>
      </c>
      <c r="D1256" s="266" t="s">
        <v>21</v>
      </c>
      <c r="E1256" s="267" t="s">
        <v>2293</v>
      </c>
      <c r="F1256" s="268"/>
      <c r="G1256" s="269">
        <v>600000.0</v>
      </c>
      <c r="H1256" s="270">
        <v>0.0</v>
      </c>
      <c r="I1256" s="269">
        <v>600000.0</v>
      </c>
      <c r="J1256" s="271">
        <v>600000.0</v>
      </c>
      <c r="K1256" s="272">
        <f t="shared" si="2"/>
        <v>0</v>
      </c>
      <c r="L1256" s="273"/>
      <c r="M1256" s="273"/>
      <c r="N1256" s="273"/>
    </row>
    <row r="1257" ht="26.25" customHeight="1">
      <c r="A1257" s="290"/>
      <c r="B1257" s="264">
        <v>45964.0</v>
      </c>
      <c r="C1257" s="265" t="s">
        <v>960</v>
      </c>
      <c r="D1257" s="266" t="s">
        <v>31</v>
      </c>
      <c r="E1257" s="267" t="s">
        <v>2294</v>
      </c>
      <c r="F1257" s="289"/>
      <c r="G1257" s="269">
        <v>25000.0</v>
      </c>
      <c r="H1257" s="270">
        <v>0.0</v>
      </c>
      <c r="I1257" s="269">
        <v>25000.0</v>
      </c>
      <c r="J1257" s="271">
        <v>25000.0</v>
      </c>
      <c r="K1257" s="272">
        <f t="shared" si="2"/>
        <v>0</v>
      </c>
      <c r="L1257" s="290"/>
      <c r="M1257" s="290"/>
      <c r="N1257" s="290"/>
    </row>
    <row r="1258" ht="26.25" customHeight="1">
      <c r="A1258" s="290"/>
      <c r="B1258" s="264">
        <v>45964.0</v>
      </c>
      <c r="C1258" s="265" t="s">
        <v>1856</v>
      </c>
      <c r="D1258" s="266" t="s">
        <v>31</v>
      </c>
      <c r="E1258" s="267" t="s">
        <v>2295</v>
      </c>
      <c r="F1258" s="289"/>
      <c r="G1258" s="269">
        <v>15000.0</v>
      </c>
      <c r="H1258" s="270">
        <v>0.0</v>
      </c>
      <c r="I1258" s="269">
        <v>15000.0</v>
      </c>
      <c r="J1258" s="271">
        <v>15000.0</v>
      </c>
      <c r="K1258" s="272">
        <f t="shared" si="2"/>
        <v>0</v>
      </c>
      <c r="L1258" s="290"/>
      <c r="M1258" s="290"/>
      <c r="N1258" s="290"/>
    </row>
    <row r="1259" ht="26.25" customHeight="1">
      <c r="A1259" s="273"/>
      <c r="B1259" s="264">
        <v>45964.0</v>
      </c>
      <c r="C1259" s="275" t="s">
        <v>974</v>
      </c>
      <c r="D1259" s="266" t="s">
        <v>824</v>
      </c>
      <c r="E1259" s="267" t="s">
        <v>2296</v>
      </c>
      <c r="F1259" s="268"/>
      <c r="G1259" s="269">
        <v>7500.0</v>
      </c>
      <c r="H1259" s="270">
        <v>0.0</v>
      </c>
      <c r="I1259" s="269">
        <v>7500.0</v>
      </c>
      <c r="J1259" s="271">
        <v>7500.0</v>
      </c>
      <c r="K1259" s="272">
        <f t="shared" si="2"/>
        <v>0</v>
      </c>
      <c r="L1259" s="273"/>
      <c r="M1259" s="273"/>
      <c r="N1259" s="273"/>
    </row>
    <row r="1260" ht="26.25" customHeight="1">
      <c r="A1260" s="281" t="s">
        <v>2297</v>
      </c>
      <c r="B1260" s="264">
        <v>45965.0</v>
      </c>
      <c r="C1260" s="275" t="s">
        <v>965</v>
      </c>
      <c r="D1260" s="266" t="s">
        <v>980</v>
      </c>
      <c r="E1260" s="267" t="s">
        <v>2298</v>
      </c>
      <c r="F1260" s="268"/>
      <c r="G1260" s="269">
        <v>178000.0</v>
      </c>
      <c r="H1260" s="270">
        <v>0.0</v>
      </c>
      <c r="I1260" s="269">
        <v>178000.0</v>
      </c>
      <c r="J1260" s="306">
        <v>178000.0</v>
      </c>
      <c r="K1260" s="272">
        <f t="shared" si="2"/>
        <v>0</v>
      </c>
      <c r="L1260" s="273"/>
      <c r="M1260" s="273"/>
      <c r="N1260" s="273"/>
    </row>
    <row r="1261" ht="26.25" customHeight="1">
      <c r="A1261" s="288" t="s">
        <v>2299</v>
      </c>
      <c r="B1261" s="264">
        <v>45965.0</v>
      </c>
      <c r="C1261" s="265" t="s">
        <v>965</v>
      </c>
      <c r="D1261" s="266" t="s">
        <v>824</v>
      </c>
      <c r="E1261" s="267" t="s">
        <v>2300</v>
      </c>
      <c r="F1261" s="289"/>
      <c r="G1261" s="307">
        <v>140000.0</v>
      </c>
      <c r="H1261" s="270">
        <v>0.0</v>
      </c>
      <c r="I1261" s="307">
        <v>140000.0</v>
      </c>
      <c r="J1261" s="308">
        <v>140000.0</v>
      </c>
      <c r="K1261" s="272">
        <f t="shared" si="2"/>
        <v>0</v>
      </c>
      <c r="L1261" s="290"/>
      <c r="M1261" s="290"/>
      <c r="N1261" s="290"/>
    </row>
    <row r="1262" ht="26.25" customHeight="1">
      <c r="A1262" s="288" t="s">
        <v>2301</v>
      </c>
      <c r="B1262" s="264">
        <v>45965.0</v>
      </c>
      <c r="C1262" s="265" t="s">
        <v>965</v>
      </c>
      <c r="D1262" s="266" t="s">
        <v>980</v>
      </c>
      <c r="E1262" s="267" t="s">
        <v>2302</v>
      </c>
      <c r="F1262" s="289"/>
      <c r="G1262" s="269">
        <v>88000.0</v>
      </c>
      <c r="H1262" s="270">
        <v>0.0</v>
      </c>
      <c r="I1262" s="269">
        <v>88000.0</v>
      </c>
      <c r="J1262" s="306">
        <v>88000.0</v>
      </c>
      <c r="K1262" s="272">
        <f t="shared" si="2"/>
        <v>0</v>
      </c>
      <c r="L1262" s="290"/>
      <c r="M1262" s="290"/>
      <c r="N1262" s="290"/>
    </row>
    <row r="1263" ht="26.25" customHeight="1">
      <c r="A1263" s="277" t="s">
        <v>2303</v>
      </c>
      <c r="B1263" s="264">
        <v>45965.0</v>
      </c>
      <c r="C1263" s="265" t="s">
        <v>968</v>
      </c>
      <c r="D1263" s="266" t="s">
        <v>824</v>
      </c>
      <c r="E1263" s="267" t="s">
        <v>1127</v>
      </c>
      <c r="F1263" s="289"/>
      <c r="G1263" s="269">
        <v>11250.0</v>
      </c>
      <c r="H1263" s="270">
        <v>0.0</v>
      </c>
      <c r="I1263" s="269">
        <v>11250.0</v>
      </c>
      <c r="J1263" s="271">
        <v>11250.0</v>
      </c>
      <c r="K1263" s="272">
        <f t="shared" si="2"/>
        <v>0</v>
      </c>
      <c r="L1263" s="290"/>
      <c r="M1263" s="290"/>
      <c r="N1263" s="290"/>
    </row>
    <row r="1264" ht="26.25" customHeight="1">
      <c r="A1264" s="290"/>
      <c r="B1264" s="264">
        <v>45965.0</v>
      </c>
      <c r="C1264" s="265" t="s">
        <v>965</v>
      </c>
      <c r="D1264" s="266" t="s">
        <v>824</v>
      </c>
      <c r="E1264" s="267" t="s">
        <v>2304</v>
      </c>
      <c r="F1264" s="289"/>
      <c r="G1264" s="307">
        <v>5000.0</v>
      </c>
      <c r="H1264" s="270">
        <v>0.0</v>
      </c>
      <c r="I1264" s="307">
        <v>5000.0</v>
      </c>
      <c r="J1264" s="308">
        <v>5000.0</v>
      </c>
      <c r="K1264" s="272">
        <f t="shared" si="2"/>
        <v>0</v>
      </c>
      <c r="L1264" s="290"/>
      <c r="M1264" s="290"/>
      <c r="N1264" s="290"/>
    </row>
    <row r="1265" ht="26.25" customHeight="1">
      <c r="A1265" s="288" t="s">
        <v>2305</v>
      </c>
      <c r="B1265" s="264">
        <v>45966.0</v>
      </c>
      <c r="C1265" s="265" t="s">
        <v>965</v>
      </c>
      <c r="D1265" s="266" t="s">
        <v>980</v>
      </c>
      <c r="E1265" s="267" t="s">
        <v>2306</v>
      </c>
      <c r="F1265" s="289"/>
      <c r="G1265" s="269">
        <v>120000.0</v>
      </c>
      <c r="H1265" s="270">
        <v>0.0</v>
      </c>
      <c r="I1265" s="269">
        <v>120000.0</v>
      </c>
      <c r="J1265" s="306">
        <v>120000.0</v>
      </c>
      <c r="K1265" s="272">
        <f t="shared" si="2"/>
        <v>0</v>
      </c>
      <c r="L1265" s="290"/>
      <c r="M1265" s="290"/>
      <c r="N1265" s="290"/>
    </row>
    <row r="1266" ht="26.25" customHeight="1">
      <c r="A1266" s="288" t="s">
        <v>2307</v>
      </c>
      <c r="B1266" s="264">
        <v>45966.0</v>
      </c>
      <c r="C1266" s="265" t="s">
        <v>965</v>
      </c>
      <c r="D1266" s="266" t="s">
        <v>824</v>
      </c>
      <c r="E1266" s="267" t="s">
        <v>1004</v>
      </c>
      <c r="F1266" s="289"/>
      <c r="G1266" s="269">
        <v>50000.0</v>
      </c>
      <c r="H1266" s="270">
        <v>0.0</v>
      </c>
      <c r="I1266" s="269">
        <v>50000.0</v>
      </c>
      <c r="J1266" s="271">
        <v>50000.0</v>
      </c>
      <c r="K1266" s="272">
        <f t="shared" si="2"/>
        <v>0</v>
      </c>
      <c r="L1266" s="290"/>
      <c r="M1266" s="290"/>
      <c r="N1266" s="290"/>
    </row>
    <row r="1267" ht="26.25" customHeight="1">
      <c r="A1267" s="273"/>
      <c r="B1267" s="264">
        <v>45967.0</v>
      </c>
      <c r="C1267" s="275" t="s">
        <v>968</v>
      </c>
      <c r="D1267" s="266" t="s">
        <v>824</v>
      </c>
      <c r="E1267" s="267" t="s">
        <v>2308</v>
      </c>
      <c r="F1267" s="268"/>
      <c r="G1267" s="307">
        <v>120000.0</v>
      </c>
      <c r="H1267" s="270">
        <v>0.0</v>
      </c>
      <c r="I1267" s="307">
        <v>120000.0</v>
      </c>
      <c r="J1267" s="308">
        <v>120000.0</v>
      </c>
      <c r="K1267" s="272">
        <f t="shared" si="2"/>
        <v>0</v>
      </c>
      <c r="L1267" s="273"/>
      <c r="M1267" s="273"/>
      <c r="N1267" s="273"/>
    </row>
    <row r="1268" ht="26.25" customHeight="1">
      <c r="A1268" s="273"/>
      <c r="B1268" s="264">
        <v>45967.0</v>
      </c>
      <c r="C1268" s="275" t="s">
        <v>1057</v>
      </c>
      <c r="D1268" s="266" t="s">
        <v>31</v>
      </c>
      <c r="E1268" s="267" t="s">
        <v>2309</v>
      </c>
      <c r="F1268" s="268"/>
      <c r="G1268" s="269">
        <v>40000.0</v>
      </c>
      <c r="H1268" s="270">
        <v>0.0</v>
      </c>
      <c r="I1268" s="269">
        <v>40000.0</v>
      </c>
      <c r="J1268" s="271">
        <v>40000.0</v>
      </c>
      <c r="K1268" s="272">
        <f t="shared" si="2"/>
        <v>0</v>
      </c>
      <c r="L1268" s="273"/>
      <c r="M1268" s="273"/>
      <c r="N1268" s="273"/>
    </row>
    <row r="1269" ht="26.25" customHeight="1">
      <c r="A1269" s="273"/>
      <c r="B1269" s="264">
        <v>45967.0</v>
      </c>
      <c r="C1269" s="275" t="s">
        <v>968</v>
      </c>
      <c r="D1269" s="266" t="s">
        <v>824</v>
      </c>
      <c r="E1269" s="267" t="s">
        <v>1603</v>
      </c>
      <c r="F1269" s="268"/>
      <c r="G1269" s="307">
        <v>10000.0</v>
      </c>
      <c r="H1269" s="270">
        <v>0.0</v>
      </c>
      <c r="I1269" s="307">
        <v>10000.0</v>
      </c>
      <c r="J1269" s="308">
        <v>10000.0</v>
      </c>
      <c r="K1269" s="272">
        <f t="shared" si="2"/>
        <v>0</v>
      </c>
      <c r="L1269" s="273"/>
      <c r="M1269" s="273"/>
      <c r="N1269" s="273"/>
    </row>
    <row r="1270" ht="26.25" customHeight="1">
      <c r="A1270" s="290"/>
      <c r="B1270" s="264">
        <v>45967.0</v>
      </c>
      <c r="C1270" s="265" t="s">
        <v>968</v>
      </c>
      <c r="D1270" s="266" t="s">
        <v>824</v>
      </c>
      <c r="E1270" s="267" t="s">
        <v>2310</v>
      </c>
      <c r="F1270" s="289"/>
      <c r="G1270" s="307">
        <v>1000.0</v>
      </c>
      <c r="H1270" s="270">
        <v>0.0</v>
      </c>
      <c r="I1270" s="307">
        <v>1000.0</v>
      </c>
      <c r="J1270" s="308">
        <v>1000.0</v>
      </c>
      <c r="K1270" s="272">
        <f t="shared" si="2"/>
        <v>0</v>
      </c>
      <c r="L1270" s="290"/>
      <c r="M1270" s="290"/>
      <c r="N1270" s="290"/>
    </row>
    <row r="1271" ht="26.25" customHeight="1">
      <c r="A1271" s="273"/>
      <c r="B1271" s="264">
        <v>45968.0</v>
      </c>
      <c r="C1271" s="275" t="s">
        <v>960</v>
      </c>
      <c r="D1271" s="266" t="s">
        <v>824</v>
      </c>
      <c r="E1271" s="267" t="s">
        <v>1019</v>
      </c>
      <c r="F1271" s="268"/>
      <c r="G1271" s="307">
        <v>75000.0</v>
      </c>
      <c r="H1271" s="270">
        <v>0.0</v>
      </c>
      <c r="I1271" s="307">
        <v>75000.0</v>
      </c>
      <c r="J1271" s="308">
        <v>75000.0</v>
      </c>
      <c r="K1271" s="272">
        <f t="shared" si="2"/>
        <v>0</v>
      </c>
      <c r="L1271" s="273"/>
      <c r="M1271" s="273"/>
      <c r="N1271" s="273"/>
    </row>
    <row r="1272" ht="26.25" customHeight="1">
      <c r="A1272" s="288" t="s">
        <v>2311</v>
      </c>
      <c r="B1272" s="264">
        <v>45973.0</v>
      </c>
      <c r="C1272" s="265" t="s">
        <v>921</v>
      </c>
      <c r="D1272" s="266" t="s">
        <v>922</v>
      </c>
      <c r="E1272" s="267" t="s">
        <v>923</v>
      </c>
      <c r="F1272" s="304" t="s">
        <v>924</v>
      </c>
      <c r="G1272" s="309">
        <v>176000.0</v>
      </c>
      <c r="H1272" s="310">
        <v>0.0</v>
      </c>
      <c r="I1272" s="311">
        <v>175000.0</v>
      </c>
      <c r="J1272" s="312">
        <v>176000.0</v>
      </c>
      <c r="K1272" s="272">
        <f t="shared" si="2"/>
        <v>0</v>
      </c>
      <c r="L1272" s="290"/>
      <c r="M1272" s="290"/>
      <c r="N1272" s="290"/>
    </row>
    <row r="1273" ht="26.25" customHeight="1">
      <c r="A1273" s="281" t="s">
        <v>2312</v>
      </c>
      <c r="B1273" s="264">
        <v>45973.0</v>
      </c>
      <c r="C1273" s="265" t="s">
        <v>921</v>
      </c>
      <c r="D1273" s="266" t="s">
        <v>933</v>
      </c>
      <c r="E1273" s="267" t="s">
        <v>934</v>
      </c>
      <c r="F1273" s="263">
        <v>1.0</v>
      </c>
      <c r="G1273" s="309">
        <v>50000.0</v>
      </c>
      <c r="H1273" s="313">
        <v>0.0</v>
      </c>
      <c r="I1273" s="309">
        <v>50000.0</v>
      </c>
      <c r="J1273" s="312">
        <v>50000.0</v>
      </c>
      <c r="K1273" s="272">
        <f t="shared" si="2"/>
        <v>0</v>
      </c>
      <c r="L1273" s="273"/>
      <c r="M1273" s="273"/>
      <c r="N1273" s="273"/>
    </row>
    <row r="1274" ht="26.25" customHeight="1">
      <c r="A1274" s="277" t="s">
        <v>2313</v>
      </c>
      <c r="B1274" s="264">
        <v>45973.0</v>
      </c>
      <c r="C1274" s="265" t="s">
        <v>921</v>
      </c>
      <c r="D1274" s="266" t="s">
        <v>27</v>
      </c>
      <c r="E1274" s="267" t="s">
        <v>925</v>
      </c>
      <c r="F1274" s="263" t="s">
        <v>926</v>
      </c>
      <c r="G1274" s="309">
        <v>14000.0</v>
      </c>
      <c r="H1274" s="313">
        <v>0.0</v>
      </c>
      <c r="I1274" s="309">
        <v>14000.0</v>
      </c>
      <c r="J1274" s="312">
        <v>14000.0</v>
      </c>
      <c r="K1274" s="272">
        <f t="shared" si="2"/>
        <v>0</v>
      </c>
      <c r="L1274" s="273"/>
      <c r="M1274" s="273"/>
      <c r="N1274" s="273"/>
    </row>
    <row r="1275" ht="26.25" customHeight="1">
      <c r="A1275" s="288" t="s">
        <v>2314</v>
      </c>
      <c r="B1275" s="264">
        <v>45973.0</v>
      </c>
      <c r="C1275" s="265" t="s">
        <v>921</v>
      </c>
      <c r="D1275" s="266" t="s">
        <v>930</v>
      </c>
      <c r="E1275" s="267" t="s">
        <v>931</v>
      </c>
      <c r="F1275" s="304" t="s">
        <v>932</v>
      </c>
      <c r="G1275" s="314">
        <v>3500.0</v>
      </c>
      <c r="H1275" s="313">
        <v>0.0</v>
      </c>
      <c r="I1275" s="314">
        <v>3500.0</v>
      </c>
      <c r="J1275" s="314">
        <v>3500.0</v>
      </c>
      <c r="K1275" s="272">
        <f t="shared" si="2"/>
        <v>0</v>
      </c>
      <c r="L1275" s="290"/>
      <c r="M1275" s="290"/>
      <c r="N1275" s="290"/>
    </row>
    <row r="1276" ht="26.25" customHeight="1">
      <c r="A1276" s="290"/>
      <c r="B1276" s="264">
        <v>45974.0</v>
      </c>
      <c r="C1276" s="265" t="s">
        <v>968</v>
      </c>
      <c r="D1276" s="266" t="s">
        <v>31</v>
      </c>
      <c r="E1276" s="267" t="s">
        <v>2315</v>
      </c>
      <c r="F1276" s="304">
        <v>1.0</v>
      </c>
      <c r="G1276" s="307">
        <v>200000.0</v>
      </c>
      <c r="H1276" s="315">
        <v>0.0</v>
      </c>
      <c r="I1276" s="307">
        <v>200000.0</v>
      </c>
      <c r="J1276" s="308">
        <v>200000.0</v>
      </c>
      <c r="K1276" s="272">
        <f t="shared" si="2"/>
        <v>0</v>
      </c>
      <c r="L1276" s="290"/>
      <c r="M1276" s="290"/>
      <c r="N1276" s="290"/>
    </row>
    <row r="1277" ht="26.25" customHeight="1">
      <c r="A1277" s="290"/>
      <c r="B1277" s="264">
        <v>45974.0</v>
      </c>
      <c r="C1277" s="265" t="s">
        <v>974</v>
      </c>
      <c r="D1277" s="266" t="s">
        <v>31</v>
      </c>
      <c r="E1277" s="267" t="s">
        <v>2316</v>
      </c>
      <c r="F1277" s="304">
        <v>1.0</v>
      </c>
      <c r="G1277" s="307">
        <v>200000.0</v>
      </c>
      <c r="H1277" s="315">
        <v>0.0</v>
      </c>
      <c r="I1277" s="307">
        <v>200000.0</v>
      </c>
      <c r="J1277" s="308">
        <v>200000.0</v>
      </c>
      <c r="K1277" s="272">
        <f t="shared" si="2"/>
        <v>0</v>
      </c>
      <c r="L1277" s="290"/>
      <c r="M1277" s="290"/>
      <c r="N1277" s="290"/>
    </row>
    <row r="1278" ht="26.25" customHeight="1">
      <c r="A1278" s="290"/>
      <c r="B1278" s="264">
        <v>45974.0</v>
      </c>
      <c r="C1278" s="265" t="s">
        <v>1057</v>
      </c>
      <c r="D1278" s="266" t="s">
        <v>31</v>
      </c>
      <c r="E1278" s="267" t="s">
        <v>2317</v>
      </c>
      <c r="F1278" s="304">
        <v>1.0</v>
      </c>
      <c r="G1278" s="307">
        <v>60000.0</v>
      </c>
      <c r="H1278" s="315">
        <v>0.0</v>
      </c>
      <c r="I1278" s="307">
        <v>60000.0</v>
      </c>
      <c r="J1278" s="308">
        <v>60000.0</v>
      </c>
      <c r="K1278" s="272">
        <f t="shared" si="2"/>
        <v>0</v>
      </c>
      <c r="L1278" s="290"/>
      <c r="M1278" s="290"/>
      <c r="N1278" s="290"/>
    </row>
    <row r="1279" ht="26.25" customHeight="1">
      <c r="A1279" s="290"/>
      <c r="B1279" s="264">
        <v>45974.0</v>
      </c>
      <c r="C1279" s="265" t="s">
        <v>960</v>
      </c>
      <c r="D1279" s="266" t="s">
        <v>31</v>
      </c>
      <c r="E1279" s="267" t="s">
        <v>2318</v>
      </c>
      <c r="F1279" s="304">
        <v>1.0</v>
      </c>
      <c r="G1279" s="307">
        <v>30000.0</v>
      </c>
      <c r="H1279" s="315">
        <v>0.0</v>
      </c>
      <c r="I1279" s="307">
        <v>30000.0</v>
      </c>
      <c r="J1279" s="308">
        <v>30000.0</v>
      </c>
      <c r="K1279" s="272">
        <f t="shared" si="2"/>
        <v>0</v>
      </c>
      <c r="L1279" s="290"/>
      <c r="M1279" s="290"/>
      <c r="N1279" s="290"/>
    </row>
    <row r="1280" ht="26.25" customHeight="1">
      <c r="A1280" s="290"/>
      <c r="B1280" s="264">
        <v>45974.0</v>
      </c>
      <c r="C1280" s="265" t="s">
        <v>974</v>
      </c>
      <c r="D1280" s="266" t="s">
        <v>31</v>
      </c>
      <c r="E1280" s="267" t="s">
        <v>2319</v>
      </c>
      <c r="F1280" s="304">
        <v>1.0</v>
      </c>
      <c r="G1280" s="307">
        <v>27000.0</v>
      </c>
      <c r="H1280" s="315">
        <v>0.0</v>
      </c>
      <c r="I1280" s="307">
        <v>27000.0</v>
      </c>
      <c r="J1280" s="308">
        <v>27000.0</v>
      </c>
      <c r="K1280" s="272">
        <f t="shared" si="2"/>
        <v>0</v>
      </c>
      <c r="L1280" s="290"/>
      <c r="M1280" s="290"/>
      <c r="N1280" s="290"/>
    </row>
    <row r="1281" ht="26.25" customHeight="1">
      <c r="A1281" s="290"/>
      <c r="B1281" s="264">
        <v>45974.0</v>
      </c>
      <c r="C1281" s="265" t="s">
        <v>968</v>
      </c>
      <c r="D1281" s="266" t="s">
        <v>31</v>
      </c>
      <c r="E1281" s="267" t="s">
        <v>2320</v>
      </c>
      <c r="F1281" s="304">
        <v>1.0</v>
      </c>
      <c r="G1281" s="307">
        <v>15000.0</v>
      </c>
      <c r="H1281" s="315">
        <v>0.0</v>
      </c>
      <c r="I1281" s="307">
        <v>15000.0</v>
      </c>
      <c r="J1281" s="308">
        <v>15000.0</v>
      </c>
      <c r="K1281" s="272">
        <f t="shared" si="2"/>
        <v>0</v>
      </c>
      <c r="L1281" s="290"/>
      <c r="M1281" s="290"/>
      <c r="N1281" s="290"/>
    </row>
    <row r="1282" ht="26.25" customHeight="1">
      <c r="A1282" s="290"/>
      <c r="B1282" s="264">
        <v>45977.0</v>
      </c>
      <c r="C1282" s="280"/>
      <c r="D1282" s="266" t="s">
        <v>31</v>
      </c>
      <c r="E1282" s="267" t="s">
        <v>2321</v>
      </c>
      <c r="F1282" s="304">
        <v>1.0</v>
      </c>
      <c r="G1282" s="307">
        <v>835000.0</v>
      </c>
      <c r="H1282" s="315">
        <v>0.0</v>
      </c>
      <c r="I1282" s="307">
        <v>835000.0</v>
      </c>
      <c r="J1282" s="308">
        <v>835000.0</v>
      </c>
      <c r="K1282" s="272">
        <f t="shared" si="2"/>
        <v>0</v>
      </c>
      <c r="L1282" s="290"/>
      <c r="M1282" s="290"/>
      <c r="N1282" s="290"/>
    </row>
    <row r="1283" ht="26.25" customHeight="1">
      <c r="A1283" s="274"/>
      <c r="B1283" s="264">
        <v>45977.0</v>
      </c>
      <c r="C1283" s="280"/>
      <c r="D1283" s="266" t="s">
        <v>31</v>
      </c>
      <c r="E1283" s="267" t="s">
        <v>2322</v>
      </c>
      <c r="F1283" s="304">
        <v>1.0</v>
      </c>
      <c r="G1283" s="307">
        <v>160000.0</v>
      </c>
      <c r="H1283" s="315">
        <v>0.0</v>
      </c>
      <c r="I1283" s="307">
        <v>160000.0</v>
      </c>
      <c r="J1283" s="308">
        <v>160000.0</v>
      </c>
      <c r="K1283" s="272">
        <f t="shared" si="2"/>
        <v>0</v>
      </c>
      <c r="L1283" s="290"/>
      <c r="M1283" s="290"/>
      <c r="N1283" s="290"/>
    </row>
    <row r="1284" ht="26.25" customHeight="1">
      <c r="A1284" s="274"/>
      <c r="B1284" s="264">
        <v>45977.0</v>
      </c>
      <c r="C1284" s="280"/>
      <c r="D1284" s="266" t="s">
        <v>31</v>
      </c>
      <c r="E1284" s="267" t="s">
        <v>2323</v>
      </c>
      <c r="F1284" s="304">
        <v>1.0</v>
      </c>
      <c r="G1284" s="307">
        <v>100000.0</v>
      </c>
      <c r="H1284" s="315">
        <v>0.0</v>
      </c>
      <c r="I1284" s="307">
        <v>100000.0</v>
      </c>
      <c r="J1284" s="308">
        <v>100000.0</v>
      </c>
      <c r="K1284" s="272">
        <f t="shared" si="2"/>
        <v>0</v>
      </c>
      <c r="L1284" s="290"/>
      <c r="M1284" s="290"/>
      <c r="N1284" s="290"/>
    </row>
    <row r="1285" ht="26.25" customHeight="1">
      <c r="A1285" s="290"/>
      <c r="B1285" s="264">
        <v>45977.0</v>
      </c>
      <c r="C1285" s="275"/>
      <c r="D1285" s="266" t="s">
        <v>31</v>
      </c>
      <c r="E1285" s="267" t="s">
        <v>2324</v>
      </c>
      <c r="F1285" s="304">
        <v>1.0</v>
      </c>
      <c r="G1285" s="307">
        <v>25000.0</v>
      </c>
      <c r="H1285" s="315">
        <v>0.0</v>
      </c>
      <c r="I1285" s="307">
        <v>25000.0</v>
      </c>
      <c r="J1285" s="308">
        <v>25000.0</v>
      </c>
      <c r="K1285" s="272">
        <f t="shared" si="2"/>
        <v>0</v>
      </c>
      <c r="L1285" s="290"/>
      <c r="M1285" s="290"/>
      <c r="N1285" s="290"/>
    </row>
    <row r="1286" ht="26.25" customHeight="1">
      <c r="A1286" s="274"/>
      <c r="B1286" s="264">
        <v>45977.0</v>
      </c>
      <c r="C1286" s="280"/>
      <c r="D1286" s="266" t="s">
        <v>31</v>
      </c>
      <c r="E1286" s="267" t="s">
        <v>2325</v>
      </c>
      <c r="F1286" s="304">
        <v>1.0</v>
      </c>
      <c r="G1286" s="307">
        <v>15000.0</v>
      </c>
      <c r="H1286" s="315">
        <v>0.0</v>
      </c>
      <c r="I1286" s="307">
        <v>15000.0</v>
      </c>
      <c r="J1286" s="308">
        <v>15000.0</v>
      </c>
      <c r="K1286" s="272">
        <f t="shared" si="2"/>
        <v>0</v>
      </c>
      <c r="L1286" s="290"/>
      <c r="M1286" s="290"/>
      <c r="N1286" s="290"/>
    </row>
    <row r="1287" ht="26.25" customHeight="1">
      <c r="A1287" s="290"/>
      <c r="B1287" s="264">
        <v>45977.0</v>
      </c>
      <c r="C1287" s="280"/>
      <c r="D1287" s="266" t="s">
        <v>31</v>
      </c>
      <c r="E1287" s="267" t="s">
        <v>2326</v>
      </c>
      <c r="F1287" s="304">
        <v>1.0</v>
      </c>
      <c r="G1287" s="307">
        <v>10000.0</v>
      </c>
      <c r="H1287" s="315">
        <v>0.0</v>
      </c>
      <c r="I1287" s="307">
        <v>10000.0</v>
      </c>
      <c r="J1287" s="308">
        <v>10000.0</v>
      </c>
      <c r="K1287" s="272">
        <f t="shared" si="2"/>
        <v>0</v>
      </c>
      <c r="L1287" s="290"/>
      <c r="M1287" s="290"/>
      <c r="N1287" s="290"/>
    </row>
    <row r="1288" ht="26.25" customHeight="1">
      <c r="A1288" s="290"/>
      <c r="B1288" s="264">
        <v>45978.0</v>
      </c>
      <c r="C1288" s="280"/>
      <c r="D1288" s="266" t="s">
        <v>31</v>
      </c>
      <c r="E1288" s="267" t="s">
        <v>2327</v>
      </c>
      <c r="F1288" s="289"/>
      <c r="G1288" s="307">
        <v>150000.0</v>
      </c>
      <c r="H1288" s="315">
        <v>0.0</v>
      </c>
      <c r="I1288" s="307">
        <v>150000.0</v>
      </c>
      <c r="J1288" s="308">
        <v>150000.0</v>
      </c>
      <c r="K1288" s="272">
        <f t="shared" si="2"/>
        <v>0</v>
      </c>
      <c r="L1288" s="290"/>
      <c r="M1288" s="290"/>
      <c r="N1288" s="290"/>
    </row>
    <row r="1289" ht="26.25" customHeight="1">
      <c r="A1289" s="290"/>
      <c r="B1289" s="264">
        <v>45978.0</v>
      </c>
      <c r="C1289" s="280"/>
      <c r="D1289" s="266" t="s">
        <v>31</v>
      </c>
      <c r="E1289" s="267" t="s">
        <v>2328</v>
      </c>
      <c r="F1289" s="304">
        <v>1.0</v>
      </c>
      <c r="G1289" s="307">
        <v>50000.0</v>
      </c>
      <c r="H1289" s="315">
        <v>0.0</v>
      </c>
      <c r="I1289" s="307">
        <v>50000.0</v>
      </c>
      <c r="J1289" s="308">
        <v>50000.0</v>
      </c>
      <c r="K1289" s="272">
        <f t="shared" si="2"/>
        <v>0</v>
      </c>
      <c r="L1289" s="290"/>
      <c r="M1289" s="290"/>
      <c r="N1289" s="290"/>
    </row>
    <row r="1290" ht="26.25" customHeight="1">
      <c r="A1290" s="290"/>
      <c r="B1290" s="264">
        <v>45978.0</v>
      </c>
      <c r="C1290" s="280"/>
      <c r="D1290" s="266" t="s">
        <v>31</v>
      </c>
      <c r="E1290" s="267" t="s">
        <v>2329</v>
      </c>
      <c r="F1290" s="289"/>
      <c r="G1290" s="307">
        <v>50000.0</v>
      </c>
      <c r="H1290" s="315">
        <v>0.0</v>
      </c>
      <c r="I1290" s="307">
        <v>50000.0</v>
      </c>
      <c r="J1290" s="308">
        <v>50000.0</v>
      </c>
      <c r="K1290" s="272">
        <f t="shared" si="2"/>
        <v>0</v>
      </c>
      <c r="L1290" s="290"/>
      <c r="M1290" s="290"/>
      <c r="N1290" s="290"/>
    </row>
    <row r="1291" ht="26.25" customHeight="1">
      <c r="A1291" s="290"/>
      <c r="B1291" s="264">
        <v>45980.0</v>
      </c>
      <c r="C1291" s="280"/>
      <c r="D1291" s="266" t="s">
        <v>31</v>
      </c>
      <c r="E1291" s="267" t="s">
        <v>2330</v>
      </c>
      <c r="F1291" s="289"/>
      <c r="G1291" s="307">
        <v>1050000.0</v>
      </c>
      <c r="H1291" s="315">
        <v>0.0</v>
      </c>
      <c r="I1291" s="307">
        <v>1050000.0</v>
      </c>
      <c r="J1291" s="308">
        <v>1050000.0</v>
      </c>
      <c r="K1291" s="272">
        <f t="shared" si="2"/>
        <v>0</v>
      </c>
      <c r="L1291" s="290"/>
      <c r="M1291" s="290"/>
      <c r="N1291" s="290"/>
    </row>
    <row r="1292" ht="26.25" customHeight="1">
      <c r="A1292" s="290"/>
      <c r="B1292" s="264">
        <v>45980.0</v>
      </c>
      <c r="C1292" s="280"/>
      <c r="D1292" s="266" t="s">
        <v>31</v>
      </c>
      <c r="E1292" s="267" t="s">
        <v>2331</v>
      </c>
      <c r="F1292" s="289"/>
      <c r="G1292" s="307">
        <v>655000.0</v>
      </c>
      <c r="H1292" s="315">
        <v>0.0</v>
      </c>
      <c r="I1292" s="307">
        <v>655000.0</v>
      </c>
      <c r="J1292" s="308">
        <v>655000.0</v>
      </c>
      <c r="K1292" s="272">
        <f t="shared" si="2"/>
        <v>0</v>
      </c>
      <c r="L1292" s="290"/>
      <c r="M1292" s="290"/>
      <c r="N1292" s="290"/>
    </row>
    <row r="1293" ht="26.25" customHeight="1">
      <c r="A1293" s="290"/>
      <c r="B1293" s="264">
        <v>45980.0</v>
      </c>
      <c r="C1293" s="280"/>
      <c r="D1293" s="266" t="s">
        <v>31</v>
      </c>
      <c r="E1293" s="267" t="s">
        <v>2332</v>
      </c>
      <c r="F1293" s="289"/>
      <c r="G1293" s="307">
        <v>250000.0</v>
      </c>
      <c r="H1293" s="315">
        <v>0.0</v>
      </c>
      <c r="I1293" s="307">
        <v>250000.0</v>
      </c>
      <c r="J1293" s="308">
        <v>250000.0</v>
      </c>
      <c r="K1293" s="272">
        <f t="shared" si="2"/>
        <v>0</v>
      </c>
      <c r="L1293" s="290"/>
      <c r="M1293" s="290"/>
      <c r="N1293" s="290"/>
    </row>
    <row r="1294" ht="26.25" customHeight="1">
      <c r="A1294" s="290"/>
      <c r="B1294" s="264">
        <v>45980.0</v>
      </c>
      <c r="C1294" s="280"/>
      <c r="D1294" s="266" t="s">
        <v>31</v>
      </c>
      <c r="E1294" s="267" t="s">
        <v>2333</v>
      </c>
      <c r="F1294" s="289"/>
      <c r="G1294" s="307">
        <v>30000.0</v>
      </c>
      <c r="H1294" s="315">
        <v>0.0</v>
      </c>
      <c r="I1294" s="307">
        <v>30000.0</v>
      </c>
      <c r="J1294" s="308">
        <v>30000.0</v>
      </c>
      <c r="K1294" s="272">
        <f t="shared" si="2"/>
        <v>0</v>
      </c>
      <c r="L1294" s="290"/>
      <c r="M1294" s="290"/>
      <c r="N1294" s="290"/>
    </row>
    <row r="1295" ht="26.25" customHeight="1">
      <c r="A1295" s="273"/>
      <c r="B1295" s="264">
        <v>45980.0</v>
      </c>
      <c r="C1295" s="275"/>
      <c r="D1295" s="266" t="s">
        <v>31</v>
      </c>
      <c r="E1295" s="267" t="s">
        <v>2334</v>
      </c>
      <c r="F1295" s="268"/>
      <c r="G1295" s="307">
        <v>20000.0</v>
      </c>
      <c r="H1295" s="315">
        <v>0.0</v>
      </c>
      <c r="I1295" s="307">
        <v>20000.0</v>
      </c>
      <c r="J1295" s="308">
        <v>20000.0</v>
      </c>
      <c r="K1295" s="272">
        <f t="shared" si="2"/>
        <v>0</v>
      </c>
      <c r="L1295" s="273"/>
      <c r="M1295" s="273"/>
      <c r="N1295" s="273"/>
    </row>
    <row r="1296" ht="26.25" customHeight="1">
      <c r="A1296" s="273"/>
      <c r="B1296" s="264">
        <v>45980.0</v>
      </c>
      <c r="C1296" s="275"/>
      <c r="D1296" s="266" t="s">
        <v>31</v>
      </c>
      <c r="E1296" s="267" t="s">
        <v>2325</v>
      </c>
      <c r="F1296" s="268"/>
      <c r="G1296" s="307">
        <v>10000.0</v>
      </c>
      <c r="H1296" s="315">
        <v>0.0</v>
      </c>
      <c r="I1296" s="307">
        <v>10000.0</v>
      </c>
      <c r="J1296" s="308">
        <v>10000.0</v>
      </c>
      <c r="K1296" s="272">
        <f t="shared" si="2"/>
        <v>0</v>
      </c>
      <c r="L1296" s="273"/>
      <c r="M1296" s="273"/>
      <c r="N1296" s="273"/>
    </row>
    <row r="1297" ht="26.25" customHeight="1">
      <c r="A1297" s="290"/>
      <c r="B1297" s="264">
        <v>45980.0</v>
      </c>
      <c r="C1297" s="280"/>
      <c r="D1297" s="266" t="s">
        <v>31</v>
      </c>
      <c r="E1297" s="267" t="s">
        <v>2335</v>
      </c>
      <c r="F1297" s="289"/>
      <c r="G1297" s="307">
        <v>10000.0</v>
      </c>
      <c r="H1297" s="315">
        <v>0.0</v>
      </c>
      <c r="I1297" s="307">
        <v>10000.0</v>
      </c>
      <c r="J1297" s="308">
        <v>10000.0</v>
      </c>
      <c r="K1297" s="272">
        <f t="shared" si="2"/>
        <v>0</v>
      </c>
      <c r="L1297" s="290"/>
      <c r="M1297" s="290"/>
      <c r="N1297" s="290"/>
    </row>
    <row r="1298" ht="26.25" customHeight="1">
      <c r="A1298" s="274"/>
      <c r="B1298" s="264">
        <v>45981.0</v>
      </c>
      <c r="C1298" s="280"/>
      <c r="D1298" s="266" t="s">
        <v>31</v>
      </c>
      <c r="E1298" s="267" t="s">
        <v>2336</v>
      </c>
      <c r="F1298" s="289"/>
      <c r="G1298" s="307">
        <v>95000.0</v>
      </c>
      <c r="H1298" s="315">
        <v>0.0</v>
      </c>
      <c r="I1298" s="307">
        <v>95000.0</v>
      </c>
      <c r="J1298" s="308">
        <v>95000.0</v>
      </c>
      <c r="K1298" s="272">
        <f t="shared" si="2"/>
        <v>0</v>
      </c>
      <c r="L1298" s="290"/>
      <c r="M1298" s="290"/>
      <c r="N1298" s="290"/>
    </row>
    <row r="1299" ht="26.25" customHeight="1">
      <c r="A1299" s="290"/>
      <c r="B1299" s="264">
        <v>45981.0</v>
      </c>
      <c r="C1299" s="280"/>
      <c r="D1299" s="266" t="s">
        <v>31</v>
      </c>
      <c r="E1299" s="267" t="s">
        <v>2337</v>
      </c>
      <c r="F1299" s="289"/>
      <c r="G1299" s="307">
        <v>12000.0</v>
      </c>
      <c r="H1299" s="315">
        <v>0.0</v>
      </c>
      <c r="I1299" s="307">
        <v>12000.0</v>
      </c>
      <c r="J1299" s="308">
        <v>12000.0</v>
      </c>
      <c r="K1299" s="272">
        <f t="shared" si="2"/>
        <v>0</v>
      </c>
      <c r="L1299" s="290"/>
      <c r="M1299" s="290"/>
      <c r="N1299" s="290"/>
    </row>
    <row r="1300" ht="26.25" customHeight="1">
      <c r="A1300" s="273"/>
      <c r="B1300" s="264">
        <v>45981.0</v>
      </c>
      <c r="C1300" s="275"/>
      <c r="D1300" s="266" t="s">
        <v>31</v>
      </c>
      <c r="E1300" s="267" t="s">
        <v>2338</v>
      </c>
      <c r="F1300" s="268"/>
      <c r="G1300" s="307">
        <v>10000.0</v>
      </c>
      <c r="H1300" s="315">
        <v>0.0</v>
      </c>
      <c r="I1300" s="307">
        <v>10000.0</v>
      </c>
      <c r="J1300" s="308">
        <v>10000.0</v>
      </c>
      <c r="K1300" s="272">
        <f t="shared" si="2"/>
        <v>0</v>
      </c>
      <c r="L1300" s="273"/>
      <c r="M1300" s="273"/>
      <c r="N1300" s="273"/>
    </row>
    <row r="1301" ht="26.25" customHeight="1">
      <c r="A1301" s="273"/>
      <c r="B1301" s="264">
        <v>45981.0</v>
      </c>
      <c r="C1301" s="275"/>
      <c r="D1301" s="266" t="s">
        <v>31</v>
      </c>
      <c r="E1301" s="267" t="s">
        <v>2339</v>
      </c>
      <c r="F1301" s="268"/>
      <c r="G1301" s="307">
        <v>5000.0</v>
      </c>
      <c r="H1301" s="315">
        <v>0.0</v>
      </c>
      <c r="I1301" s="307">
        <v>5000.0</v>
      </c>
      <c r="J1301" s="308">
        <v>5000.0</v>
      </c>
      <c r="K1301" s="272">
        <f t="shared" si="2"/>
        <v>0</v>
      </c>
      <c r="L1301" s="273"/>
      <c r="M1301" s="273"/>
      <c r="N1301" s="273"/>
    </row>
    <row r="1302" ht="26.25" customHeight="1">
      <c r="A1302" s="273"/>
      <c r="B1302" s="264">
        <v>45982.0</v>
      </c>
      <c r="C1302" s="275"/>
      <c r="D1302" s="266" t="s">
        <v>31</v>
      </c>
      <c r="E1302" s="267" t="s">
        <v>2340</v>
      </c>
      <c r="F1302" s="268"/>
      <c r="G1302" s="307">
        <v>90000.0</v>
      </c>
      <c r="H1302" s="315">
        <v>0.0</v>
      </c>
      <c r="I1302" s="307">
        <v>90000.0</v>
      </c>
      <c r="J1302" s="308">
        <v>90000.0</v>
      </c>
      <c r="K1302" s="272">
        <f t="shared" si="2"/>
        <v>0</v>
      </c>
      <c r="L1302" s="273"/>
      <c r="M1302" s="273"/>
      <c r="N1302" s="273"/>
    </row>
    <row r="1303" ht="26.25" customHeight="1">
      <c r="A1303" s="290"/>
      <c r="B1303" s="264">
        <v>45982.0</v>
      </c>
      <c r="C1303" s="280"/>
      <c r="D1303" s="266" t="s">
        <v>31</v>
      </c>
      <c r="E1303" s="267" t="s">
        <v>2341</v>
      </c>
      <c r="F1303" s="289"/>
      <c r="G1303" s="307">
        <v>35000.0</v>
      </c>
      <c r="H1303" s="315">
        <v>0.0</v>
      </c>
      <c r="I1303" s="307">
        <v>35000.0</v>
      </c>
      <c r="J1303" s="308">
        <v>35000.0</v>
      </c>
      <c r="K1303" s="272">
        <f t="shared" si="2"/>
        <v>0</v>
      </c>
      <c r="L1303" s="290"/>
      <c r="M1303" s="290"/>
      <c r="N1303" s="290"/>
    </row>
    <row r="1304" ht="26.25" customHeight="1">
      <c r="A1304" s="290"/>
      <c r="B1304" s="264">
        <v>45982.0</v>
      </c>
      <c r="C1304" s="280"/>
      <c r="D1304" s="266" t="s">
        <v>31</v>
      </c>
      <c r="E1304" s="267" t="s">
        <v>1631</v>
      </c>
      <c r="F1304" s="289"/>
      <c r="G1304" s="307">
        <v>15000.0</v>
      </c>
      <c r="H1304" s="315">
        <v>0.0</v>
      </c>
      <c r="I1304" s="307">
        <v>15000.0</v>
      </c>
      <c r="J1304" s="308">
        <v>15000.0</v>
      </c>
      <c r="K1304" s="272">
        <f t="shared" si="2"/>
        <v>0</v>
      </c>
      <c r="L1304" s="290"/>
      <c r="M1304" s="290"/>
      <c r="N1304" s="290"/>
    </row>
    <row r="1305" ht="26.25" customHeight="1">
      <c r="A1305" s="273"/>
      <c r="B1305" s="264">
        <v>45982.0</v>
      </c>
      <c r="C1305" s="275"/>
      <c r="D1305" s="266" t="s">
        <v>31</v>
      </c>
      <c r="E1305" s="267" t="s">
        <v>2342</v>
      </c>
      <c r="F1305" s="268"/>
      <c r="G1305" s="307">
        <v>15000.0</v>
      </c>
      <c r="H1305" s="315">
        <v>0.0</v>
      </c>
      <c r="I1305" s="307">
        <v>15000.0</v>
      </c>
      <c r="J1305" s="308">
        <v>15000.0</v>
      </c>
      <c r="K1305" s="272">
        <f t="shared" si="2"/>
        <v>0</v>
      </c>
      <c r="L1305" s="273"/>
      <c r="M1305" s="273"/>
      <c r="N1305" s="273"/>
    </row>
    <row r="1306" ht="26.25" customHeight="1">
      <c r="A1306" s="273"/>
      <c r="B1306" s="264">
        <v>45982.0</v>
      </c>
      <c r="C1306" s="275"/>
      <c r="D1306" s="266" t="s">
        <v>31</v>
      </c>
      <c r="E1306" s="267" t="s">
        <v>2343</v>
      </c>
      <c r="F1306" s="268"/>
      <c r="G1306" s="307">
        <v>5000.0</v>
      </c>
      <c r="H1306" s="315">
        <v>0.0</v>
      </c>
      <c r="I1306" s="307">
        <v>5000.0</v>
      </c>
      <c r="J1306" s="308">
        <v>5000.0</v>
      </c>
      <c r="K1306" s="272">
        <f t="shared" si="2"/>
        <v>0</v>
      </c>
      <c r="L1306" s="273"/>
      <c r="M1306" s="273"/>
      <c r="N1306" s="273"/>
    </row>
    <row r="1307" ht="26.25" customHeight="1">
      <c r="A1307" s="274"/>
      <c r="B1307" s="264">
        <v>45984.0</v>
      </c>
      <c r="C1307" s="280"/>
      <c r="D1307" s="266" t="s">
        <v>31</v>
      </c>
      <c r="E1307" s="267" t="s">
        <v>2090</v>
      </c>
      <c r="F1307" s="289"/>
      <c r="G1307" s="307">
        <v>185000.0</v>
      </c>
      <c r="H1307" s="315">
        <v>0.0</v>
      </c>
      <c r="I1307" s="307">
        <v>185000.0</v>
      </c>
      <c r="J1307" s="308">
        <v>185000.0</v>
      </c>
      <c r="K1307" s="272">
        <f t="shared" si="2"/>
        <v>0</v>
      </c>
      <c r="L1307" s="290"/>
      <c r="M1307" s="290"/>
      <c r="N1307" s="290"/>
    </row>
    <row r="1308" ht="26.25" customHeight="1">
      <c r="A1308" s="290"/>
      <c r="B1308" s="264">
        <v>45984.0</v>
      </c>
      <c r="C1308" s="280"/>
      <c r="D1308" s="266" t="s">
        <v>31</v>
      </c>
      <c r="E1308" s="267" t="s">
        <v>2344</v>
      </c>
      <c r="F1308" s="289"/>
      <c r="G1308" s="307">
        <v>100000.0</v>
      </c>
      <c r="H1308" s="315">
        <v>0.0</v>
      </c>
      <c r="I1308" s="307">
        <v>100000.0</v>
      </c>
      <c r="J1308" s="308">
        <v>100000.0</v>
      </c>
      <c r="K1308" s="272">
        <f t="shared" si="2"/>
        <v>0</v>
      </c>
      <c r="L1308" s="290"/>
      <c r="M1308" s="290"/>
      <c r="N1308" s="290"/>
    </row>
    <row r="1309" ht="26.25" customHeight="1">
      <c r="A1309" s="290"/>
      <c r="B1309" s="264">
        <v>45984.0</v>
      </c>
      <c r="C1309" s="280"/>
      <c r="D1309" s="266" t="s">
        <v>31</v>
      </c>
      <c r="E1309" s="267" t="s">
        <v>2345</v>
      </c>
      <c r="F1309" s="289"/>
      <c r="G1309" s="307">
        <v>60000.0</v>
      </c>
      <c r="H1309" s="315">
        <v>0.0</v>
      </c>
      <c r="I1309" s="307">
        <v>60000.0</v>
      </c>
      <c r="J1309" s="308">
        <v>60000.0</v>
      </c>
      <c r="K1309" s="272">
        <f t="shared" si="2"/>
        <v>0</v>
      </c>
      <c r="L1309" s="290"/>
      <c r="M1309" s="290"/>
      <c r="N1309" s="290"/>
    </row>
    <row r="1310" ht="26.25" customHeight="1">
      <c r="A1310" s="290"/>
      <c r="B1310" s="264">
        <v>45984.0</v>
      </c>
      <c r="C1310" s="280"/>
      <c r="D1310" s="266" t="s">
        <v>31</v>
      </c>
      <c r="E1310" s="267" t="s">
        <v>2346</v>
      </c>
      <c r="F1310" s="289"/>
      <c r="G1310" s="307">
        <v>56000.0</v>
      </c>
      <c r="H1310" s="315">
        <v>0.0</v>
      </c>
      <c r="I1310" s="307">
        <v>56000.0</v>
      </c>
      <c r="J1310" s="308">
        <v>56000.0</v>
      </c>
      <c r="K1310" s="272">
        <f t="shared" si="2"/>
        <v>0</v>
      </c>
      <c r="L1310" s="290"/>
      <c r="M1310" s="290"/>
      <c r="N1310" s="290"/>
    </row>
    <row r="1311" ht="26.25" customHeight="1">
      <c r="A1311" s="290"/>
      <c r="B1311" s="264">
        <v>45984.0</v>
      </c>
      <c r="C1311" s="280"/>
      <c r="D1311" s="266" t="s">
        <v>31</v>
      </c>
      <c r="E1311" s="267" t="s">
        <v>993</v>
      </c>
      <c r="F1311" s="289"/>
      <c r="G1311" s="307">
        <v>10000.0</v>
      </c>
      <c r="H1311" s="315">
        <v>0.0</v>
      </c>
      <c r="I1311" s="307">
        <v>10000.0</v>
      </c>
      <c r="J1311" s="308">
        <v>10000.0</v>
      </c>
      <c r="K1311" s="272">
        <f t="shared" si="2"/>
        <v>0</v>
      </c>
      <c r="L1311" s="290"/>
      <c r="M1311" s="290"/>
      <c r="N1311" s="290"/>
    </row>
    <row r="1312" ht="26.25" customHeight="1">
      <c r="A1312" s="290"/>
      <c r="B1312" s="264">
        <v>45984.0</v>
      </c>
      <c r="C1312" s="280"/>
      <c r="D1312" s="266" t="s">
        <v>31</v>
      </c>
      <c r="E1312" s="267" t="s">
        <v>2347</v>
      </c>
      <c r="F1312" s="289"/>
      <c r="G1312" s="307">
        <v>7000.0</v>
      </c>
      <c r="H1312" s="315">
        <v>0.0</v>
      </c>
      <c r="I1312" s="307">
        <v>7000.0</v>
      </c>
      <c r="J1312" s="308">
        <v>7000.0</v>
      </c>
      <c r="K1312" s="272">
        <f t="shared" si="2"/>
        <v>0</v>
      </c>
      <c r="L1312" s="290"/>
      <c r="M1312" s="290"/>
      <c r="N1312" s="290"/>
    </row>
    <row r="1313" ht="26.25" customHeight="1">
      <c r="A1313" s="273"/>
      <c r="B1313" s="264">
        <v>45984.0</v>
      </c>
      <c r="C1313" s="275"/>
      <c r="D1313" s="266" t="s">
        <v>31</v>
      </c>
      <c r="E1313" s="267" t="s">
        <v>2348</v>
      </c>
      <c r="F1313" s="268"/>
      <c r="G1313" s="307">
        <v>5000.0</v>
      </c>
      <c r="H1313" s="315">
        <v>0.0</v>
      </c>
      <c r="I1313" s="307">
        <v>5000.0</v>
      </c>
      <c r="J1313" s="308">
        <v>5000.0</v>
      </c>
      <c r="K1313" s="272">
        <f t="shared" si="2"/>
        <v>0</v>
      </c>
      <c r="L1313" s="273"/>
      <c r="M1313" s="273"/>
      <c r="N1313" s="273"/>
    </row>
    <row r="1314" ht="26.25" customHeight="1">
      <c r="A1314" s="273"/>
      <c r="B1314" s="264">
        <v>45984.0</v>
      </c>
      <c r="C1314" s="275"/>
      <c r="D1314" s="266" t="s">
        <v>31</v>
      </c>
      <c r="E1314" s="267" t="s">
        <v>2349</v>
      </c>
      <c r="F1314" s="268"/>
      <c r="G1314" s="307">
        <v>5000.0</v>
      </c>
      <c r="H1314" s="315">
        <v>0.0</v>
      </c>
      <c r="I1314" s="307">
        <v>5000.0</v>
      </c>
      <c r="J1314" s="308">
        <v>5000.0</v>
      </c>
      <c r="K1314" s="272">
        <f t="shared" si="2"/>
        <v>0</v>
      </c>
      <c r="L1314" s="273"/>
      <c r="M1314" s="273"/>
      <c r="N1314" s="273"/>
    </row>
    <row r="1315" ht="26.25" customHeight="1">
      <c r="A1315" s="290"/>
      <c r="B1315" s="264">
        <v>45985.0</v>
      </c>
      <c r="C1315" s="280"/>
      <c r="D1315" s="266" t="s">
        <v>31</v>
      </c>
      <c r="E1315" s="267" t="s">
        <v>2350</v>
      </c>
      <c r="F1315" s="289"/>
      <c r="G1315" s="307">
        <v>385000.0</v>
      </c>
      <c r="H1315" s="315">
        <v>0.0</v>
      </c>
      <c r="I1315" s="307">
        <v>385000.0</v>
      </c>
      <c r="J1315" s="308">
        <v>385000.0</v>
      </c>
      <c r="K1315" s="272">
        <f t="shared" si="2"/>
        <v>0</v>
      </c>
      <c r="L1315" s="290"/>
      <c r="M1315" s="290"/>
      <c r="N1315" s="290"/>
    </row>
    <row r="1316" ht="26.25" customHeight="1">
      <c r="A1316" s="273"/>
      <c r="B1316" s="264">
        <v>45985.0</v>
      </c>
      <c r="C1316" s="280"/>
      <c r="D1316" s="266" t="s">
        <v>31</v>
      </c>
      <c r="E1316" s="267" t="s">
        <v>2351</v>
      </c>
      <c r="F1316" s="268"/>
      <c r="G1316" s="307">
        <v>80000.0</v>
      </c>
      <c r="H1316" s="315">
        <v>0.0</v>
      </c>
      <c r="I1316" s="307">
        <v>80000.0</v>
      </c>
      <c r="J1316" s="308">
        <v>80000.0</v>
      </c>
      <c r="K1316" s="272">
        <f t="shared" si="2"/>
        <v>0</v>
      </c>
      <c r="L1316" s="273"/>
      <c r="M1316" s="273"/>
      <c r="N1316" s="273"/>
    </row>
    <row r="1317" ht="26.25" customHeight="1">
      <c r="A1317" s="290"/>
      <c r="B1317" s="264">
        <v>45985.0</v>
      </c>
      <c r="C1317" s="280"/>
      <c r="D1317" s="266" t="s">
        <v>31</v>
      </c>
      <c r="E1317" s="267" t="s">
        <v>2352</v>
      </c>
      <c r="F1317" s="289"/>
      <c r="G1317" s="307">
        <v>80000.0</v>
      </c>
      <c r="H1317" s="315">
        <v>0.0</v>
      </c>
      <c r="I1317" s="307">
        <v>80000.0</v>
      </c>
      <c r="J1317" s="308">
        <v>80000.0</v>
      </c>
      <c r="K1317" s="272">
        <f t="shared" si="2"/>
        <v>0</v>
      </c>
      <c r="L1317" s="290"/>
      <c r="M1317" s="290"/>
      <c r="N1317" s="290"/>
    </row>
    <row r="1318" ht="26.25" customHeight="1">
      <c r="A1318" s="273"/>
      <c r="B1318" s="264">
        <v>45985.0</v>
      </c>
      <c r="C1318" s="275"/>
      <c r="D1318" s="266" t="s">
        <v>31</v>
      </c>
      <c r="E1318" s="267" t="s">
        <v>2353</v>
      </c>
      <c r="F1318" s="268"/>
      <c r="G1318" s="307">
        <v>29000.0</v>
      </c>
      <c r="H1318" s="315">
        <v>0.0</v>
      </c>
      <c r="I1318" s="307">
        <v>29000.0</v>
      </c>
      <c r="J1318" s="308">
        <v>29000.0</v>
      </c>
      <c r="K1318" s="272">
        <f t="shared" si="2"/>
        <v>0</v>
      </c>
      <c r="L1318" s="273"/>
      <c r="M1318" s="273"/>
      <c r="N1318" s="273"/>
    </row>
    <row r="1319" ht="26.25" customHeight="1">
      <c r="A1319" s="290"/>
      <c r="B1319" s="264">
        <v>45985.0</v>
      </c>
      <c r="C1319" s="280"/>
      <c r="D1319" s="266" t="s">
        <v>31</v>
      </c>
      <c r="E1319" s="267" t="s">
        <v>2325</v>
      </c>
      <c r="F1319" s="289"/>
      <c r="G1319" s="307">
        <v>10000.0</v>
      </c>
      <c r="H1319" s="315">
        <v>0.0</v>
      </c>
      <c r="I1319" s="307">
        <v>10000.0</v>
      </c>
      <c r="J1319" s="308">
        <v>10000.0</v>
      </c>
      <c r="K1319" s="272">
        <f t="shared" si="2"/>
        <v>0</v>
      </c>
      <c r="L1319" s="290"/>
      <c r="M1319" s="290"/>
      <c r="N1319" s="290"/>
    </row>
    <row r="1320" ht="26.25" customHeight="1">
      <c r="A1320" s="290"/>
      <c r="B1320" s="264">
        <v>45985.0</v>
      </c>
      <c r="C1320" s="275"/>
      <c r="D1320" s="266" t="s">
        <v>31</v>
      </c>
      <c r="E1320" s="267" t="s">
        <v>2354</v>
      </c>
      <c r="F1320" s="289"/>
      <c r="G1320" s="307">
        <v>10000.0</v>
      </c>
      <c r="H1320" s="315">
        <v>0.0</v>
      </c>
      <c r="I1320" s="307">
        <v>10000.0</v>
      </c>
      <c r="J1320" s="308">
        <v>10000.0</v>
      </c>
      <c r="K1320" s="272">
        <f t="shared" si="2"/>
        <v>0</v>
      </c>
      <c r="L1320" s="290"/>
      <c r="M1320" s="290"/>
      <c r="N1320" s="290"/>
    </row>
    <row r="1321" ht="26.25" customHeight="1">
      <c r="A1321" s="290"/>
      <c r="B1321" s="264">
        <v>45986.0</v>
      </c>
      <c r="C1321" s="280"/>
      <c r="D1321" s="266" t="s">
        <v>31</v>
      </c>
      <c r="E1321" s="267" t="s">
        <v>2338</v>
      </c>
      <c r="F1321" s="289"/>
      <c r="G1321" s="307">
        <v>10000.0</v>
      </c>
      <c r="H1321" s="315">
        <v>0.0</v>
      </c>
      <c r="I1321" s="307">
        <v>10000.0</v>
      </c>
      <c r="J1321" s="308">
        <v>10000.0</v>
      </c>
      <c r="K1321" s="272">
        <f t="shared" si="2"/>
        <v>0</v>
      </c>
      <c r="L1321" s="290"/>
      <c r="M1321" s="290"/>
      <c r="N1321" s="290"/>
    </row>
    <row r="1322" ht="26.25" customHeight="1">
      <c r="A1322" s="273"/>
      <c r="B1322" s="264">
        <v>45986.0</v>
      </c>
      <c r="C1322" s="275"/>
      <c r="D1322" s="266" t="s">
        <v>31</v>
      </c>
      <c r="E1322" s="267" t="s">
        <v>2355</v>
      </c>
      <c r="F1322" s="268"/>
      <c r="G1322" s="307">
        <v>8000.0</v>
      </c>
      <c r="H1322" s="315">
        <v>0.0</v>
      </c>
      <c r="I1322" s="307">
        <v>8000.0</v>
      </c>
      <c r="J1322" s="308">
        <v>8000.0</v>
      </c>
      <c r="K1322" s="272">
        <f t="shared" si="2"/>
        <v>0</v>
      </c>
      <c r="L1322" s="273"/>
      <c r="M1322" s="273"/>
      <c r="N1322" s="273"/>
    </row>
    <row r="1323" ht="26.25" customHeight="1">
      <c r="A1323" s="273"/>
      <c r="B1323" s="264">
        <v>45986.0</v>
      </c>
      <c r="C1323" s="275"/>
      <c r="D1323" s="266" t="s">
        <v>31</v>
      </c>
      <c r="E1323" s="267" t="s">
        <v>2356</v>
      </c>
      <c r="F1323" s="268"/>
      <c r="G1323" s="307">
        <v>8000.0</v>
      </c>
      <c r="H1323" s="315">
        <v>0.0</v>
      </c>
      <c r="I1323" s="307">
        <v>8000.0</v>
      </c>
      <c r="J1323" s="308">
        <v>8000.0</v>
      </c>
      <c r="K1323" s="272">
        <f t="shared" si="2"/>
        <v>0</v>
      </c>
      <c r="L1323" s="273"/>
      <c r="M1323" s="273"/>
      <c r="N1323" s="273"/>
    </row>
    <row r="1324" ht="26.25" customHeight="1">
      <c r="A1324" s="290"/>
      <c r="B1324" s="264">
        <v>45987.0</v>
      </c>
      <c r="C1324" s="280"/>
      <c r="D1324" s="266" t="s">
        <v>31</v>
      </c>
      <c r="E1324" s="267" t="s">
        <v>2357</v>
      </c>
      <c r="F1324" s="289"/>
      <c r="G1324" s="307">
        <v>30000.0</v>
      </c>
      <c r="H1324" s="315">
        <v>0.0</v>
      </c>
      <c r="I1324" s="307">
        <v>30000.0</v>
      </c>
      <c r="J1324" s="308">
        <v>30000.0</v>
      </c>
      <c r="K1324" s="272">
        <f t="shared" si="2"/>
        <v>0</v>
      </c>
      <c r="L1324" s="290"/>
      <c r="M1324" s="290"/>
      <c r="N1324" s="290"/>
    </row>
    <row r="1325" ht="26.25" customHeight="1">
      <c r="A1325" s="274"/>
      <c r="B1325" s="264">
        <v>45987.0</v>
      </c>
      <c r="C1325" s="280"/>
      <c r="D1325" s="266" t="s">
        <v>31</v>
      </c>
      <c r="E1325" s="267" t="s">
        <v>2358</v>
      </c>
      <c r="F1325" s="268"/>
      <c r="G1325" s="307">
        <v>30000.0</v>
      </c>
      <c r="H1325" s="315">
        <v>0.0</v>
      </c>
      <c r="I1325" s="307">
        <v>30000.0</v>
      </c>
      <c r="J1325" s="308">
        <v>30000.0</v>
      </c>
      <c r="K1325" s="272">
        <f t="shared" si="2"/>
        <v>0</v>
      </c>
      <c r="L1325" s="273"/>
      <c r="M1325" s="273"/>
      <c r="N1325" s="273"/>
    </row>
    <row r="1326" ht="26.25" customHeight="1">
      <c r="A1326" s="290"/>
      <c r="B1326" s="264">
        <v>45987.0</v>
      </c>
      <c r="C1326" s="280"/>
      <c r="D1326" s="266" t="s">
        <v>31</v>
      </c>
      <c r="E1326" s="267" t="s">
        <v>2359</v>
      </c>
      <c r="F1326" s="289"/>
      <c r="G1326" s="307">
        <v>20000.0</v>
      </c>
      <c r="H1326" s="315">
        <v>0.0</v>
      </c>
      <c r="I1326" s="307">
        <v>20000.0</v>
      </c>
      <c r="J1326" s="308">
        <v>20000.0</v>
      </c>
      <c r="K1326" s="272">
        <f t="shared" si="2"/>
        <v>0</v>
      </c>
      <c r="L1326" s="290"/>
      <c r="M1326" s="290"/>
      <c r="N1326" s="290"/>
    </row>
    <row r="1327" ht="26.25" customHeight="1">
      <c r="A1327" s="290"/>
      <c r="B1327" s="264">
        <v>45987.0</v>
      </c>
      <c r="C1327" s="280"/>
      <c r="D1327" s="266" t="s">
        <v>31</v>
      </c>
      <c r="E1327" s="267" t="s">
        <v>1732</v>
      </c>
      <c r="F1327" s="289"/>
      <c r="G1327" s="307">
        <v>20000.0</v>
      </c>
      <c r="H1327" s="315">
        <v>0.0</v>
      </c>
      <c r="I1327" s="307">
        <v>20000.0</v>
      </c>
      <c r="J1327" s="308">
        <v>20000.0</v>
      </c>
      <c r="K1327" s="272">
        <f t="shared" si="2"/>
        <v>0</v>
      </c>
      <c r="L1327" s="290"/>
      <c r="M1327" s="290"/>
      <c r="N1327" s="290"/>
    </row>
    <row r="1328" ht="26.25" customHeight="1">
      <c r="A1328" s="290"/>
      <c r="B1328" s="264">
        <v>45987.0</v>
      </c>
      <c r="C1328" s="280"/>
      <c r="D1328" s="266" t="s">
        <v>31</v>
      </c>
      <c r="E1328" s="267" t="s">
        <v>2360</v>
      </c>
      <c r="F1328" s="289"/>
      <c r="G1328" s="307">
        <v>10000.0</v>
      </c>
      <c r="H1328" s="315">
        <v>0.0</v>
      </c>
      <c r="I1328" s="307">
        <v>10000.0</v>
      </c>
      <c r="J1328" s="308">
        <v>10000.0</v>
      </c>
      <c r="K1328" s="272">
        <f t="shared" si="2"/>
        <v>0</v>
      </c>
      <c r="L1328" s="290"/>
      <c r="M1328" s="290"/>
      <c r="N1328" s="290"/>
    </row>
    <row r="1329" ht="26.25" customHeight="1">
      <c r="A1329" s="273"/>
      <c r="B1329" s="264">
        <v>45988.0</v>
      </c>
      <c r="C1329" s="275"/>
      <c r="D1329" s="266" t="s">
        <v>31</v>
      </c>
      <c r="E1329" s="267" t="s">
        <v>2361</v>
      </c>
      <c r="F1329" s="268"/>
      <c r="G1329" s="307">
        <v>405000.0</v>
      </c>
      <c r="H1329" s="315">
        <v>0.0</v>
      </c>
      <c r="I1329" s="307">
        <v>405000.0</v>
      </c>
      <c r="J1329" s="308">
        <v>405000.0</v>
      </c>
      <c r="K1329" s="272">
        <f t="shared" si="2"/>
        <v>0</v>
      </c>
      <c r="L1329" s="273"/>
      <c r="M1329" s="273"/>
      <c r="N1329" s="273"/>
    </row>
    <row r="1330" ht="26.25" customHeight="1">
      <c r="A1330" s="273"/>
      <c r="B1330" s="264">
        <v>45988.0</v>
      </c>
      <c r="C1330" s="275"/>
      <c r="D1330" s="266" t="s">
        <v>31</v>
      </c>
      <c r="E1330" s="267" t="s">
        <v>2362</v>
      </c>
      <c r="F1330" s="268"/>
      <c r="G1330" s="307">
        <v>40000.0</v>
      </c>
      <c r="H1330" s="315">
        <v>0.0</v>
      </c>
      <c r="I1330" s="307">
        <v>40000.0</v>
      </c>
      <c r="J1330" s="308">
        <v>40000.0</v>
      </c>
      <c r="K1330" s="272">
        <f t="shared" si="2"/>
        <v>0</v>
      </c>
      <c r="L1330" s="273"/>
      <c r="M1330" s="273"/>
      <c r="N1330" s="273"/>
    </row>
    <row r="1331" ht="26.25" customHeight="1">
      <c r="A1331" s="290"/>
      <c r="B1331" s="264">
        <v>45988.0</v>
      </c>
      <c r="C1331" s="280"/>
      <c r="D1331" s="266" t="s">
        <v>31</v>
      </c>
      <c r="E1331" s="267" t="s">
        <v>2363</v>
      </c>
      <c r="F1331" s="289"/>
      <c r="G1331" s="307">
        <v>31000.0</v>
      </c>
      <c r="H1331" s="315">
        <v>0.0</v>
      </c>
      <c r="I1331" s="307">
        <v>31000.0</v>
      </c>
      <c r="J1331" s="308">
        <v>31000.0</v>
      </c>
      <c r="K1331" s="272">
        <f t="shared" si="2"/>
        <v>0</v>
      </c>
      <c r="L1331" s="290"/>
      <c r="M1331" s="290"/>
      <c r="N1331" s="290"/>
    </row>
    <row r="1332" ht="26.25" customHeight="1">
      <c r="A1332" s="316"/>
      <c r="B1332" s="296">
        <v>45989.0</v>
      </c>
      <c r="C1332" s="317"/>
      <c r="D1332" s="266" t="s">
        <v>31</v>
      </c>
      <c r="E1332" s="267" t="s">
        <v>2364</v>
      </c>
      <c r="F1332" s="289"/>
      <c r="G1332" s="318">
        <v>0.0</v>
      </c>
      <c r="H1332" s="297">
        <v>0.0</v>
      </c>
      <c r="I1332" s="319">
        <v>0.0</v>
      </c>
      <c r="J1332" s="318">
        <v>0.0</v>
      </c>
      <c r="K1332" s="272">
        <f t="shared" si="2"/>
        <v>0</v>
      </c>
      <c r="L1332" s="290"/>
      <c r="M1332" s="290"/>
      <c r="N1332" s="290"/>
    </row>
    <row r="1333" ht="26.25" customHeight="1">
      <c r="A1333" s="316"/>
      <c r="B1333" s="296">
        <v>45989.0</v>
      </c>
      <c r="C1333" s="320"/>
      <c r="D1333" s="266" t="s">
        <v>31</v>
      </c>
      <c r="E1333" s="267" t="s">
        <v>2365</v>
      </c>
      <c r="F1333" s="289"/>
      <c r="G1333" s="308">
        <v>25000.0</v>
      </c>
      <c r="H1333" s="297">
        <v>0.0</v>
      </c>
      <c r="I1333" s="307">
        <v>25000.0</v>
      </c>
      <c r="J1333" s="308">
        <v>25000.0</v>
      </c>
      <c r="K1333" s="272">
        <f t="shared" si="2"/>
        <v>0</v>
      </c>
      <c r="L1333" s="290"/>
      <c r="M1333" s="290"/>
      <c r="N1333" s="290"/>
    </row>
    <row r="1334" ht="26.25" customHeight="1">
      <c r="A1334" s="316"/>
      <c r="B1334" s="296">
        <v>45989.0</v>
      </c>
      <c r="C1334" s="320"/>
      <c r="D1334" s="266" t="s">
        <v>31</v>
      </c>
      <c r="E1334" s="267" t="s">
        <v>2366</v>
      </c>
      <c r="F1334" s="289"/>
      <c r="G1334" s="308">
        <v>7000.0</v>
      </c>
      <c r="H1334" s="297">
        <v>0.0</v>
      </c>
      <c r="I1334" s="307">
        <v>7000.0</v>
      </c>
      <c r="J1334" s="308">
        <v>7000.0</v>
      </c>
      <c r="K1334" s="272">
        <f t="shared" si="2"/>
        <v>0</v>
      </c>
      <c r="L1334" s="290"/>
      <c r="M1334" s="290"/>
      <c r="N1334" s="290"/>
    </row>
    <row r="1335" ht="26.25" customHeight="1">
      <c r="A1335" s="316"/>
      <c r="B1335" s="296">
        <v>45990.0</v>
      </c>
      <c r="C1335" s="320"/>
      <c r="D1335" s="266" t="s">
        <v>31</v>
      </c>
      <c r="E1335" s="267" t="s">
        <v>2367</v>
      </c>
      <c r="F1335" s="289"/>
      <c r="G1335" s="308">
        <v>75000.0</v>
      </c>
      <c r="H1335" s="297">
        <v>0.0</v>
      </c>
      <c r="I1335" s="307">
        <v>75000.0</v>
      </c>
      <c r="J1335" s="308">
        <v>75000.0</v>
      </c>
      <c r="K1335" s="272">
        <f t="shared" si="2"/>
        <v>0</v>
      </c>
      <c r="L1335" s="290"/>
      <c r="M1335" s="290"/>
      <c r="N1335" s="290"/>
    </row>
    <row r="1336" ht="26.25" customHeight="1">
      <c r="A1336" s="295"/>
      <c r="B1336" s="296">
        <v>45991.0</v>
      </c>
      <c r="C1336" s="317"/>
      <c r="D1336" s="266" t="s">
        <v>930</v>
      </c>
      <c r="E1336" s="267" t="s">
        <v>1091</v>
      </c>
      <c r="F1336" s="268"/>
      <c r="G1336" s="321">
        <v>1000000.0</v>
      </c>
      <c r="H1336" s="297">
        <v>0.0</v>
      </c>
      <c r="I1336" s="322">
        <v>1000000.0</v>
      </c>
      <c r="J1336" s="321">
        <v>1000000.0</v>
      </c>
      <c r="K1336" s="272">
        <f t="shared" si="2"/>
        <v>0</v>
      </c>
      <c r="L1336" s="273"/>
      <c r="M1336" s="273"/>
      <c r="N1336" s="273"/>
    </row>
    <row r="1337" ht="26.25" customHeight="1">
      <c r="A1337" s="316"/>
      <c r="B1337" s="296">
        <v>45991.0</v>
      </c>
      <c r="C1337" s="323"/>
      <c r="D1337" s="266" t="s">
        <v>31</v>
      </c>
      <c r="E1337" s="267" t="s">
        <v>2368</v>
      </c>
      <c r="F1337" s="289"/>
      <c r="G1337" s="308">
        <v>450000.0</v>
      </c>
      <c r="H1337" s="297">
        <v>0.0</v>
      </c>
      <c r="I1337" s="307">
        <v>450000.0</v>
      </c>
      <c r="J1337" s="308">
        <v>450000.0</v>
      </c>
      <c r="K1337" s="272">
        <f t="shared" si="2"/>
        <v>0</v>
      </c>
      <c r="L1337" s="290"/>
      <c r="M1337" s="290"/>
      <c r="N1337" s="290"/>
    </row>
    <row r="1338" ht="26.25" customHeight="1">
      <c r="A1338" s="316"/>
      <c r="B1338" s="296">
        <v>45991.0</v>
      </c>
      <c r="C1338" s="320"/>
      <c r="D1338" s="266" t="s">
        <v>31</v>
      </c>
      <c r="E1338" s="267" t="s">
        <v>2369</v>
      </c>
      <c r="F1338" s="289"/>
      <c r="G1338" s="308">
        <v>96000.0</v>
      </c>
      <c r="H1338" s="297">
        <v>0.0</v>
      </c>
      <c r="I1338" s="307">
        <v>96000.0</v>
      </c>
      <c r="J1338" s="308">
        <v>96000.0</v>
      </c>
      <c r="K1338" s="272">
        <f t="shared" si="2"/>
        <v>0</v>
      </c>
      <c r="L1338" s="290"/>
      <c r="M1338" s="290"/>
      <c r="N1338" s="290"/>
    </row>
    <row r="1339" ht="26.25" customHeight="1">
      <c r="A1339" s="316"/>
      <c r="B1339" s="296">
        <v>45991.0</v>
      </c>
      <c r="C1339" s="317"/>
      <c r="D1339" s="266" t="s">
        <v>31</v>
      </c>
      <c r="E1339" s="267" t="s">
        <v>1317</v>
      </c>
      <c r="F1339" s="289"/>
      <c r="G1339" s="308">
        <v>52000.0</v>
      </c>
      <c r="H1339" s="297">
        <v>0.0</v>
      </c>
      <c r="I1339" s="307">
        <v>52000.0</v>
      </c>
      <c r="J1339" s="308">
        <v>52000.0</v>
      </c>
      <c r="K1339" s="272">
        <f t="shared" si="2"/>
        <v>0</v>
      </c>
      <c r="L1339" s="290"/>
      <c r="M1339" s="290"/>
      <c r="N1339" s="290"/>
    </row>
    <row r="1340" ht="26.25" customHeight="1">
      <c r="A1340" s="316"/>
      <c r="B1340" s="296">
        <v>45991.0</v>
      </c>
      <c r="C1340" s="317"/>
      <c r="D1340" s="266" t="s">
        <v>31</v>
      </c>
      <c r="E1340" s="267" t="s">
        <v>2370</v>
      </c>
      <c r="F1340" s="289"/>
      <c r="G1340" s="308">
        <v>10000.0</v>
      </c>
      <c r="H1340" s="297">
        <v>0.0</v>
      </c>
      <c r="I1340" s="307">
        <v>10000.0</v>
      </c>
      <c r="J1340" s="308">
        <v>10000.0</v>
      </c>
      <c r="K1340" s="272">
        <f t="shared" si="2"/>
        <v>0</v>
      </c>
      <c r="L1340" s="290"/>
      <c r="M1340" s="290"/>
      <c r="N1340" s="290"/>
    </row>
    <row r="1341" ht="26.25" customHeight="1">
      <c r="A1341" s="316"/>
      <c r="B1341" s="296">
        <v>45991.0</v>
      </c>
      <c r="C1341" s="320"/>
      <c r="D1341" s="266" t="s">
        <v>930</v>
      </c>
      <c r="E1341" s="283" t="s">
        <v>1207</v>
      </c>
      <c r="F1341" s="289"/>
      <c r="G1341" s="324">
        <v>10000.0</v>
      </c>
      <c r="H1341" s="325">
        <v>0.0</v>
      </c>
      <c r="I1341" s="326">
        <v>10000.0</v>
      </c>
      <c r="J1341" s="324">
        <v>10000.0</v>
      </c>
      <c r="K1341" s="272">
        <f t="shared" si="2"/>
        <v>0</v>
      </c>
      <c r="L1341" s="290"/>
      <c r="M1341" s="290"/>
      <c r="N1341" s="290"/>
    </row>
    <row r="1342" ht="26.25" customHeight="1">
      <c r="A1342" s="316"/>
      <c r="B1342" s="296">
        <v>45992.0</v>
      </c>
      <c r="C1342" s="320"/>
      <c r="D1342" s="266" t="s">
        <v>31</v>
      </c>
      <c r="E1342" s="267" t="s">
        <v>1004</v>
      </c>
      <c r="F1342" s="289"/>
      <c r="G1342" s="308">
        <v>185000.0</v>
      </c>
      <c r="H1342" s="327">
        <v>0.0</v>
      </c>
      <c r="I1342" s="307">
        <v>185000.0</v>
      </c>
      <c r="J1342" s="308">
        <v>185000.0</v>
      </c>
      <c r="K1342" s="272">
        <f t="shared" si="2"/>
        <v>0</v>
      </c>
      <c r="L1342" s="290"/>
      <c r="M1342" s="290"/>
      <c r="N1342" s="290"/>
    </row>
    <row r="1343" ht="26.25" customHeight="1">
      <c r="A1343" s="316"/>
      <c r="B1343" s="296">
        <v>45992.0</v>
      </c>
      <c r="C1343" s="320"/>
      <c r="D1343" s="266" t="s">
        <v>31</v>
      </c>
      <c r="E1343" s="267" t="s">
        <v>2371</v>
      </c>
      <c r="F1343" s="289"/>
      <c r="G1343" s="308">
        <v>70000.0</v>
      </c>
      <c r="H1343" s="327">
        <v>0.0</v>
      </c>
      <c r="I1343" s="307">
        <v>70000.0</v>
      </c>
      <c r="J1343" s="308">
        <v>70000.0</v>
      </c>
      <c r="K1343" s="272">
        <f t="shared" si="2"/>
        <v>0</v>
      </c>
      <c r="L1343" s="290"/>
      <c r="M1343" s="290"/>
      <c r="N1343" s="290"/>
    </row>
    <row r="1344" ht="26.25" customHeight="1">
      <c r="A1344" s="295"/>
      <c r="B1344" s="296">
        <v>45992.0</v>
      </c>
      <c r="C1344" s="317"/>
      <c r="D1344" s="266" t="s">
        <v>31</v>
      </c>
      <c r="E1344" s="267" t="s">
        <v>2372</v>
      </c>
      <c r="F1344" s="268"/>
      <c r="G1344" s="308">
        <v>38000.0</v>
      </c>
      <c r="H1344" s="327">
        <v>0.0</v>
      </c>
      <c r="I1344" s="307">
        <v>38000.0</v>
      </c>
      <c r="J1344" s="308">
        <v>38000.0</v>
      </c>
      <c r="K1344" s="272">
        <f t="shared" si="2"/>
        <v>0</v>
      </c>
      <c r="L1344" s="273"/>
      <c r="M1344" s="273"/>
      <c r="N1344" s="273"/>
    </row>
    <row r="1345" ht="26.25" customHeight="1">
      <c r="A1345" s="295"/>
      <c r="B1345" s="296">
        <v>45992.0</v>
      </c>
      <c r="C1345" s="317"/>
      <c r="D1345" s="266" t="s">
        <v>31</v>
      </c>
      <c r="E1345" s="267" t="s">
        <v>2373</v>
      </c>
      <c r="F1345" s="268"/>
      <c r="G1345" s="308">
        <v>195000.0</v>
      </c>
      <c r="H1345" s="327">
        <v>0.0</v>
      </c>
      <c r="I1345" s="307">
        <v>195000.0</v>
      </c>
      <c r="J1345" s="308">
        <v>195000.0</v>
      </c>
      <c r="K1345" s="272">
        <f t="shared" si="2"/>
        <v>0</v>
      </c>
      <c r="L1345" s="273"/>
      <c r="M1345" s="273"/>
      <c r="N1345" s="273"/>
    </row>
    <row r="1346" ht="32.25" customHeight="1">
      <c r="A1346" s="295"/>
      <c r="B1346" s="296">
        <v>45992.0</v>
      </c>
      <c r="C1346" s="317"/>
      <c r="D1346" s="266" t="s">
        <v>31</v>
      </c>
      <c r="E1346" s="267" t="s">
        <v>2374</v>
      </c>
      <c r="F1346" s="268"/>
      <c r="G1346" s="308">
        <v>15000.0</v>
      </c>
      <c r="H1346" s="327">
        <v>0.0</v>
      </c>
      <c r="I1346" s="307">
        <v>15000.0</v>
      </c>
      <c r="J1346" s="308">
        <v>15000.0</v>
      </c>
      <c r="K1346" s="272">
        <f t="shared" si="2"/>
        <v>0</v>
      </c>
      <c r="L1346" s="273"/>
      <c r="M1346" s="273"/>
      <c r="N1346" s="273"/>
    </row>
    <row r="1347" ht="26.25" customHeight="1">
      <c r="A1347" s="295"/>
      <c r="B1347" s="296">
        <v>45992.0</v>
      </c>
      <c r="C1347" s="317"/>
      <c r="D1347" s="266" t="s">
        <v>31</v>
      </c>
      <c r="E1347" s="267" t="s">
        <v>2375</v>
      </c>
      <c r="F1347" s="268"/>
      <c r="G1347" s="308">
        <v>75000.0</v>
      </c>
      <c r="H1347" s="327">
        <v>0.0</v>
      </c>
      <c r="I1347" s="307">
        <v>75000.0</v>
      </c>
      <c r="J1347" s="308">
        <v>75000.0</v>
      </c>
      <c r="K1347" s="272">
        <f t="shared" si="2"/>
        <v>0</v>
      </c>
      <c r="L1347" s="273"/>
      <c r="M1347" s="273"/>
      <c r="N1347" s="273"/>
    </row>
    <row r="1348" ht="26.25" customHeight="1">
      <c r="A1348" s="316"/>
      <c r="B1348" s="296">
        <v>45992.0</v>
      </c>
      <c r="C1348" s="320"/>
      <c r="D1348" s="266" t="s">
        <v>31</v>
      </c>
      <c r="E1348" s="267" t="s">
        <v>2376</v>
      </c>
      <c r="F1348" s="289"/>
      <c r="G1348" s="308">
        <v>757000.0</v>
      </c>
      <c r="H1348" s="327">
        <v>0.0</v>
      </c>
      <c r="I1348" s="307">
        <v>757000.0</v>
      </c>
      <c r="J1348" s="308">
        <v>757000.0</v>
      </c>
      <c r="K1348" s="272">
        <f t="shared" si="2"/>
        <v>0</v>
      </c>
      <c r="L1348" s="290"/>
      <c r="M1348" s="290"/>
      <c r="N1348" s="290"/>
    </row>
    <row r="1349" ht="26.25" customHeight="1">
      <c r="A1349" s="316"/>
      <c r="B1349" s="296">
        <v>45992.0</v>
      </c>
      <c r="C1349" s="320"/>
      <c r="D1349" s="266" t="s">
        <v>31</v>
      </c>
      <c r="E1349" s="267" t="s">
        <v>1298</v>
      </c>
      <c r="F1349" s="289"/>
      <c r="G1349" s="308">
        <v>35000.0</v>
      </c>
      <c r="H1349" s="327">
        <v>0.0</v>
      </c>
      <c r="I1349" s="307">
        <v>35000.0</v>
      </c>
      <c r="J1349" s="308">
        <v>35000.0</v>
      </c>
      <c r="K1349" s="272">
        <f t="shared" si="2"/>
        <v>0</v>
      </c>
      <c r="L1349" s="290"/>
      <c r="M1349" s="290"/>
      <c r="N1349" s="290"/>
    </row>
    <row r="1350" ht="26.25" customHeight="1">
      <c r="A1350" s="316"/>
      <c r="B1350" s="296">
        <v>45992.0</v>
      </c>
      <c r="C1350" s="265" t="s">
        <v>44</v>
      </c>
      <c r="D1350" s="266" t="s">
        <v>2377</v>
      </c>
      <c r="E1350" s="267" t="s">
        <v>1579</v>
      </c>
      <c r="F1350" s="289"/>
      <c r="G1350" s="321">
        <v>23000.0</v>
      </c>
      <c r="H1350" s="297">
        <v>0.0</v>
      </c>
      <c r="I1350" s="322">
        <v>23000.0</v>
      </c>
      <c r="J1350" s="321">
        <v>23000.0</v>
      </c>
      <c r="K1350" s="272">
        <f t="shared" si="2"/>
        <v>0</v>
      </c>
      <c r="L1350" s="290"/>
      <c r="M1350" s="290"/>
      <c r="N1350" s="290"/>
    </row>
    <row r="1351" ht="26.25" customHeight="1">
      <c r="A1351" s="316"/>
      <c r="B1351" s="296">
        <v>45993.0</v>
      </c>
      <c r="C1351" s="320"/>
      <c r="D1351" s="266" t="s">
        <v>31</v>
      </c>
      <c r="E1351" s="267" t="s">
        <v>2378</v>
      </c>
      <c r="F1351" s="289"/>
      <c r="G1351" s="308">
        <v>125000.0</v>
      </c>
      <c r="H1351" s="327">
        <v>0.0</v>
      </c>
      <c r="I1351" s="307">
        <v>125000.0</v>
      </c>
      <c r="J1351" s="308">
        <v>125000.0</v>
      </c>
      <c r="K1351" s="272">
        <f t="shared" si="2"/>
        <v>0</v>
      </c>
      <c r="L1351" s="290"/>
      <c r="M1351" s="290"/>
      <c r="N1351" s="290"/>
    </row>
    <row r="1352" ht="26.25" customHeight="1">
      <c r="A1352" s="316"/>
      <c r="B1352" s="296">
        <v>45993.0</v>
      </c>
      <c r="C1352" s="320"/>
      <c r="D1352" s="266" t="s">
        <v>31</v>
      </c>
      <c r="E1352" s="267" t="s">
        <v>2379</v>
      </c>
      <c r="F1352" s="289"/>
      <c r="G1352" s="308">
        <v>50000.0</v>
      </c>
      <c r="H1352" s="327">
        <v>0.0</v>
      </c>
      <c r="I1352" s="307">
        <v>50000.0</v>
      </c>
      <c r="J1352" s="308">
        <v>50000.0</v>
      </c>
      <c r="K1352" s="272">
        <f t="shared" si="2"/>
        <v>0</v>
      </c>
      <c r="L1352" s="290"/>
      <c r="M1352" s="290"/>
      <c r="N1352" s="290"/>
    </row>
    <row r="1353" ht="26.25" customHeight="1">
      <c r="A1353" s="316"/>
      <c r="B1353" s="296">
        <v>45993.0</v>
      </c>
      <c r="C1353" s="320"/>
      <c r="D1353" s="266" t="s">
        <v>31</v>
      </c>
      <c r="E1353" s="267" t="s">
        <v>2380</v>
      </c>
      <c r="F1353" s="289"/>
      <c r="G1353" s="308">
        <v>200000.0</v>
      </c>
      <c r="H1353" s="327">
        <v>0.0</v>
      </c>
      <c r="I1353" s="307">
        <v>200000.0</v>
      </c>
      <c r="J1353" s="308">
        <v>200000.0</v>
      </c>
      <c r="K1353" s="272">
        <f t="shared" si="2"/>
        <v>0</v>
      </c>
      <c r="L1353" s="290"/>
      <c r="M1353" s="290"/>
      <c r="N1353" s="290"/>
    </row>
    <row r="1354" ht="26.25" customHeight="1">
      <c r="A1354" s="295"/>
      <c r="B1354" s="296">
        <v>45993.0</v>
      </c>
      <c r="C1354" s="317"/>
      <c r="D1354" s="266" t="s">
        <v>31</v>
      </c>
      <c r="E1354" s="267" t="s">
        <v>993</v>
      </c>
      <c r="F1354" s="268"/>
      <c r="G1354" s="308">
        <v>8000.0</v>
      </c>
      <c r="H1354" s="327">
        <v>0.0</v>
      </c>
      <c r="I1354" s="307">
        <v>8000.0</v>
      </c>
      <c r="J1354" s="308">
        <v>8000.0</v>
      </c>
      <c r="K1354" s="272">
        <f t="shared" si="2"/>
        <v>0</v>
      </c>
      <c r="L1354" s="273"/>
      <c r="M1354" s="273"/>
      <c r="N1354" s="273"/>
    </row>
    <row r="1355" ht="26.25" customHeight="1">
      <c r="A1355" s="295"/>
      <c r="B1355" s="296">
        <v>45993.0</v>
      </c>
      <c r="C1355" s="317"/>
      <c r="D1355" s="266" t="s">
        <v>31</v>
      </c>
      <c r="E1355" s="267" t="s">
        <v>2338</v>
      </c>
      <c r="F1355" s="268"/>
      <c r="G1355" s="308">
        <v>10000.0</v>
      </c>
      <c r="H1355" s="327">
        <v>0.0</v>
      </c>
      <c r="I1355" s="307">
        <v>10000.0</v>
      </c>
      <c r="J1355" s="308">
        <v>10000.0</v>
      </c>
      <c r="K1355" s="272">
        <f t="shared" si="2"/>
        <v>0</v>
      </c>
      <c r="L1355" s="273"/>
      <c r="M1355" s="273"/>
      <c r="N1355" s="273"/>
    </row>
    <row r="1356" ht="26.25" customHeight="1">
      <c r="A1356" s="316"/>
      <c r="B1356" s="296">
        <v>45993.0</v>
      </c>
      <c r="C1356" s="320"/>
      <c r="D1356" s="266" t="s">
        <v>31</v>
      </c>
      <c r="E1356" s="267" t="s">
        <v>2381</v>
      </c>
      <c r="F1356" s="289"/>
      <c r="G1356" s="308">
        <v>40000.0</v>
      </c>
      <c r="H1356" s="327">
        <v>0.0</v>
      </c>
      <c r="I1356" s="307">
        <v>40000.0</v>
      </c>
      <c r="J1356" s="308">
        <v>40000.0</v>
      </c>
      <c r="K1356" s="272">
        <f t="shared" si="2"/>
        <v>0</v>
      </c>
      <c r="L1356" s="290"/>
      <c r="M1356" s="290"/>
      <c r="N1356" s="290"/>
    </row>
    <row r="1357" ht="26.25" customHeight="1">
      <c r="A1357" s="316"/>
      <c r="B1357" s="296">
        <v>45993.0</v>
      </c>
      <c r="C1357" s="328"/>
      <c r="D1357" s="266" t="s">
        <v>31</v>
      </c>
      <c r="E1357" s="267" t="s">
        <v>2382</v>
      </c>
      <c r="F1357" s="304"/>
      <c r="G1357" s="308">
        <v>600000.0</v>
      </c>
      <c r="H1357" s="327">
        <v>0.0</v>
      </c>
      <c r="I1357" s="307">
        <v>600000.0</v>
      </c>
      <c r="J1357" s="308">
        <v>600000.0</v>
      </c>
      <c r="K1357" s="272">
        <f t="shared" si="2"/>
        <v>0</v>
      </c>
      <c r="L1357" s="290"/>
      <c r="M1357" s="290"/>
      <c r="N1357" s="290"/>
    </row>
    <row r="1358" ht="26.25" customHeight="1">
      <c r="A1358" s="316"/>
      <c r="B1358" s="296">
        <v>45993.0</v>
      </c>
      <c r="C1358" s="320"/>
      <c r="D1358" s="266" t="s">
        <v>31</v>
      </c>
      <c r="E1358" s="267" t="s">
        <v>2383</v>
      </c>
      <c r="F1358" s="289"/>
      <c r="G1358" s="308">
        <v>50000.0</v>
      </c>
      <c r="H1358" s="327">
        <v>0.0</v>
      </c>
      <c r="I1358" s="307">
        <v>50000.0</v>
      </c>
      <c r="J1358" s="308">
        <v>50000.0</v>
      </c>
      <c r="K1358" s="272">
        <f t="shared" si="2"/>
        <v>0</v>
      </c>
      <c r="L1358" s="290"/>
      <c r="M1358" s="290"/>
      <c r="N1358" s="290"/>
    </row>
    <row r="1359" ht="26.25" customHeight="1">
      <c r="A1359" s="316"/>
      <c r="B1359" s="296">
        <v>45993.0</v>
      </c>
      <c r="C1359" s="320"/>
      <c r="D1359" s="266" t="s">
        <v>2377</v>
      </c>
      <c r="E1359" s="267" t="s">
        <v>2384</v>
      </c>
      <c r="F1359" s="289"/>
      <c r="G1359" s="308">
        <v>350000.0</v>
      </c>
      <c r="H1359" s="297">
        <v>0.0</v>
      </c>
      <c r="I1359" s="307">
        <v>350000.0</v>
      </c>
      <c r="J1359" s="308">
        <v>350000.0</v>
      </c>
      <c r="K1359" s="272">
        <f t="shared" si="2"/>
        <v>0</v>
      </c>
      <c r="L1359" s="290"/>
      <c r="M1359" s="290"/>
      <c r="N1359" s="290"/>
    </row>
    <row r="1360" ht="26.25" customHeight="1">
      <c r="A1360" s="316"/>
      <c r="B1360" s="296">
        <v>45993.0</v>
      </c>
      <c r="C1360" s="320"/>
      <c r="D1360" s="266" t="s">
        <v>2377</v>
      </c>
      <c r="E1360" s="267" t="s">
        <v>2385</v>
      </c>
      <c r="F1360" s="289"/>
      <c r="G1360" s="308">
        <v>300000.0</v>
      </c>
      <c r="H1360" s="297">
        <v>0.0</v>
      </c>
      <c r="I1360" s="307">
        <v>300000.0</v>
      </c>
      <c r="J1360" s="308">
        <v>300000.0</v>
      </c>
      <c r="K1360" s="272">
        <f t="shared" si="2"/>
        <v>0</v>
      </c>
      <c r="L1360" s="290"/>
      <c r="M1360" s="290"/>
      <c r="N1360" s="290"/>
    </row>
    <row r="1361" ht="26.25" customHeight="1">
      <c r="A1361" s="316"/>
      <c r="B1361" s="296">
        <v>45993.0</v>
      </c>
      <c r="C1361" s="301" t="s">
        <v>44</v>
      </c>
      <c r="D1361" s="266" t="s">
        <v>2377</v>
      </c>
      <c r="E1361" s="267" t="s">
        <v>1285</v>
      </c>
      <c r="F1361" s="289"/>
      <c r="G1361" s="308">
        <v>120000.0</v>
      </c>
      <c r="H1361" s="297">
        <v>0.0</v>
      </c>
      <c r="I1361" s="307">
        <v>120000.0</v>
      </c>
      <c r="J1361" s="308">
        <v>120000.0</v>
      </c>
      <c r="K1361" s="272">
        <f t="shared" si="2"/>
        <v>0</v>
      </c>
      <c r="L1361" s="290"/>
      <c r="M1361" s="290"/>
      <c r="N1361" s="290"/>
    </row>
    <row r="1362" ht="26.25" customHeight="1">
      <c r="A1362" s="281" t="s">
        <v>2386</v>
      </c>
      <c r="B1362" s="296">
        <v>45993.0</v>
      </c>
      <c r="C1362" s="317"/>
      <c r="D1362" s="266" t="s">
        <v>2377</v>
      </c>
      <c r="E1362" s="267" t="s">
        <v>1004</v>
      </c>
      <c r="F1362" s="268"/>
      <c r="G1362" s="308">
        <v>100000.0</v>
      </c>
      <c r="H1362" s="297">
        <v>0.0</v>
      </c>
      <c r="I1362" s="307">
        <v>100000.0</v>
      </c>
      <c r="J1362" s="308">
        <v>100000.0</v>
      </c>
      <c r="K1362" s="272">
        <f t="shared" si="2"/>
        <v>0</v>
      </c>
      <c r="L1362" s="273"/>
      <c r="M1362" s="273"/>
      <c r="N1362" s="273"/>
    </row>
    <row r="1363" ht="26.25" customHeight="1">
      <c r="A1363" s="295"/>
      <c r="B1363" s="296">
        <v>45993.0</v>
      </c>
      <c r="C1363" s="317"/>
      <c r="D1363" s="266" t="s">
        <v>2377</v>
      </c>
      <c r="E1363" s="267" t="s">
        <v>1091</v>
      </c>
      <c r="F1363" s="268"/>
      <c r="G1363" s="308">
        <v>95000.0</v>
      </c>
      <c r="H1363" s="297">
        <v>0.0</v>
      </c>
      <c r="I1363" s="307">
        <v>95000.0</v>
      </c>
      <c r="J1363" s="308">
        <v>95000.0</v>
      </c>
      <c r="K1363" s="272">
        <f t="shared" si="2"/>
        <v>0</v>
      </c>
      <c r="L1363" s="273"/>
      <c r="M1363" s="273"/>
      <c r="N1363" s="273"/>
    </row>
    <row r="1364" ht="26.25" customHeight="1">
      <c r="A1364" s="295"/>
      <c r="B1364" s="296">
        <v>45993.0</v>
      </c>
      <c r="C1364" s="317"/>
      <c r="D1364" s="266" t="s">
        <v>2377</v>
      </c>
      <c r="E1364" s="267" t="s">
        <v>2387</v>
      </c>
      <c r="F1364" s="268"/>
      <c r="G1364" s="308">
        <v>60000.0</v>
      </c>
      <c r="H1364" s="297">
        <v>0.0</v>
      </c>
      <c r="I1364" s="307">
        <v>60000.0</v>
      </c>
      <c r="J1364" s="308">
        <v>60000.0</v>
      </c>
      <c r="K1364" s="272">
        <f t="shared" si="2"/>
        <v>0</v>
      </c>
      <c r="L1364" s="273"/>
      <c r="M1364" s="273"/>
      <c r="N1364" s="273"/>
    </row>
    <row r="1365" ht="26.25" customHeight="1">
      <c r="A1365" s="316"/>
      <c r="B1365" s="296">
        <v>45993.0</v>
      </c>
      <c r="C1365" s="320"/>
      <c r="D1365" s="266" t="s">
        <v>2377</v>
      </c>
      <c r="E1365" s="267" t="s">
        <v>2388</v>
      </c>
      <c r="F1365" s="289"/>
      <c r="G1365" s="308">
        <v>50000.0</v>
      </c>
      <c r="H1365" s="297">
        <v>0.0</v>
      </c>
      <c r="I1365" s="307">
        <v>50000.0</v>
      </c>
      <c r="J1365" s="308">
        <v>50000.0</v>
      </c>
      <c r="K1365" s="272">
        <f t="shared" si="2"/>
        <v>0</v>
      </c>
      <c r="L1365" s="290"/>
      <c r="M1365" s="290"/>
      <c r="N1365" s="290"/>
    </row>
    <row r="1366" ht="26.25" customHeight="1">
      <c r="A1366" s="316"/>
      <c r="B1366" s="296">
        <v>45993.0</v>
      </c>
      <c r="C1366" s="320"/>
      <c r="D1366" s="266" t="s">
        <v>2377</v>
      </c>
      <c r="E1366" s="267" t="s">
        <v>2389</v>
      </c>
      <c r="F1366" s="289"/>
      <c r="G1366" s="308">
        <v>39000.0</v>
      </c>
      <c r="H1366" s="297">
        <v>0.0</v>
      </c>
      <c r="I1366" s="307">
        <v>39000.0</v>
      </c>
      <c r="J1366" s="308">
        <v>39000.0</v>
      </c>
      <c r="K1366" s="272">
        <f t="shared" si="2"/>
        <v>0</v>
      </c>
      <c r="L1366" s="290"/>
      <c r="M1366" s="290"/>
      <c r="N1366" s="290"/>
    </row>
    <row r="1367" ht="26.25" customHeight="1">
      <c r="A1367" s="316"/>
      <c r="B1367" s="296">
        <v>45993.0</v>
      </c>
      <c r="C1367" s="320"/>
      <c r="D1367" s="266" t="s">
        <v>2377</v>
      </c>
      <c r="E1367" s="267" t="s">
        <v>2390</v>
      </c>
      <c r="F1367" s="289"/>
      <c r="G1367" s="308">
        <v>30000.0</v>
      </c>
      <c r="H1367" s="297">
        <v>0.0</v>
      </c>
      <c r="I1367" s="307">
        <v>30000.0</v>
      </c>
      <c r="J1367" s="308">
        <v>30000.0</v>
      </c>
      <c r="K1367" s="272">
        <f t="shared" si="2"/>
        <v>0</v>
      </c>
      <c r="L1367" s="290"/>
      <c r="M1367" s="290"/>
      <c r="N1367" s="290"/>
    </row>
    <row r="1368" ht="26.25" customHeight="1">
      <c r="A1368" s="316"/>
      <c r="B1368" s="296">
        <v>45993.0</v>
      </c>
      <c r="C1368" s="320"/>
      <c r="D1368" s="266" t="s">
        <v>2377</v>
      </c>
      <c r="E1368" s="267" t="s">
        <v>2391</v>
      </c>
      <c r="F1368" s="289"/>
      <c r="G1368" s="308">
        <v>30000.0</v>
      </c>
      <c r="H1368" s="297">
        <v>0.0</v>
      </c>
      <c r="I1368" s="307">
        <v>30000.0</v>
      </c>
      <c r="J1368" s="308">
        <v>30000.0</v>
      </c>
      <c r="K1368" s="272">
        <f t="shared" si="2"/>
        <v>0</v>
      </c>
      <c r="L1368" s="290"/>
      <c r="M1368" s="290"/>
      <c r="N1368" s="290"/>
    </row>
    <row r="1369" ht="26.25" customHeight="1">
      <c r="A1369" s="316"/>
      <c r="B1369" s="296">
        <v>45993.0</v>
      </c>
      <c r="C1369" s="320"/>
      <c r="D1369" s="266" t="s">
        <v>2377</v>
      </c>
      <c r="E1369" s="267" t="s">
        <v>2392</v>
      </c>
      <c r="F1369" s="289"/>
      <c r="G1369" s="308">
        <v>30000.0</v>
      </c>
      <c r="H1369" s="297">
        <v>0.0</v>
      </c>
      <c r="I1369" s="307">
        <v>30000.0</v>
      </c>
      <c r="J1369" s="308">
        <v>30000.0</v>
      </c>
      <c r="K1369" s="272">
        <f t="shared" si="2"/>
        <v>0</v>
      </c>
      <c r="L1369" s="290"/>
      <c r="M1369" s="290"/>
      <c r="N1369" s="290"/>
    </row>
    <row r="1370" ht="26.25" customHeight="1">
      <c r="A1370" s="316"/>
      <c r="B1370" s="296">
        <v>45993.0</v>
      </c>
      <c r="C1370" s="317"/>
      <c r="D1370" s="266" t="s">
        <v>2377</v>
      </c>
      <c r="E1370" s="267" t="s">
        <v>2393</v>
      </c>
      <c r="F1370" s="289"/>
      <c r="G1370" s="308">
        <v>30000.0</v>
      </c>
      <c r="H1370" s="297">
        <v>0.0</v>
      </c>
      <c r="I1370" s="307">
        <v>30000.0</v>
      </c>
      <c r="J1370" s="308">
        <v>30000.0</v>
      </c>
      <c r="K1370" s="272">
        <f t="shared" si="2"/>
        <v>0</v>
      </c>
      <c r="L1370" s="290"/>
      <c r="M1370" s="290"/>
      <c r="N1370" s="290"/>
    </row>
    <row r="1371" ht="26.25" customHeight="1">
      <c r="A1371" s="316"/>
      <c r="B1371" s="296">
        <v>45993.0</v>
      </c>
      <c r="C1371" s="275" t="s">
        <v>1856</v>
      </c>
      <c r="D1371" s="266" t="s">
        <v>2377</v>
      </c>
      <c r="E1371" s="267" t="s">
        <v>2394</v>
      </c>
      <c r="F1371" s="289"/>
      <c r="G1371" s="308">
        <v>25000.0</v>
      </c>
      <c r="H1371" s="297">
        <v>0.0</v>
      </c>
      <c r="I1371" s="307">
        <v>25000.0</v>
      </c>
      <c r="J1371" s="308">
        <v>25000.0</v>
      </c>
      <c r="K1371" s="272">
        <f t="shared" si="2"/>
        <v>0</v>
      </c>
      <c r="L1371" s="290"/>
      <c r="M1371" s="290"/>
      <c r="N1371" s="290"/>
    </row>
    <row r="1372" ht="26.25" customHeight="1">
      <c r="A1372" s="316"/>
      <c r="B1372" s="296">
        <v>45993.0</v>
      </c>
      <c r="C1372" s="329"/>
      <c r="D1372" s="266" t="s">
        <v>2377</v>
      </c>
      <c r="E1372" s="267" t="s">
        <v>993</v>
      </c>
      <c r="F1372" s="289"/>
      <c r="G1372" s="308">
        <v>25000.0</v>
      </c>
      <c r="H1372" s="297">
        <v>0.0</v>
      </c>
      <c r="I1372" s="307">
        <v>25000.0</v>
      </c>
      <c r="J1372" s="308">
        <v>25000.0</v>
      </c>
      <c r="K1372" s="272">
        <f t="shared" si="2"/>
        <v>0</v>
      </c>
      <c r="L1372" s="290"/>
      <c r="M1372" s="290"/>
      <c r="N1372" s="290"/>
    </row>
    <row r="1373" ht="26.25" customHeight="1">
      <c r="A1373" s="295"/>
      <c r="B1373" s="296">
        <v>45993.0</v>
      </c>
      <c r="C1373" s="323"/>
      <c r="D1373" s="266" t="s">
        <v>2377</v>
      </c>
      <c r="E1373" s="267" t="s">
        <v>2395</v>
      </c>
      <c r="F1373" s="268"/>
      <c r="G1373" s="308">
        <v>25000.0</v>
      </c>
      <c r="H1373" s="297">
        <v>0.0</v>
      </c>
      <c r="I1373" s="307">
        <v>25000.0</v>
      </c>
      <c r="J1373" s="308">
        <v>25000.0</v>
      </c>
      <c r="K1373" s="272">
        <f t="shared" si="2"/>
        <v>0</v>
      </c>
      <c r="L1373" s="273"/>
      <c r="M1373" s="273"/>
      <c r="N1373" s="273"/>
    </row>
    <row r="1374" ht="26.25" customHeight="1">
      <c r="A1374" s="295"/>
      <c r="B1374" s="330">
        <v>45993.0</v>
      </c>
      <c r="C1374" s="323"/>
      <c r="D1374" s="266" t="s">
        <v>2377</v>
      </c>
      <c r="E1374" s="267" t="s">
        <v>1631</v>
      </c>
      <c r="F1374" s="268"/>
      <c r="G1374" s="308">
        <v>20000.0</v>
      </c>
      <c r="H1374" s="297">
        <v>0.0</v>
      </c>
      <c r="I1374" s="307">
        <v>20000.0</v>
      </c>
      <c r="J1374" s="308">
        <v>20000.0</v>
      </c>
      <c r="K1374" s="272">
        <f t="shared" si="2"/>
        <v>0</v>
      </c>
      <c r="L1374" s="273"/>
      <c r="M1374" s="273"/>
      <c r="N1374" s="273"/>
    </row>
    <row r="1375" ht="26.25" customHeight="1">
      <c r="A1375" s="305"/>
      <c r="B1375" s="296">
        <v>45993.0</v>
      </c>
      <c r="C1375" s="320"/>
      <c r="D1375" s="266" t="s">
        <v>2377</v>
      </c>
      <c r="E1375" s="267" t="s">
        <v>2396</v>
      </c>
      <c r="F1375" s="289"/>
      <c r="G1375" s="308">
        <v>17000.0</v>
      </c>
      <c r="H1375" s="297">
        <v>0.0</v>
      </c>
      <c r="I1375" s="307">
        <v>17000.0</v>
      </c>
      <c r="J1375" s="308">
        <v>17000.0</v>
      </c>
      <c r="K1375" s="272">
        <f t="shared" si="2"/>
        <v>0</v>
      </c>
      <c r="L1375" s="290"/>
      <c r="M1375" s="290"/>
      <c r="N1375" s="290"/>
    </row>
    <row r="1376" ht="26.25" customHeight="1">
      <c r="A1376" s="316"/>
      <c r="B1376" s="296">
        <v>45993.0</v>
      </c>
      <c r="C1376" s="320"/>
      <c r="D1376" s="266" t="s">
        <v>2377</v>
      </c>
      <c r="E1376" s="267" t="s">
        <v>2397</v>
      </c>
      <c r="F1376" s="289"/>
      <c r="G1376" s="308">
        <v>13000.0</v>
      </c>
      <c r="H1376" s="297">
        <v>0.0</v>
      </c>
      <c r="I1376" s="307">
        <v>13000.0</v>
      </c>
      <c r="J1376" s="308">
        <v>13000.0</v>
      </c>
      <c r="K1376" s="272">
        <f t="shared" si="2"/>
        <v>0</v>
      </c>
      <c r="L1376" s="290"/>
      <c r="M1376" s="290"/>
      <c r="N1376" s="290"/>
    </row>
    <row r="1377" ht="26.25" customHeight="1">
      <c r="A1377" s="316"/>
      <c r="B1377" s="296">
        <v>45993.0</v>
      </c>
      <c r="C1377" s="320"/>
      <c r="D1377" s="266" t="s">
        <v>2377</v>
      </c>
      <c r="E1377" s="267" t="s">
        <v>2398</v>
      </c>
      <c r="F1377" s="289"/>
      <c r="G1377" s="308">
        <v>10000.0</v>
      </c>
      <c r="H1377" s="297">
        <v>0.0</v>
      </c>
      <c r="I1377" s="307">
        <v>10000.0</v>
      </c>
      <c r="J1377" s="308">
        <v>10000.0</v>
      </c>
      <c r="K1377" s="272">
        <f t="shared" si="2"/>
        <v>0</v>
      </c>
      <c r="L1377" s="290"/>
      <c r="M1377" s="290"/>
      <c r="N1377" s="290"/>
    </row>
    <row r="1378" ht="26.25" customHeight="1">
      <c r="A1378" s="316"/>
      <c r="B1378" s="296">
        <v>45993.0</v>
      </c>
      <c r="C1378" s="320"/>
      <c r="D1378" s="266" t="s">
        <v>2377</v>
      </c>
      <c r="E1378" s="267" t="s">
        <v>2399</v>
      </c>
      <c r="F1378" s="289"/>
      <c r="G1378" s="308">
        <v>10000.0</v>
      </c>
      <c r="H1378" s="297">
        <v>0.0</v>
      </c>
      <c r="I1378" s="307">
        <v>10000.0</v>
      </c>
      <c r="J1378" s="308">
        <v>10000.0</v>
      </c>
      <c r="K1378" s="272">
        <f t="shared" si="2"/>
        <v>0</v>
      </c>
      <c r="L1378" s="290"/>
      <c r="M1378" s="290"/>
      <c r="N1378" s="290"/>
    </row>
    <row r="1379" ht="26.25" customHeight="1">
      <c r="A1379" s="316"/>
      <c r="B1379" s="296">
        <v>45993.0</v>
      </c>
      <c r="C1379" s="320"/>
      <c r="D1379" s="266" t="s">
        <v>2377</v>
      </c>
      <c r="E1379" s="267" t="s">
        <v>2400</v>
      </c>
      <c r="F1379" s="289"/>
      <c r="G1379" s="308">
        <v>10000.0</v>
      </c>
      <c r="H1379" s="297">
        <v>0.0</v>
      </c>
      <c r="I1379" s="307">
        <v>10000.0</v>
      </c>
      <c r="J1379" s="308">
        <v>10000.0</v>
      </c>
      <c r="K1379" s="272">
        <f t="shared" si="2"/>
        <v>0</v>
      </c>
      <c r="L1379" s="290"/>
      <c r="M1379" s="290"/>
      <c r="N1379" s="290"/>
    </row>
    <row r="1380" ht="26.25" customHeight="1">
      <c r="A1380" s="305"/>
      <c r="B1380" s="296">
        <v>45993.0</v>
      </c>
      <c r="C1380" s="320"/>
      <c r="D1380" s="266" t="s">
        <v>2377</v>
      </c>
      <c r="E1380" s="267" t="s">
        <v>2401</v>
      </c>
      <c r="F1380" s="289"/>
      <c r="G1380" s="308">
        <v>10000.0</v>
      </c>
      <c r="H1380" s="297">
        <v>0.0</v>
      </c>
      <c r="I1380" s="307">
        <v>10000.0</v>
      </c>
      <c r="J1380" s="308">
        <v>10000.0</v>
      </c>
      <c r="K1380" s="272">
        <f t="shared" si="2"/>
        <v>0</v>
      </c>
      <c r="L1380" s="290"/>
      <c r="M1380" s="290"/>
      <c r="N1380" s="290"/>
    </row>
    <row r="1381" ht="26.25" customHeight="1">
      <c r="A1381" s="316"/>
      <c r="B1381" s="296">
        <v>45993.0</v>
      </c>
      <c r="C1381" s="320"/>
      <c r="D1381" s="266" t="s">
        <v>2377</v>
      </c>
      <c r="E1381" s="267" t="s">
        <v>1690</v>
      </c>
      <c r="F1381" s="289"/>
      <c r="G1381" s="308">
        <v>10000.0</v>
      </c>
      <c r="H1381" s="297">
        <v>0.0</v>
      </c>
      <c r="I1381" s="307">
        <v>10000.0</v>
      </c>
      <c r="J1381" s="308">
        <v>10000.0</v>
      </c>
      <c r="K1381" s="272">
        <f t="shared" si="2"/>
        <v>0</v>
      </c>
      <c r="L1381" s="290"/>
      <c r="M1381" s="290"/>
      <c r="N1381" s="290"/>
    </row>
    <row r="1382" ht="26.25" customHeight="1">
      <c r="A1382" s="316"/>
      <c r="B1382" s="296">
        <v>45993.0</v>
      </c>
      <c r="C1382" s="320"/>
      <c r="D1382" s="266" t="s">
        <v>2377</v>
      </c>
      <c r="E1382" s="267" t="s">
        <v>2402</v>
      </c>
      <c r="F1382" s="289"/>
      <c r="G1382" s="308">
        <v>10000.0</v>
      </c>
      <c r="H1382" s="297">
        <v>0.0</v>
      </c>
      <c r="I1382" s="307">
        <v>10000.0</v>
      </c>
      <c r="J1382" s="308">
        <v>10000.0</v>
      </c>
      <c r="K1382" s="272">
        <f t="shared" si="2"/>
        <v>0</v>
      </c>
      <c r="L1382" s="290"/>
      <c r="M1382" s="290"/>
      <c r="N1382" s="290"/>
    </row>
    <row r="1383" ht="26.25" customHeight="1">
      <c r="A1383" s="316"/>
      <c r="B1383" s="296">
        <v>45993.0</v>
      </c>
      <c r="C1383" s="320"/>
      <c r="D1383" s="266" t="s">
        <v>2377</v>
      </c>
      <c r="E1383" s="267" t="s">
        <v>1676</v>
      </c>
      <c r="F1383" s="289"/>
      <c r="G1383" s="308">
        <v>6000.0</v>
      </c>
      <c r="H1383" s="297">
        <v>0.0</v>
      </c>
      <c r="I1383" s="307">
        <v>6000.0</v>
      </c>
      <c r="J1383" s="308">
        <v>6000.0</v>
      </c>
      <c r="K1383" s="272">
        <f t="shared" si="2"/>
        <v>0</v>
      </c>
      <c r="L1383" s="290"/>
      <c r="M1383" s="290"/>
      <c r="N1383" s="290"/>
    </row>
    <row r="1384" ht="26.25" customHeight="1">
      <c r="A1384" s="316"/>
      <c r="B1384" s="296">
        <v>45993.0</v>
      </c>
      <c r="C1384" s="320"/>
      <c r="D1384" s="266" t="s">
        <v>2377</v>
      </c>
      <c r="E1384" s="267" t="s">
        <v>2403</v>
      </c>
      <c r="F1384" s="289"/>
      <c r="G1384" s="308">
        <v>5000.0</v>
      </c>
      <c r="H1384" s="297">
        <v>0.0</v>
      </c>
      <c r="I1384" s="307">
        <v>5000.0</v>
      </c>
      <c r="J1384" s="308">
        <v>5000.0</v>
      </c>
      <c r="K1384" s="272">
        <f t="shared" si="2"/>
        <v>0</v>
      </c>
      <c r="L1384" s="290"/>
      <c r="M1384" s="290"/>
      <c r="N1384" s="290"/>
    </row>
    <row r="1385" ht="26.25" customHeight="1">
      <c r="A1385" s="295"/>
      <c r="B1385" s="296">
        <v>45993.0</v>
      </c>
      <c r="C1385" s="317"/>
      <c r="D1385" s="266" t="s">
        <v>2377</v>
      </c>
      <c r="E1385" s="267" t="s">
        <v>2404</v>
      </c>
      <c r="F1385" s="268"/>
      <c r="G1385" s="308">
        <v>5000.0</v>
      </c>
      <c r="H1385" s="297">
        <v>0.0</v>
      </c>
      <c r="I1385" s="307">
        <v>5000.0</v>
      </c>
      <c r="J1385" s="308">
        <v>5000.0</v>
      </c>
      <c r="K1385" s="272">
        <f t="shared" si="2"/>
        <v>0</v>
      </c>
      <c r="L1385" s="273"/>
      <c r="M1385" s="273"/>
      <c r="N1385" s="273"/>
    </row>
    <row r="1386" ht="26.25" customHeight="1">
      <c r="A1386" s="295"/>
      <c r="B1386" s="296">
        <v>45993.0</v>
      </c>
      <c r="C1386" s="317"/>
      <c r="D1386" s="266" t="s">
        <v>2377</v>
      </c>
      <c r="E1386" s="267" t="s">
        <v>1563</v>
      </c>
      <c r="F1386" s="268"/>
      <c r="G1386" s="308">
        <v>5000.0</v>
      </c>
      <c r="H1386" s="297">
        <v>0.0</v>
      </c>
      <c r="I1386" s="307">
        <v>5000.0</v>
      </c>
      <c r="J1386" s="308">
        <v>5000.0</v>
      </c>
      <c r="K1386" s="272">
        <f t="shared" si="2"/>
        <v>0</v>
      </c>
      <c r="L1386" s="273"/>
      <c r="M1386" s="273"/>
      <c r="N1386" s="273"/>
    </row>
    <row r="1387" ht="26.25" customHeight="1">
      <c r="A1387" s="295"/>
      <c r="B1387" s="296">
        <v>46007.0</v>
      </c>
      <c r="C1387" s="317"/>
      <c r="D1387" s="266"/>
      <c r="E1387" s="267" t="s">
        <v>2364</v>
      </c>
      <c r="F1387" s="268"/>
      <c r="G1387" s="318">
        <v>1.0707E7</v>
      </c>
      <c r="H1387" s="297"/>
      <c r="I1387" s="318">
        <v>1.0707E7</v>
      </c>
      <c r="J1387" s="318">
        <v>8634000.0</v>
      </c>
      <c r="K1387" s="272">
        <f>IFERROR(I1387-J1387,0)</f>
        <v>2073000</v>
      </c>
      <c r="L1387" s="273"/>
      <c r="M1387" s="273"/>
      <c r="N1387" s="273"/>
    </row>
    <row r="1388" ht="26.25" customHeight="1">
      <c r="A1388" s="316"/>
      <c r="B1388" s="296">
        <v>45994.0</v>
      </c>
      <c r="C1388" s="317"/>
      <c r="D1388" s="266" t="s">
        <v>31</v>
      </c>
      <c r="E1388" s="267" t="s">
        <v>2405</v>
      </c>
      <c r="F1388" s="289"/>
      <c r="G1388" s="308">
        <v>300000.0</v>
      </c>
      <c r="H1388" s="327">
        <v>0.0</v>
      </c>
      <c r="I1388" s="307">
        <v>300000.0</v>
      </c>
      <c r="J1388" s="308">
        <v>300000.0</v>
      </c>
      <c r="K1388" s="272">
        <f t="shared" ref="K1388:K1430" si="3">IFERROR(G1388-H1388-J1388,0)</f>
        <v>0</v>
      </c>
      <c r="L1388" s="290"/>
      <c r="M1388" s="290"/>
      <c r="N1388" s="290"/>
    </row>
    <row r="1389" ht="26.25" customHeight="1">
      <c r="A1389" s="316"/>
      <c r="B1389" s="296">
        <v>45994.0</v>
      </c>
      <c r="C1389" s="320"/>
      <c r="D1389" s="266" t="s">
        <v>31</v>
      </c>
      <c r="E1389" s="267" t="s">
        <v>1111</v>
      </c>
      <c r="F1389" s="289"/>
      <c r="G1389" s="308">
        <v>125000.0</v>
      </c>
      <c r="H1389" s="327">
        <v>0.0</v>
      </c>
      <c r="I1389" s="307">
        <v>125000.0</v>
      </c>
      <c r="J1389" s="308">
        <v>125000.0</v>
      </c>
      <c r="K1389" s="272">
        <f t="shared" si="3"/>
        <v>0</v>
      </c>
      <c r="L1389" s="290"/>
      <c r="M1389" s="290"/>
      <c r="N1389" s="290"/>
    </row>
    <row r="1390" ht="26.25" customHeight="1">
      <c r="A1390" s="316"/>
      <c r="B1390" s="296">
        <v>45994.0</v>
      </c>
      <c r="C1390" s="320"/>
      <c r="D1390" s="266" t="s">
        <v>31</v>
      </c>
      <c r="E1390" s="267" t="s">
        <v>2406</v>
      </c>
      <c r="F1390" s="289"/>
      <c r="G1390" s="308">
        <v>30000.0</v>
      </c>
      <c r="H1390" s="327">
        <v>0.0</v>
      </c>
      <c r="I1390" s="307">
        <v>30000.0</v>
      </c>
      <c r="J1390" s="308">
        <v>30000.0</v>
      </c>
      <c r="K1390" s="272">
        <f t="shared" si="3"/>
        <v>0</v>
      </c>
      <c r="L1390" s="290"/>
      <c r="M1390" s="290"/>
      <c r="N1390" s="290"/>
    </row>
    <row r="1391" ht="26.25" customHeight="1">
      <c r="A1391" s="295"/>
      <c r="B1391" s="331">
        <v>45994.0</v>
      </c>
      <c r="C1391" s="323"/>
      <c r="D1391" s="266" t="s">
        <v>31</v>
      </c>
      <c r="E1391" s="267" t="s">
        <v>1269</v>
      </c>
      <c r="F1391" s="268"/>
      <c r="G1391" s="308">
        <v>720000.0</v>
      </c>
      <c r="H1391" s="327">
        <v>0.0</v>
      </c>
      <c r="I1391" s="307">
        <v>720000.0</v>
      </c>
      <c r="J1391" s="308">
        <v>720000.0</v>
      </c>
      <c r="K1391" s="272">
        <f t="shared" si="3"/>
        <v>0</v>
      </c>
      <c r="L1391" s="273"/>
      <c r="M1391" s="273"/>
      <c r="N1391" s="273"/>
    </row>
    <row r="1392" ht="26.25" customHeight="1">
      <c r="A1392" s="295"/>
      <c r="B1392" s="330">
        <v>45994.0</v>
      </c>
      <c r="C1392" s="323"/>
      <c r="D1392" s="266" t="s">
        <v>31</v>
      </c>
      <c r="E1392" s="267" t="s">
        <v>2407</v>
      </c>
      <c r="F1392" s="268"/>
      <c r="G1392" s="308">
        <v>245000.0</v>
      </c>
      <c r="H1392" s="327">
        <v>0.0</v>
      </c>
      <c r="I1392" s="307">
        <v>245000.0</v>
      </c>
      <c r="J1392" s="308">
        <v>245000.0</v>
      </c>
      <c r="K1392" s="272">
        <f t="shared" si="3"/>
        <v>0</v>
      </c>
      <c r="L1392" s="273"/>
      <c r="M1392" s="273"/>
      <c r="N1392" s="273"/>
    </row>
    <row r="1393" ht="26.25" customHeight="1">
      <c r="A1393" s="295"/>
      <c r="B1393" s="296">
        <v>45994.0</v>
      </c>
      <c r="C1393" s="317"/>
      <c r="D1393" s="266" t="s">
        <v>31</v>
      </c>
      <c r="E1393" s="267" t="s">
        <v>2408</v>
      </c>
      <c r="F1393" s="268"/>
      <c r="G1393" s="308">
        <v>52000.0</v>
      </c>
      <c r="H1393" s="327">
        <v>0.0</v>
      </c>
      <c r="I1393" s="307">
        <v>52000.0</v>
      </c>
      <c r="J1393" s="308">
        <v>52000.0</v>
      </c>
      <c r="K1393" s="272">
        <f t="shared" si="3"/>
        <v>0</v>
      </c>
      <c r="L1393" s="273"/>
      <c r="M1393" s="273"/>
      <c r="N1393" s="273"/>
    </row>
    <row r="1394" ht="26.25" customHeight="1">
      <c r="A1394" s="295"/>
      <c r="B1394" s="296">
        <v>45994.0</v>
      </c>
      <c r="C1394" s="317"/>
      <c r="D1394" s="266" t="s">
        <v>31</v>
      </c>
      <c r="E1394" s="267" t="s">
        <v>2409</v>
      </c>
      <c r="F1394" s="268"/>
      <c r="G1394" s="308">
        <v>47000.0</v>
      </c>
      <c r="H1394" s="327">
        <v>0.0</v>
      </c>
      <c r="I1394" s="307">
        <v>47000.0</v>
      </c>
      <c r="J1394" s="308">
        <v>47000.0</v>
      </c>
      <c r="K1394" s="272">
        <f t="shared" si="3"/>
        <v>0</v>
      </c>
      <c r="L1394" s="273"/>
      <c r="M1394" s="273"/>
      <c r="N1394" s="273"/>
    </row>
    <row r="1395" ht="26.25" customHeight="1">
      <c r="A1395" s="295"/>
      <c r="B1395" s="296">
        <v>45994.0</v>
      </c>
      <c r="C1395" s="317"/>
      <c r="D1395" s="266" t="s">
        <v>31</v>
      </c>
      <c r="E1395" s="267" t="s">
        <v>2410</v>
      </c>
      <c r="F1395" s="268"/>
      <c r="G1395" s="308">
        <v>35000.0</v>
      </c>
      <c r="H1395" s="297">
        <v>0.0</v>
      </c>
      <c r="I1395" s="307">
        <v>35000.0</v>
      </c>
      <c r="J1395" s="308">
        <v>35000.0</v>
      </c>
      <c r="K1395" s="272">
        <f t="shared" si="3"/>
        <v>0</v>
      </c>
      <c r="L1395" s="273"/>
      <c r="M1395" s="273"/>
      <c r="N1395" s="273"/>
    </row>
    <row r="1396" ht="26.25" customHeight="1">
      <c r="A1396" s="316"/>
      <c r="B1396" s="296">
        <v>45995.0</v>
      </c>
      <c r="C1396" s="320"/>
      <c r="D1396" s="266" t="s">
        <v>31</v>
      </c>
      <c r="E1396" s="267" t="s">
        <v>2411</v>
      </c>
      <c r="F1396" s="289"/>
      <c r="G1396" s="308">
        <v>35000.0</v>
      </c>
      <c r="H1396" s="297">
        <v>0.0</v>
      </c>
      <c r="I1396" s="307">
        <v>35000.0</v>
      </c>
      <c r="J1396" s="308">
        <v>35000.0</v>
      </c>
      <c r="K1396" s="272">
        <f t="shared" si="3"/>
        <v>0</v>
      </c>
      <c r="L1396" s="290"/>
      <c r="M1396" s="290"/>
      <c r="N1396" s="290"/>
    </row>
    <row r="1397" ht="26.25" customHeight="1">
      <c r="A1397" s="316"/>
      <c r="B1397" s="296">
        <v>45995.0</v>
      </c>
      <c r="C1397" s="320"/>
      <c r="D1397" s="266" t="s">
        <v>31</v>
      </c>
      <c r="E1397" s="267" t="s">
        <v>2412</v>
      </c>
      <c r="F1397" s="289"/>
      <c r="G1397" s="308">
        <v>115000.0</v>
      </c>
      <c r="H1397" s="297">
        <v>0.0</v>
      </c>
      <c r="I1397" s="307">
        <v>115000.0</v>
      </c>
      <c r="J1397" s="308">
        <v>115000.0</v>
      </c>
      <c r="K1397" s="272">
        <f t="shared" si="3"/>
        <v>0</v>
      </c>
      <c r="L1397" s="290"/>
      <c r="M1397" s="290"/>
      <c r="N1397" s="290"/>
    </row>
    <row r="1398" ht="26.25" customHeight="1">
      <c r="A1398" s="316"/>
      <c r="B1398" s="296">
        <v>45996.0</v>
      </c>
      <c r="C1398" s="320"/>
      <c r="D1398" s="266" t="s">
        <v>31</v>
      </c>
      <c r="E1398" s="267" t="s">
        <v>2349</v>
      </c>
      <c r="F1398" s="289"/>
      <c r="G1398" s="308">
        <v>15000.0</v>
      </c>
      <c r="H1398" s="297">
        <v>0.0</v>
      </c>
      <c r="I1398" s="307">
        <v>15000.0</v>
      </c>
      <c r="J1398" s="308">
        <v>15000.0</v>
      </c>
      <c r="K1398" s="272">
        <f t="shared" si="3"/>
        <v>0</v>
      </c>
      <c r="L1398" s="290"/>
      <c r="M1398" s="290"/>
      <c r="N1398" s="290"/>
    </row>
    <row r="1399" ht="26.25" customHeight="1">
      <c r="A1399" s="295"/>
      <c r="B1399" s="296">
        <v>45996.0</v>
      </c>
      <c r="C1399" s="317"/>
      <c r="D1399" s="266" t="s">
        <v>31</v>
      </c>
      <c r="E1399" s="267" t="s">
        <v>2413</v>
      </c>
      <c r="F1399" s="268"/>
      <c r="G1399" s="308">
        <v>45000.0</v>
      </c>
      <c r="H1399" s="297">
        <v>0.0</v>
      </c>
      <c r="I1399" s="307">
        <v>45000.0</v>
      </c>
      <c r="J1399" s="308">
        <v>45000.0</v>
      </c>
      <c r="K1399" s="272">
        <f t="shared" si="3"/>
        <v>0</v>
      </c>
      <c r="L1399" s="273"/>
      <c r="M1399" s="273"/>
      <c r="N1399" s="273"/>
    </row>
    <row r="1400" ht="26.25" customHeight="1">
      <c r="A1400" s="316"/>
      <c r="B1400" s="296">
        <v>45996.0</v>
      </c>
      <c r="C1400" s="320"/>
      <c r="D1400" s="266" t="s">
        <v>31</v>
      </c>
      <c r="E1400" s="267" t="s">
        <v>2414</v>
      </c>
      <c r="F1400" s="289"/>
      <c r="G1400" s="308">
        <v>15000.0</v>
      </c>
      <c r="H1400" s="297">
        <v>0.0</v>
      </c>
      <c r="I1400" s="307">
        <v>15000.0</v>
      </c>
      <c r="J1400" s="308">
        <v>15000.0</v>
      </c>
      <c r="K1400" s="272">
        <f t="shared" si="3"/>
        <v>0</v>
      </c>
      <c r="L1400" s="290"/>
      <c r="M1400" s="290"/>
      <c r="N1400" s="290"/>
    </row>
    <row r="1401" ht="26.25" customHeight="1">
      <c r="A1401" s="295"/>
      <c r="B1401" s="296">
        <v>45996.0</v>
      </c>
      <c r="C1401" s="317"/>
      <c r="D1401" s="266" t="s">
        <v>31</v>
      </c>
      <c r="E1401" s="267" t="s">
        <v>2415</v>
      </c>
      <c r="F1401" s="268"/>
      <c r="G1401" s="308">
        <v>21000.0</v>
      </c>
      <c r="H1401" s="297">
        <v>0.0</v>
      </c>
      <c r="I1401" s="307">
        <v>21000.0</v>
      </c>
      <c r="J1401" s="308">
        <v>21000.0</v>
      </c>
      <c r="K1401" s="272">
        <f t="shared" si="3"/>
        <v>0</v>
      </c>
      <c r="L1401" s="273"/>
      <c r="M1401" s="273"/>
      <c r="N1401" s="273"/>
    </row>
    <row r="1402" ht="26.25" customHeight="1">
      <c r="A1402" s="295"/>
      <c r="B1402" s="331">
        <v>45996.0</v>
      </c>
      <c r="C1402" s="323"/>
      <c r="D1402" s="266" t="s">
        <v>31</v>
      </c>
      <c r="E1402" s="267" t="s">
        <v>575</v>
      </c>
      <c r="F1402" s="268"/>
      <c r="G1402" s="308">
        <v>35000.0</v>
      </c>
      <c r="H1402" s="297">
        <v>0.0</v>
      </c>
      <c r="I1402" s="307">
        <v>35000.0</v>
      </c>
      <c r="J1402" s="308">
        <v>35000.0</v>
      </c>
      <c r="K1402" s="272">
        <f t="shared" si="3"/>
        <v>0</v>
      </c>
      <c r="L1402" s="273"/>
      <c r="M1402" s="273"/>
      <c r="N1402" s="273"/>
    </row>
    <row r="1403" ht="26.25" customHeight="1">
      <c r="A1403" s="295"/>
      <c r="B1403" s="296">
        <v>45996.0</v>
      </c>
      <c r="C1403" s="317"/>
      <c r="D1403" s="266" t="s">
        <v>31</v>
      </c>
      <c r="E1403" s="267" t="s">
        <v>2416</v>
      </c>
      <c r="F1403" s="268"/>
      <c r="G1403" s="308">
        <v>100000.0</v>
      </c>
      <c r="H1403" s="297">
        <v>0.0</v>
      </c>
      <c r="I1403" s="307">
        <v>100000.0</v>
      </c>
      <c r="J1403" s="308">
        <v>100000.0</v>
      </c>
      <c r="K1403" s="272">
        <f t="shared" si="3"/>
        <v>0</v>
      </c>
      <c r="L1403" s="273"/>
      <c r="M1403" s="273"/>
      <c r="N1403" s="273"/>
    </row>
    <row r="1404" ht="26.25" customHeight="1">
      <c r="A1404" s="295"/>
      <c r="B1404" s="296">
        <v>45997.0</v>
      </c>
      <c r="C1404" s="317"/>
      <c r="D1404" s="266" t="s">
        <v>2417</v>
      </c>
      <c r="E1404" s="267" t="s">
        <v>2418</v>
      </c>
      <c r="F1404" s="268"/>
      <c r="G1404" s="321">
        <v>460000.0</v>
      </c>
      <c r="H1404" s="297">
        <v>0.0</v>
      </c>
      <c r="I1404" s="322">
        <v>460000.0</v>
      </c>
      <c r="J1404" s="321">
        <v>460000.0</v>
      </c>
      <c r="K1404" s="272">
        <f t="shared" si="3"/>
        <v>0</v>
      </c>
      <c r="L1404" s="273"/>
      <c r="M1404" s="273"/>
      <c r="N1404" s="273"/>
    </row>
    <row r="1405" ht="26.25" customHeight="1">
      <c r="A1405" s="295"/>
      <c r="B1405" s="296">
        <v>45997.0</v>
      </c>
      <c r="C1405" s="317"/>
      <c r="D1405" s="266" t="s">
        <v>2417</v>
      </c>
      <c r="E1405" s="267" t="s">
        <v>2349</v>
      </c>
      <c r="F1405" s="268"/>
      <c r="G1405" s="321">
        <v>6000.0</v>
      </c>
      <c r="H1405" s="297">
        <v>0.0</v>
      </c>
      <c r="I1405" s="322">
        <v>6000.0</v>
      </c>
      <c r="J1405" s="321">
        <v>6000.0</v>
      </c>
      <c r="K1405" s="272">
        <f t="shared" si="3"/>
        <v>0</v>
      </c>
      <c r="L1405" s="273"/>
      <c r="M1405" s="273"/>
      <c r="N1405" s="273"/>
    </row>
    <row r="1406" ht="26.25" customHeight="1">
      <c r="A1406" s="295"/>
      <c r="B1406" s="296">
        <v>45997.0</v>
      </c>
      <c r="C1406" s="317"/>
      <c r="D1406" s="266" t="s">
        <v>2417</v>
      </c>
      <c r="E1406" s="267" t="s">
        <v>2419</v>
      </c>
      <c r="F1406" s="268"/>
      <c r="G1406" s="321">
        <v>3000.0</v>
      </c>
      <c r="H1406" s="297">
        <v>0.0</v>
      </c>
      <c r="I1406" s="322">
        <v>3000.0</v>
      </c>
      <c r="J1406" s="321">
        <v>3000.0</v>
      </c>
      <c r="K1406" s="272">
        <f t="shared" si="3"/>
        <v>0</v>
      </c>
      <c r="L1406" s="273"/>
      <c r="M1406" s="273"/>
      <c r="N1406" s="273"/>
    </row>
    <row r="1407" ht="26.25" customHeight="1">
      <c r="A1407" s="316"/>
      <c r="B1407" s="296">
        <v>45997.0</v>
      </c>
      <c r="C1407" s="320"/>
      <c r="D1407" s="266" t="s">
        <v>2417</v>
      </c>
      <c r="E1407" s="267" t="s">
        <v>2420</v>
      </c>
      <c r="F1407" s="289"/>
      <c r="G1407" s="321">
        <v>1000.0</v>
      </c>
      <c r="H1407" s="297">
        <v>0.0</v>
      </c>
      <c r="I1407" s="322">
        <v>1000.0</v>
      </c>
      <c r="J1407" s="321">
        <v>1000.0</v>
      </c>
      <c r="K1407" s="272">
        <f t="shared" si="3"/>
        <v>0</v>
      </c>
      <c r="L1407" s="290"/>
      <c r="M1407" s="290"/>
      <c r="N1407" s="290"/>
    </row>
    <row r="1408" ht="26.25" customHeight="1">
      <c r="A1408" s="316"/>
      <c r="B1408" s="296">
        <v>45998.0</v>
      </c>
      <c r="C1408" s="320"/>
      <c r="D1408" s="266" t="s">
        <v>2417</v>
      </c>
      <c r="E1408" s="267" t="s">
        <v>2421</v>
      </c>
      <c r="F1408" s="289"/>
      <c r="G1408" s="321">
        <v>1000.0</v>
      </c>
      <c r="H1408" s="297">
        <v>0.0</v>
      </c>
      <c r="I1408" s="322">
        <v>1000.0</v>
      </c>
      <c r="J1408" s="321">
        <v>1000.0</v>
      </c>
      <c r="K1408" s="272">
        <f t="shared" si="3"/>
        <v>0</v>
      </c>
      <c r="L1408" s="290"/>
      <c r="M1408" s="290"/>
      <c r="N1408" s="290"/>
    </row>
    <row r="1409" ht="26.25" customHeight="1">
      <c r="A1409" s="316"/>
      <c r="B1409" s="296">
        <v>45999.0</v>
      </c>
      <c r="C1409" s="320"/>
      <c r="D1409" s="266" t="s">
        <v>2417</v>
      </c>
      <c r="E1409" s="267" t="s">
        <v>1579</v>
      </c>
      <c r="F1409" s="289"/>
      <c r="G1409" s="332">
        <v>15000.0</v>
      </c>
      <c r="H1409" s="297">
        <v>0.0</v>
      </c>
      <c r="I1409" s="333">
        <v>15000.0</v>
      </c>
      <c r="J1409" s="332">
        <v>15000.0</v>
      </c>
      <c r="K1409" s="272">
        <f t="shared" si="3"/>
        <v>0</v>
      </c>
      <c r="L1409" s="290"/>
      <c r="M1409" s="290"/>
      <c r="N1409" s="290"/>
    </row>
    <row r="1410" ht="26.25" customHeight="1">
      <c r="A1410" s="305"/>
      <c r="B1410" s="296">
        <v>45999.0</v>
      </c>
      <c r="C1410" s="320"/>
      <c r="D1410" s="266" t="s">
        <v>2417</v>
      </c>
      <c r="E1410" s="267" t="s">
        <v>2422</v>
      </c>
      <c r="F1410" s="289"/>
      <c r="G1410" s="321">
        <v>12000.0</v>
      </c>
      <c r="H1410" s="297">
        <v>0.0</v>
      </c>
      <c r="I1410" s="322">
        <v>12000.0</v>
      </c>
      <c r="J1410" s="321">
        <v>12000.0</v>
      </c>
      <c r="K1410" s="272">
        <f t="shared" si="3"/>
        <v>0</v>
      </c>
      <c r="L1410" s="290"/>
      <c r="M1410" s="290"/>
      <c r="N1410" s="290"/>
    </row>
    <row r="1411" ht="26.25" customHeight="1">
      <c r="A1411" s="316"/>
      <c r="B1411" s="296">
        <v>45999.0</v>
      </c>
      <c r="C1411" s="323"/>
      <c r="D1411" s="266" t="s">
        <v>2417</v>
      </c>
      <c r="E1411" s="267" t="s">
        <v>2423</v>
      </c>
      <c r="F1411" s="289"/>
      <c r="G1411" s="321">
        <v>2000.0</v>
      </c>
      <c r="H1411" s="297">
        <v>0.0</v>
      </c>
      <c r="I1411" s="322">
        <v>2000.0</v>
      </c>
      <c r="J1411" s="321">
        <v>2000.0</v>
      </c>
      <c r="K1411" s="272">
        <f t="shared" si="3"/>
        <v>0</v>
      </c>
      <c r="L1411" s="290"/>
      <c r="M1411" s="290"/>
      <c r="N1411" s="290"/>
    </row>
    <row r="1412" ht="26.25" customHeight="1">
      <c r="A1412" s="316"/>
      <c r="B1412" s="296">
        <v>46001.0</v>
      </c>
      <c r="C1412" s="265" t="s">
        <v>44</v>
      </c>
      <c r="D1412" s="266" t="s">
        <v>930</v>
      </c>
      <c r="E1412" s="267" t="s">
        <v>2424</v>
      </c>
      <c r="F1412" s="289"/>
      <c r="G1412" s="321">
        <v>1000000.0</v>
      </c>
      <c r="H1412" s="297">
        <v>0.0</v>
      </c>
      <c r="I1412" s="322">
        <v>1000000.0</v>
      </c>
      <c r="J1412" s="321">
        <v>1000000.0</v>
      </c>
      <c r="K1412" s="272">
        <f t="shared" si="3"/>
        <v>0</v>
      </c>
      <c r="L1412" s="290"/>
      <c r="M1412" s="290"/>
      <c r="N1412" s="290"/>
    </row>
    <row r="1413" ht="26.25" customHeight="1">
      <c r="A1413" s="316"/>
      <c r="B1413" s="296">
        <v>46001.0</v>
      </c>
      <c r="C1413" s="320"/>
      <c r="D1413" s="266" t="s">
        <v>930</v>
      </c>
      <c r="E1413" s="267" t="s">
        <v>2424</v>
      </c>
      <c r="F1413" s="289"/>
      <c r="G1413" s="321">
        <v>694000.0</v>
      </c>
      <c r="H1413" s="297">
        <v>0.0</v>
      </c>
      <c r="I1413" s="322">
        <v>694000.0</v>
      </c>
      <c r="J1413" s="321">
        <v>694000.0</v>
      </c>
      <c r="K1413" s="272">
        <f t="shared" si="3"/>
        <v>0</v>
      </c>
      <c r="L1413" s="290"/>
      <c r="M1413" s="290"/>
      <c r="N1413" s="290"/>
    </row>
    <row r="1414" ht="26.25" customHeight="1">
      <c r="A1414" s="288" t="s">
        <v>2425</v>
      </c>
      <c r="B1414" s="296">
        <v>46001.0</v>
      </c>
      <c r="C1414" s="320"/>
      <c r="D1414" s="266" t="s">
        <v>2377</v>
      </c>
      <c r="E1414" s="267" t="s">
        <v>2426</v>
      </c>
      <c r="F1414" s="289"/>
      <c r="G1414" s="321">
        <v>90000.0</v>
      </c>
      <c r="H1414" s="297">
        <v>0.0</v>
      </c>
      <c r="I1414" s="322">
        <v>90000.0</v>
      </c>
      <c r="J1414" s="321">
        <v>90000.0</v>
      </c>
      <c r="K1414" s="272">
        <f t="shared" si="3"/>
        <v>0</v>
      </c>
      <c r="L1414" s="290"/>
      <c r="M1414" s="290"/>
      <c r="N1414" s="290"/>
    </row>
    <row r="1415" ht="26.25" customHeight="1">
      <c r="A1415" s="288" t="s">
        <v>2427</v>
      </c>
      <c r="B1415" s="296">
        <v>46001.0</v>
      </c>
      <c r="C1415" s="334"/>
      <c r="D1415" s="266" t="s">
        <v>2377</v>
      </c>
      <c r="E1415" s="267" t="s">
        <v>2428</v>
      </c>
      <c r="F1415" s="289"/>
      <c r="G1415" s="321">
        <v>18000.0</v>
      </c>
      <c r="H1415" s="297">
        <v>0.0</v>
      </c>
      <c r="I1415" s="322">
        <v>18000.0</v>
      </c>
      <c r="J1415" s="321">
        <v>18000.0</v>
      </c>
      <c r="K1415" s="272">
        <f t="shared" si="3"/>
        <v>0</v>
      </c>
      <c r="L1415" s="290"/>
      <c r="M1415" s="290"/>
      <c r="N1415" s="290"/>
    </row>
    <row r="1416" ht="26.25" customHeight="1">
      <c r="A1416" s="295"/>
      <c r="B1416" s="331">
        <v>46008.0</v>
      </c>
      <c r="C1416" s="323"/>
      <c r="D1416" s="266" t="s">
        <v>31</v>
      </c>
      <c r="E1416" s="267" t="s">
        <v>1599</v>
      </c>
      <c r="F1416" s="268"/>
      <c r="G1416" s="321">
        <v>65000.0</v>
      </c>
      <c r="H1416" s="297">
        <v>0.0</v>
      </c>
      <c r="I1416" s="322">
        <v>65000.0</v>
      </c>
      <c r="J1416" s="321">
        <v>65000.0</v>
      </c>
      <c r="K1416" s="272">
        <f t="shared" si="3"/>
        <v>0</v>
      </c>
      <c r="L1416" s="273"/>
      <c r="M1416" s="273"/>
      <c r="N1416" s="273"/>
    </row>
    <row r="1417" ht="26.25" customHeight="1">
      <c r="A1417" s="295"/>
      <c r="B1417" s="296">
        <v>46009.0</v>
      </c>
      <c r="C1417" s="317"/>
      <c r="D1417" s="266" t="s">
        <v>31</v>
      </c>
      <c r="E1417" s="267" t="s">
        <v>1792</v>
      </c>
      <c r="F1417" s="268"/>
      <c r="G1417" s="321">
        <v>45000.0</v>
      </c>
      <c r="H1417" s="297">
        <v>0.0</v>
      </c>
      <c r="I1417" s="322">
        <v>45000.0</v>
      </c>
      <c r="J1417" s="321">
        <v>45000.0</v>
      </c>
      <c r="K1417" s="272">
        <f t="shared" si="3"/>
        <v>0</v>
      </c>
      <c r="L1417" s="273"/>
      <c r="M1417" s="273"/>
      <c r="N1417" s="273"/>
    </row>
    <row r="1418" ht="26.25" customHeight="1">
      <c r="A1418" s="316"/>
      <c r="B1418" s="296">
        <v>46009.0</v>
      </c>
      <c r="C1418" s="335"/>
      <c r="D1418" s="266" t="s">
        <v>930</v>
      </c>
      <c r="E1418" s="267" t="s">
        <v>2429</v>
      </c>
      <c r="F1418" s="289"/>
      <c r="G1418" s="321">
        <v>1610000.0</v>
      </c>
      <c r="H1418" s="297">
        <v>0.0</v>
      </c>
      <c r="I1418" s="322">
        <v>1610000.0</v>
      </c>
      <c r="J1418" s="321">
        <v>1610000.0</v>
      </c>
      <c r="K1418" s="272">
        <f t="shared" si="3"/>
        <v>0</v>
      </c>
      <c r="L1418" s="290"/>
      <c r="M1418" s="290"/>
      <c r="N1418" s="290"/>
    </row>
    <row r="1419" ht="26.25" customHeight="1">
      <c r="A1419" s="316"/>
      <c r="B1419" s="296">
        <v>46009.0</v>
      </c>
      <c r="C1419" s="335"/>
      <c r="D1419" s="266" t="s">
        <v>930</v>
      </c>
      <c r="E1419" s="267" t="s">
        <v>2430</v>
      </c>
      <c r="F1419" s="289"/>
      <c r="G1419" s="321">
        <v>1200000.0</v>
      </c>
      <c r="H1419" s="297">
        <v>0.0</v>
      </c>
      <c r="I1419" s="322">
        <v>1200000.0</v>
      </c>
      <c r="J1419" s="321">
        <v>1200000.0</v>
      </c>
      <c r="K1419" s="272">
        <f t="shared" si="3"/>
        <v>0</v>
      </c>
      <c r="L1419" s="290"/>
      <c r="M1419" s="290"/>
      <c r="N1419" s="290"/>
    </row>
    <row r="1420" ht="26.25" customHeight="1">
      <c r="A1420" s="295"/>
      <c r="B1420" s="296">
        <v>46009.0</v>
      </c>
      <c r="C1420" s="317"/>
      <c r="D1420" s="266" t="s">
        <v>930</v>
      </c>
      <c r="E1420" s="267" t="s">
        <v>2431</v>
      </c>
      <c r="F1420" s="268"/>
      <c r="G1420" s="321">
        <v>570000.0</v>
      </c>
      <c r="H1420" s="297">
        <v>0.0</v>
      </c>
      <c r="I1420" s="322">
        <v>570000.0</v>
      </c>
      <c r="J1420" s="321">
        <v>570000.0</v>
      </c>
      <c r="K1420" s="272">
        <f t="shared" si="3"/>
        <v>0</v>
      </c>
      <c r="L1420" s="273"/>
      <c r="M1420" s="273"/>
      <c r="N1420" s="273"/>
    </row>
    <row r="1421" ht="26.25" customHeight="1">
      <c r="A1421" s="295"/>
      <c r="B1421" s="296">
        <v>46009.0</v>
      </c>
      <c r="C1421" s="317"/>
      <c r="D1421" s="266" t="s">
        <v>930</v>
      </c>
      <c r="E1421" s="267" t="s">
        <v>2432</v>
      </c>
      <c r="F1421" s="268"/>
      <c r="G1421" s="321">
        <v>420000.0</v>
      </c>
      <c r="H1421" s="297">
        <v>0.0</v>
      </c>
      <c r="I1421" s="322">
        <v>420000.0</v>
      </c>
      <c r="J1421" s="321">
        <v>420000.0</v>
      </c>
      <c r="K1421" s="272">
        <f t="shared" si="3"/>
        <v>0</v>
      </c>
      <c r="L1421" s="273"/>
      <c r="M1421" s="273"/>
      <c r="N1421" s="273"/>
    </row>
    <row r="1422" ht="26.25" customHeight="1">
      <c r="A1422" s="295"/>
      <c r="B1422" s="296">
        <v>46009.0</v>
      </c>
      <c r="C1422" s="317"/>
      <c r="D1422" s="266" t="s">
        <v>930</v>
      </c>
      <c r="E1422" s="267" t="s">
        <v>2433</v>
      </c>
      <c r="F1422" s="268"/>
      <c r="G1422" s="321">
        <v>297000.0</v>
      </c>
      <c r="H1422" s="297">
        <v>0.0</v>
      </c>
      <c r="I1422" s="322">
        <v>297000.0</v>
      </c>
      <c r="J1422" s="321">
        <v>297000.0</v>
      </c>
      <c r="K1422" s="272">
        <f t="shared" si="3"/>
        <v>0</v>
      </c>
      <c r="L1422" s="273"/>
      <c r="M1422" s="273"/>
      <c r="N1422" s="273"/>
    </row>
    <row r="1423" ht="26.25" customHeight="1">
      <c r="A1423" s="295"/>
      <c r="B1423" s="296">
        <v>46009.0</v>
      </c>
      <c r="C1423" s="317"/>
      <c r="D1423" s="266" t="s">
        <v>930</v>
      </c>
      <c r="E1423" s="267" t="s">
        <v>1194</v>
      </c>
      <c r="F1423" s="268"/>
      <c r="G1423" s="321">
        <v>210000.0</v>
      </c>
      <c r="H1423" s="297">
        <v>0.0</v>
      </c>
      <c r="I1423" s="322">
        <v>210000.0</v>
      </c>
      <c r="J1423" s="321">
        <v>210000.0</v>
      </c>
      <c r="K1423" s="272">
        <f t="shared" si="3"/>
        <v>0</v>
      </c>
      <c r="L1423" s="273"/>
      <c r="M1423" s="273"/>
      <c r="N1423" s="273"/>
    </row>
    <row r="1424" ht="26.25" customHeight="1">
      <c r="A1424" s="295"/>
      <c r="B1424" s="330">
        <v>46009.0</v>
      </c>
      <c r="C1424" s="323"/>
      <c r="D1424" s="266" t="s">
        <v>930</v>
      </c>
      <c r="E1424" s="267" t="s">
        <v>2434</v>
      </c>
      <c r="F1424" s="268"/>
      <c r="G1424" s="321">
        <v>200000.0</v>
      </c>
      <c r="H1424" s="297">
        <v>0.0</v>
      </c>
      <c r="I1424" s="322">
        <v>200000.0</v>
      </c>
      <c r="J1424" s="321">
        <v>200000.0</v>
      </c>
      <c r="K1424" s="272">
        <f t="shared" si="3"/>
        <v>0</v>
      </c>
      <c r="L1424" s="273"/>
      <c r="M1424" s="273"/>
      <c r="N1424" s="273"/>
    </row>
    <row r="1425" ht="26.25" customHeight="1">
      <c r="A1425" s="295"/>
      <c r="B1425" s="296">
        <v>46009.0</v>
      </c>
      <c r="C1425" s="320"/>
      <c r="D1425" s="266" t="s">
        <v>930</v>
      </c>
      <c r="E1425" s="267" t="s">
        <v>2435</v>
      </c>
      <c r="F1425" s="268"/>
      <c r="G1425" s="321">
        <v>70000.0</v>
      </c>
      <c r="H1425" s="297">
        <v>0.0</v>
      </c>
      <c r="I1425" s="322">
        <v>70000.0</v>
      </c>
      <c r="J1425" s="321">
        <v>70000.0</v>
      </c>
      <c r="K1425" s="272">
        <f t="shared" si="3"/>
        <v>0</v>
      </c>
      <c r="L1425" s="273"/>
      <c r="M1425" s="273"/>
      <c r="N1425" s="273"/>
    </row>
    <row r="1426" ht="26.25" customHeight="1">
      <c r="A1426" s="316"/>
      <c r="B1426" s="296">
        <v>46009.0</v>
      </c>
      <c r="C1426" s="320"/>
      <c r="D1426" s="266" t="s">
        <v>930</v>
      </c>
      <c r="E1426" s="283" t="s">
        <v>2436</v>
      </c>
      <c r="F1426" s="289"/>
      <c r="G1426" s="321">
        <v>35000.0</v>
      </c>
      <c r="H1426" s="297">
        <v>0.0</v>
      </c>
      <c r="I1426" s="322">
        <v>35000.0</v>
      </c>
      <c r="J1426" s="321">
        <v>35000.0</v>
      </c>
      <c r="K1426" s="272">
        <f t="shared" si="3"/>
        <v>0</v>
      </c>
      <c r="L1426" s="290"/>
      <c r="M1426" s="290"/>
      <c r="N1426" s="290"/>
    </row>
    <row r="1427" ht="26.25" customHeight="1">
      <c r="A1427" s="316"/>
      <c r="B1427" s="296">
        <v>46009.0</v>
      </c>
      <c r="C1427" s="320"/>
      <c r="D1427" s="266" t="s">
        <v>31</v>
      </c>
      <c r="E1427" s="283" t="s">
        <v>2437</v>
      </c>
      <c r="F1427" s="289"/>
      <c r="G1427" s="336">
        <v>307000.0</v>
      </c>
      <c r="H1427" s="325">
        <v>0.0</v>
      </c>
      <c r="I1427" s="337">
        <v>307000.0</v>
      </c>
      <c r="J1427" s="336">
        <v>307000.0</v>
      </c>
      <c r="K1427" s="272">
        <f t="shared" si="3"/>
        <v>0</v>
      </c>
      <c r="L1427" s="290"/>
      <c r="M1427" s="290"/>
      <c r="N1427" s="290"/>
    </row>
    <row r="1428" ht="26.25" customHeight="1">
      <c r="A1428" s="316"/>
      <c r="B1428" s="296">
        <v>46016.0</v>
      </c>
      <c r="C1428" s="320"/>
      <c r="D1428" s="266" t="s">
        <v>31</v>
      </c>
      <c r="E1428" s="283" t="s">
        <v>2438</v>
      </c>
      <c r="F1428" s="289"/>
      <c r="G1428" s="336">
        <v>15000.0</v>
      </c>
      <c r="H1428" s="325">
        <v>0.0</v>
      </c>
      <c r="I1428" s="337">
        <v>15000.0</v>
      </c>
      <c r="J1428" s="336">
        <v>15000.0</v>
      </c>
      <c r="K1428" s="272">
        <f t="shared" si="3"/>
        <v>0</v>
      </c>
      <c r="L1428" s="290"/>
      <c r="M1428" s="290"/>
      <c r="N1428" s="290"/>
    </row>
    <row r="1429" ht="26.25" customHeight="1">
      <c r="A1429" s="316"/>
      <c r="B1429" s="296">
        <v>46017.0</v>
      </c>
      <c r="C1429" s="320"/>
      <c r="D1429" s="266" t="s">
        <v>31</v>
      </c>
      <c r="E1429" s="283" t="s">
        <v>2439</v>
      </c>
      <c r="F1429" s="289"/>
      <c r="G1429" s="336">
        <v>23000.0</v>
      </c>
      <c r="H1429" s="325">
        <v>0.0</v>
      </c>
      <c r="I1429" s="337">
        <v>23000.0</v>
      </c>
      <c r="J1429" s="336">
        <v>23000.0</v>
      </c>
      <c r="K1429" s="272">
        <f t="shared" si="3"/>
        <v>0</v>
      </c>
      <c r="L1429" s="290"/>
      <c r="M1429" s="290"/>
      <c r="N1429" s="290"/>
    </row>
    <row r="1430" ht="26.25" customHeight="1">
      <c r="A1430" s="316"/>
      <c r="B1430" s="296"/>
      <c r="C1430" s="320"/>
      <c r="D1430" s="266"/>
      <c r="E1430" s="283"/>
      <c r="F1430" s="289"/>
      <c r="G1430" s="338"/>
      <c r="H1430" s="339"/>
      <c r="I1430" s="340"/>
      <c r="J1430" s="338"/>
      <c r="K1430" s="272">
        <f t="shared" si="3"/>
        <v>0</v>
      </c>
      <c r="L1430" s="290"/>
      <c r="M1430" s="290"/>
      <c r="N1430" s="290"/>
    </row>
  </sheetData>
  <conditionalFormatting sqref="E1">
    <cfRule type="cellIs" dxfId="6" priority="1" operator="lessThan">
      <formula>0</formula>
    </cfRule>
  </conditionalFormatting>
  <conditionalFormatting sqref="E1">
    <cfRule type="cellIs" dxfId="9" priority="2" operator="greaterThan">
      <formula>0</formula>
    </cfRule>
  </conditionalFormatting>
  <dataValidations>
    <dataValidation type="custom" allowBlank="1" showDropDown="1" sqref="B3:B1430">
      <formula1>OR(NOT(ISERROR(DATEVALUE(B3))), AND(ISNUMBER(B3), LEFT(CELL("format", B3))="D"))</formula1>
    </dataValidation>
    <dataValidation type="list" allowBlank="1" sqref="C3:C1430">
      <formula1>"نقد,ديون,جزئي,خصم,اجرة تكسي,اجور مشروع,استهلاكيات ورشة,المواد الخام,عدة يدوية,الوان و دهانات,لواصق,ايجار,تسويق,تكاليف تطوير,تكلفة طباعة,خدمات,خشب MDF,راتب,سلفة,رصيد,عمولة,نثرية,ارجاع,اجرة نقل,الكترونيات,ارجاع الى القاصة,انشائيات,اجرة حمل نقل,تحويل الى الر"&amp;"واتب,شراء"</formula1>
    </dataValidation>
    <dataValidation type="custom" allowBlank="1" showDropDown="1" sqref="F3:H1430 J3:K1430">
      <formula1>AND(ISNUMBER(F3),(NOT(OR(NOT(ISERROR(DATEVALUE(F3))), AND(ISNUMBER(F3), LEFT(CELL("format", F3))="D")))))</formula1>
    </dataValidation>
    <dataValidation allowBlank="1" showDropDown="1" sqref="A3:A1430"/>
  </dataValidations>
  <drawing r:id="rId1"/>
  <tableParts count="1">
    <tablePart r:id="rId3"/>
  </tableParts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F00"/>
    <pageSetUpPr fitToPage="1"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4.43" defaultRowHeight="15.0"/>
  <cols>
    <col customWidth="1" min="1" max="1" width="20.14"/>
    <col customWidth="1" min="2" max="2" width="10.43"/>
    <col customWidth="1" min="3" max="3" width="8.29"/>
    <col customWidth="1" min="4" max="6" width="8.0"/>
    <col customWidth="1" min="7" max="7" width="10.86"/>
    <col customWidth="1" min="8" max="8" width="15.86"/>
    <col customWidth="1" min="9" max="9" width="29.0"/>
    <col customWidth="1" min="10" max="14" width="15.86"/>
    <col customWidth="1" min="15" max="15" width="22.14"/>
    <col customWidth="1" min="16" max="16" width="44.57"/>
  </cols>
  <sheetData>
    <row r="1" ht="32.25" customHeight="1">
      <c r="A1" s="341" t="s">
        <v>34</v>
      </c>
      <c r="B1" s="342" t="s">
        <v>2440</v>
      </c>
      <c r="C1" s="342" t="s">
        <v>2441</v>
      </c>
      <c r="D1" s="343" t="s">
        <v>2442</v>
      </c>
      <c r="E1" s="343" t="s">
        <v>2443</v>
      </c>
      <c r="F1" s="343" t="s">
        <v>2444</v>
      </c>
      <c r="G1" s="342" t="s">
        <v>2445</v>
      </c>
      <c r="H1" s="342" t="s">
        <v>2446</v>
      </c>
      <c r="I1" s="342" t="s">
        <v>2447</v>
      </c>
      <c r="J1" s="342" t="s">
        <v>11</v>
      </c>
      <c r="K1" s="342" t="s">
        <v>12</v>
      </c>
      <c r="L1" s="342" t="s">
        <v>13</v>
      </c>
      <c r="M1" s="342" t="s">
        <v>2448</v>
      </c>
      <c r="N1" s="342" t="s">
        <v>40</v>
      </c>
      <c r="O1" s="342" t="s">
        <v>2449</v>
      </c>
      <c r="P1" s="342" t="s">
        <v>15</v>
      </c>
    </row>
    <row r="2" ht="18.75" customHeight="1">
      <c r="A2" s="344"/>
      <c r="B2" s="345"/>
      <c r="C2" s="345"/>
      <c r="D2" s="346"/>
      <c r="E2" s="346"/>
      <c r="F2" s="346"/>
      <c r="G2" s="346"/>
      <c r="H2" s="347">
        <f t="shared" ref="H2:H16" si="1">100000*B2/26</f>
        <v>0</v>
      </c>
      <c r="I2" s="347">
        <v>0.0</v>
      </c>
      <c r="J2" s="348"/>
      <c r="K2" s="348"/>
      <c r="L2" s="348"/>
      <c r="M2" s="348"/>
      <c r="N2" s="349"/>
      <c r="O2" s="350">
        <v>45658.0</v>
      </c>
      <c r="P2" s="351" t="s">
        <v>2450</v>
      </c>
    </row>
    <row r="3" ht="18.75" customHeight="1">
      <c r="A3" s="352" t="s">
        <v>2451</v>
      </c>
      <c r="B3" s="353"/>
      <c r="C3" s="354"/>
      <c r="D3" s="355"/>
      <c r="E3" s="355"/>
      <c r="F3" s="355"/>
      <c r="G3" s="355"/>
      <c r="H3" s="356">
        <f t="shared" si="1"/>
        <v>0</v>
      </c>
      <c r="I3" s="356">
        <v>857000.0</v>
      </c>
      <c r="J3" s="357"/>
      <c r="K3" s="357"/>
      <c r="L3" s="357"/>
      <c r="M3" s="356">
        <f t="shared" ref="M3:M16" si="2">I3+J3-K3-L3-N3</f>
        <v>0</v>
      </c>
      <c r="N3" s="358">
        <v>857000.0</v>
      </c>
      <c r="O3" s="359">
        <v>45658.0</v>
      </c>
      <c r="P3" s="360"/>
    </row>
    <row r="4" ht="18.75" customHeight="1">
      <c r="A4" s="352" t="s">
        <v>1407</v>
      </c>
      <c r="B4" s="361"/>
      <c r="C4" s="362"/>
      <c r="D4" s="363"/>
      <c r="E4" s="363"/>
      <c r="F4" s="363"/>
      <c r="G4" s="363"/>
      <c r="H4" s="364">
        <f t="shared" si="1"/>
        <v>0</v>
      </c>
      <c r="I4" s="364">
        <v>595000.0</v>
      </c>
      <c r="J4" s="365"/>
      <c r="K4" s="365"/>
      <c r="L4" s="365"/>
      <c r="M4" s="364">
        <f t="shared" si="2"/>
        <v>0</v>
      </c>
      <c r="N4" s="366">
        <v>595000.0</v>
      </c>
      <c r="O4" s="367">
        <v>45658.0</v>
      </c>
      <c r="P4" s="368"/>
    </row>
    <row r="5" ht="18.75" customHeight="1">
      <c r="A5" s="352" t="s">
        <v>2452</v>
      </c>
      <c r="B5" s="361"/>
      <c r="C5" s="362"/>
      <c r="D5" s="363"/>
      <c r="E5" s="363"/>
      <c r="F5" s="363"/>
      <c r="G5" s="363"/>
      <c r="H5" s="364">
        <f t="shared" si="1"/>
        <v>0</v>
      </c>
      <c r="I5" s="364">
        <v>266000.0</v>
      </c>
      <c r="J5" s="365"/>
      <c r="K5" s="365"/>
      <c r="L5" s="365"/>
      <c r="M5" s="364">
        <f t="shared" si="2"/>
        <v>0</v>
      </c>
      <c r="N5" s="366">
        <v>266000.0</v>
      </c>
      <c r="O5" s="367">
        <v>45658.0</v>
      </c>
      <c r="P5" s="368"/>
    </row>
    <row r="6" ht="18.75" customHeight="1">
      <c r="A6" s="352" t="s">
        <v>2453</v>
      </c>
      <c r="B6" s="361"/>
      <c r="C6" s="362"/>
      <c r="D6" s="363"/>
      <c r="E6" s="363"/>
      <c r="F6" s="363"/>
      <c r="G6" s="363"/>
      <c r="H6" s="364">
        <f t="shared" si="1"/>
        <v>0</v>
      </c>
      <c r="I6" s="364">
        <v>285000.0</v>
      </c>
      <c r="J6" s="365"/>
      <c r="K6" s="365"/>
      <c r="L6" s="365"/>
      <c r="M6" s="364">
        <f t="shared" si="2"/>
        <v>0</v>
      </c>
      <c r="N6" s="366">
        <v>285000.0</v>
      </c>
      <c r="O6" s="367">
        <v>45658.0</v>
      </c>
      <c r="P6" s="368"/>
    </row>
    <row r="7" ht="18.75" customHeight="1">
      <c r="A7" s="352" t="s">
        <v>2454</v>
      </c>
      <c r="B7" s="361"/>
      <c r="C7" s="362"/>
      <c r="D7" s="363"/>
      <c r="E7" s="363"/>
      <c r="F7" s="363"/>
      <c r="G7" s="363"/>
      <c r="H7" s="364">
        <f t="shared" si="1"/>
        <v>0</v>
      </c>
      <c r="I7" s="364">
        <v>20000.0</v>
      </c>
      <c r="J7" s="365"/>
      <c r="K7" s="365"/>
      <c r="L7" s="365"/>
      <c r="M7" s="364">
        <f t="shared" si="2"/>
        <v>0</v>
      </c>
      <c r="N7" s="366">
        <v>20000.0</v>
      </c>
      <c r="O7" s="367">
        <v>45658.0</v>
      </c>
      <c r="P7" s="368"/>
    </row>
    <row r="8" ht="18.75" customHeight="1">
      <c r="A8" s="352" t="s">
        <v>1340</v>
      </c>
      <c r="B8" s="361"/>
      <c r="C8" s="362"/>
      <c r="D8" s="363"/>
      <c r="E8" s="363"/>
      <c r="F8" s="363"/>
      <c r="G8" s="363"/>
      <c r="H8" s="364">
        <f t="shared" si="1"/>
        <v>0</v>
      </c>
      <c r="I8" s="364">
        <v>785000.0</v>
      </c>
      <c r="J8" s="365"/>
      <c r="K8" s="365"/>
      <c r="L8" s="365"/>
      <c r="M8" s="364">
        <f t="shared" si="2"/>
        <v>0</v>
      </c>
      <c r="N8" s="366">
        <v>785000.0</v>
      </c>
      <c r="O8" s="367">
        <v>45658.0</v>
      </c>
      <c r="P8" s="368"/>
    </row>
    <row r="9" ht="18.75" customHeight="1">
      <c r="A9" s="352" t="s">
        <v>378</v>
      </c>
      <c r="B9" s="361"/>
      <c r="C9" s="362"/>
      <c r="D9" s="363"/>
      <c r="E9" s="363"/>
      <c r="F9" s="363"/>
      <c r="G9" s="363"/>
      <c r="H9" s="364">
        <f t="shared" si="1"/>
        <v>0</v>
      </c>
      <c r="I9" s="364">
        <v>705000.0</v>
      </c>
      <c r="J9" s="365"/>
      <c r="K9" s="365"/>
      <c r="L9" s="365"/>
      <c r="M9" s="364">
        <f t="shared" si="2"/>
        <v>0</v>
      </c>
      <c r="N9" s="366">
        <v>705000.0</v>
      </c>
      <c r="O9" s="367">
        <v>45658.0</v>
      </c>
      <c r="P9" s="368"/>
    </row>
    <row r="10" ht="18.75" customHeight="1">
      <c r="A10" s="352" t="s">
        <v>237</v>
      </c>
      <c r="B10" s="361"/>
      <c r="C10" s="362"/>
      <c r="D10" s="363"/>
      <c r="E10" s="363"/>
      <c r="F10" s="363"/>
      <c r="G10" s="363"/>
      <c r="H10" s="364">
        <f t="shared" si="1"/>
        <v>0</v>
      </c>
      <c r="I10" s="364">
        <v>893000.0</v>
      </c>
      <c r="J10" s="365"/>
      <c r="K10" s="365"/>
      <c r="L10" s="365"/>
      <c r="M10" s="364">
        <f t="shared" si="2"/>
        <v>0</v>
      </c>
      <c r="N10" s="366">
        <v>893000.0</v>
      </c>
      <c r="O10" s="367">
        <v>45658.0</v>
      </c>
      <c r="P10" s="368"/>
    </row>
    <row r="11" ht="18.75" customHeight="1">
      <c r="A11" s="352" t="s">
        <v>20</v>
      </c>
      <c r="B11" s="361"/>
      <c r="C11" s="362"/>
      <c r="D11" s="363"/>
      <c r="E11" s="363"/>
      <c r="F11" s="363"/>
      <c r="G11" s="363"/>
      <c r="H11" s="364">
        <f t="shared" si="1"/>
        <v>0</v>
      </c>
      <c r="I11" s="364">
        <v>779000.0</v>
      </c>
      <c r="J11" s="365"/>
      <c r="K11" s="365"/>
      <c r="L11" s="365"/>
      <c r="M11" s="364">
        <f t="shared" si="2"/>
        <v>0</v>
      </c>
      <c r="N11" s="366">
        <v>779000.0</v>
      </c>
      <c r="O11" s="367">
        <v>45658.0</v>
      </c>
      <c r="P11" s="368"/>
    </row>
    <row r="12" ht="18.75" customHeight="1">
      <c r="A12" s="352" t="s">
        <v>17</v>
      </c>
      <c r="B12" s="361"/>
      <c r="C12" s="362"/>
      <c r="D12" s="363"/>
      <c r="E12" s="363"/>
      <c r="F12" s="363"/>
      <c r="G12" s="363"/>
      <c r="H12" s="364">
        <f t="shared" si="1"/>
        <v>0</v>
      </c>
      <c r="I12" s="364">
        <v>1122000.0</v>
      </c>
      <c r="J12" s="365"/>
      <c r="K12" s="365"/>
      <c r="L12" s="365"/>
      <c r="M12" s="364">
        <f t="shared" si="2"/>
        <v>0</v>
      </c>
      <c r="N12" s="366">
        <v>1122000.0</v>
      </c>
      <c r="O12" s="367">
        <v>45658.0</v>
      </c>
      <c r="P12" s="368"/>
    </row>
    <row r="13" ht="18.75" customHeight="1">
      <c r="A13" s="352" t="s">
        <v>1528</v>
      </c>
      <c r="B13" s="361"/>
      <c r="C13" s="362"/>
      <c r="D13" s="363"/>
      <c r="E13" s="363"/>
      <c r="F13" s="363"/>
      <c r="G13" s="363"/>
      <c r="H13" s="364">
        <f t="shared" si="1"/>
        <v>0</v>
      </c>
      <c r="I13" s="364">
        <v>411000.0</v>
      </c>
      <c r="J13" s="365"/>
      <c r="K13" s="365"/>
      <c r="L13" s="365"/>
      <c r="M13" s="364">
        <f t="shared" si="2"/>
        <v>0</v>
      </c>
      <c r="N13" s="366">
        <v>411000.0</v>
      </c>
      <c r="O13" s="367">
        <v>45658.0</v>
      </c>
      <c r="P13" s="368"/>
    </row>
    <row r="14" ht="22.5" customHeight="1">
      <c r="A14" s="352" t="s">
        <v>2455</v>
      </c>
      <c r="B14" s="361"/>
      <c r="C14" s="362"/>
      <c r="D14" s="363"/>
      <c r="E14" s="363"/>
      <c r="F14" s="363"/>
      <c r="G14" s="363"/>
      <c r="H14" s="364">
        <f t="shared" si="1"/>
        <v>0</v>
      </c>
      <c r="I14" s="364">
        <v>640000.0</v>
      </c>
      <c r="J14" s="365"/>
      <c r="K14" s="365"/>
      <c r="L14" s="365"/>
      <c r="M14" s="364">
        <f t="shared" si="2"/>
        <v>0</v>
      </c>
      <c r="N14" s="366">
        <v>640000.0</v>
      </c>
      <c r="O14" s="367">
        <v>45658.0</v>
      </c>
      <c r="P14" s="368"/>
    </row>
    <row r="15" ht="22.5" customHeight="1">
      <c r="A15" s="352" t="s">
        <v>2456</v>
      </c>
      <c r="B15" s="361"/>
      <c r="C15" s="362"/>
      <c r="D15" s="363"/>
      <c r="E15" s="363"/>
      <c r="F15" s="363"/>
      <c r="G15" s="363"/>
      <c r="H15" s="364">
        <f t="shared" si="1"/>
        <v>0</v>
      </c>
      <c r="I15" s="364">
        <v>135000.0</v>
      </c>
      <c r="J15" s="365"/>
      <c r="K15" s="365"/>
      <c r="L15" s="365"/>
      <c r="M15" s="364">
        <f t="shared" si="2"/>
        <v>0</v>
      </c>
      <c r="N15" s="366">
        <v>135000.0</v>
      </c>
      <c r="O15" s="367">
        <v>45658.0</v>
      </c>
      <c r="P15" s="368"/>
    </row>
    <row r="16" ht="22.5" customHeight="1">
      <c r="A16" s="352" t="s">
        <v>1794</v>
      </c>
      <c r="B16" s="369"/>
      <c r="C16" s="370"/>
      <c r="D16" s="371"/>
      <c r="E16" s="371"/>
      <c r="F16" s="371"/>
      <c r="G16" s="371"/>
      <c r="H16" s="372">
        <f t="shared" si="1"/>
        <v>0</v>
      </c>
      <c r="I16" s="372">
        <v>645000.0</v>
      </c>
      <c r="J16" s="373"/>
      <c r="K16" s="373"/>
      <c r="L16" s="373"/>
      <c r="M16" s="372">
        <f t="shared" si="2"/>
        <v>0</v>
      </c>
      <c r="N16" s="374">
        <v>645000.0</v>
      </c>
      <c r="O16" s="375">
        <v>45658.0</v>
      </c>
      <c r="P16" s="376"/>
    </row>
    <row r="17" ht="22.5" customHeight="1">
      <c r="A17" s="377"/>
      <c r="B17" s="378"/>
      <c r="C17" s="378"/>
      <c r="D17" s="379"/>
      <c r="E17" s="379"/>
      <c r="F17" s="379"/>
      <c r="G17" s="379"/>
      <c r="H17" s="380"/>
      <c r="I17" s="380"/>
      <c r="J17" s="381"/>
      <c r="K17" s="381"/>
      <c r="L17" s="381"/>
      <c r="M17" s="380"/>
      <c r="N17" s="382"/>
      <c r="O17" s="383"/>
      <c r="P17" s="384"/>
    </row>
    <row r="18" ht="22.5" customHeight="1">
      <c r="A18" s="352" t="s">
        <v>364</v>
      </c>
      <c r="B18" s="353"/>
      <c r="C18" s="354"/>
      <c r="D18" s="355"/>
      <c r="E18" s="355"/>
      <c r="F18" s="355"/>
      <c r="G18" s="355"/>
      <c r="H18" s="356">
        <f t="shared" ref="H18:H28" si="3">100000*B18/26</f>
        <v>0</v>
      </c>
      <c r="I18" s="356">
        <v>510000.0</v>
      </c>
      <c r="J18" s="357"/>
      <c r="K18" s="357"/>
      <c r="L18" s="357"/>
      <c r="M18" s="356">
        <f t="shared" ref="M18:M28" si="4">I18+J18-K18-L18-N18</f>
        <v>0</v>
      </c>
      <c r="N18" s="358">
        <v>510000.0</v>
      </c>
      <c r="O18" s="359">
        <v>45689.0</v>
      </c>
      <c r="P18" s="360"/>
    </row>
    <row r="19" ht="22.5" customHeight="1">
      <c r="A19" s="352" t="s">
        <v>378</v>
      </c>
      <c r="B19" s="361"/>
      <c r="C19" s="362"/>
      <c r="D19" s="363"/>
      <c r="E19" s="363"/>
      <c r="F19" s="363"/>
      <c r="G19" s="363"/>
      <c r="H19" s="364">
        <f t="shared" si="3"/>
        <v>0</v>
      </c>
      <c r="I19" s="364">
        <v>1522000.0</v>
      </c>
      <c r="J19" s="365"/>
      <c r="K19" s="365"/>
      <c r="L19" s="365"/>
      <c r="M19" s="364">
        <f t="shared" si="4"/>
        <v>0</v>
      </c>
      <c r="N19" s="366">
        <v>1522000.0</v>
      </c>
      <c r="O19" s="367">
        <v>45690.0</v>
      </c>
      <c r="P19" s="368"/>
    </row>
    <row r="20" ht="22.5" customHeight="1">
      <c r="A20" s="352" t="s">
        <v>20</v>
      </c>
      <c r="B20" s="361"/>
      <c r="C20" s="362"/>
      <c r="D20" s="363"/>
      <c r="E20" s="363"/>
      <c r="F20" s="363"/>
      <c r="G20" s="363"/>
      <c r="H20" s="364">
        <f t="shared" si="3"/>
        <v>0</v>
      </c>
      <c r="I20" s="364">
        <v>570000.0</v>
      </c>
      <c r="J20" s="365"/>
      <c r="K20" s="365"/>
      <c r="L20" s="365"/>
      <c r="M20" s="364">
        <f t="shared" si="4"/>
        <v>0</v>
      </c>
      <c r="N20" s="366">
        <v>570000.0</v>
      </c>
      <c r="O20" s="367">
        <v>45691.0</v>
      </c>
      <c r="P20" s="368"/>
    </row>
    <row r="21" ht="22.5" customHeight="1">
      <c r="A21" s="352" t="s">
        <v>17</v>
      </c>
      <c r="B21" s="361"/>
      <c r="C21" s="362"/>
      <c r="D21" s="363"/>
      <c r="E21" s="363"/>
      <c r="F21" s="363"/>
      <c r="G21" s="363"/>
      <c r="H21" s="364">
        <f t="shared" si="3"/>
        <v>0</v>
      </c>
      <c r="I21" s="364">
        <v>658000.0</v>
      </c>
      <c r="J21" s="365"/>
      <c r="K21" s="365"/>
      <c r="L21" s="365"/>
      <c r="M21" s="364">
        <f t="shared" si="4"/>
        <v>0</v>
      </c>
      <c r="N21" s="366">
        <v>658000.0</v>
      </c>
      <c r="O21" s="367">
        <v>45692.0</v>
      </c>
      <c r="P21" s="368"/>
    </row>
    <row r="22" ht="18.75" customHeight="1">
      <c r="A22" s="352" t="s">
        <v>1528</v>
      </c>
      <c r="B22" s="361"/>
      <c r="C22" s="362"/>
      <c r="D22" s="363"/>
      <c r="E22" s="363"/>
      <c r="F22" s="363"/>
      <c r="G22" s="363"/>
      <c r="H22" s="364">
        <f t="shared" si="3"/>
        <v>0</v>
      </c>
      <c r="I22" s="364">
        <v>571000.0</v>
      </c>
      <c r="J22" s="365"/>
      <c r="K22" s="365"/>
      <c r="L22" s="365"/>
      <c r="M22" s="364">
        <f t="shared" si="4"/>
        <v>0</v>
      </c>
      <c r="N22" s="366">
        <v>571000.0</v>
      </c>
      <c r="O22" s="367">
        <v>45693.0</v>
      </c>
      <c r="P22" s="368"/>
    </row>
    <row r="23" ht="22.5" customHeight="1">
      <c r="A23" s="352" t="s">
        <v>1340</v>
      </c>
      <c r="B23" s="361"/>
      <c r="C23" s="362"/>
      <c r="D23" s="363"/>
      <c r="E23" s="363"/>
      <c r="F23" s="363"/>
      <c r="G23" s="363"/>
      <c r="H23" s="364">
        <f t="shared" si="3"/>
        <v>0</v>
      </c>
      <c r="I23" s="364">
        <v>563000.0</v>
      </c>
      <c r="J23" s="365"/>
      <c r="K23" s="365"/>
      <c r="L23" s="365"/>
      <c r="M23" s="364">
        <f t="shared" si="4"/>
        <v>0</v>
      </c>
      <c r="N23" s="366">
        <v>563000.0</v>
      </c>
      <c r="O23" s="367">
        <v>45694.0</v>
      </c>
      <c r="P23" s="368"/>
    </row>
    <row r="24" ht="22.5" customHeight="1">
      <c r="A24" s="352" t="s">
        <v>2455</v>
      </c>
      <c r="B24" s="361"/>
      <c r="C24" s="362"/>
      <c r="D24" s="363"/>
      <c r="E24" s="363"/>
      <c r="F24" s="363"/>
      <c r="G24" s="363"/>
      <c r="H24" s="364">
        <f t="shared" si="3"/>
        <v>0</v>
      </c>
      <c r="I24" s="364">
        <v>465000.0</v>
      </c>
      <c r="J24" s="365"/>
      <c r="K24" s="365"/>
      <c r="L24" s="365"/>
      <c r="M24" s="364">
        <f t="shared" si="4"/>
        <v>0</v>
      </c>
      <c r="N24" s="366">
        <v>465000.0</v>
      </c>
      <c r="O24" s="367">
        <v>45695.0</v>
      </c>
      <c r="P24" s="368"/>
    </row>
    <row r="25" ht="22.5" customHeight="1">
      <c r="A25" s="352" t="s">
        <v>2456</v>
      </c>
      <c r="B25" s="361"/>
      <c r="C25" s="362"/>
      <c r="D25" s="363"/>
      <c r="E25" s="363"/>
      <c r="F25" s="363"/>
      <c r="G25" s="363"/>
      <c r="H25" s="364">
        <f t="shared" si="3"/>
        <v>0</v>
      </c>
      <c r="I25" s="364">
        <v>350000.0</v>
      </c>
      <c r="J25" s="365"/>
      <c r="K25" s="365"/>
      <c r="L25" s="365"/>
      <c r="M25" s="364">
        <f t="shared" si="4"/>
        <v>0</v>
      </c>
      <c r="N25" s="366">
        <v>350000.0</v>
      </c>
      <c r="O25" s="367">
        <v>45696.0</v>
      </c>
      <c r="P25" s="368"/>
    </row>
    <row r="26" ht="22.5" customHeight="1">
      <c r="A26" s="352" t="s">
        <v>1794</v>
      </c>
      <c r="B26" s="361"/>
      <c r="C26" s="362"/>
      <c r="D26" s="363"/>
      <c r="E26" s="363"/>
      <c r="F26" s="363"/>
      <c r="G26" s="363"/>
      <c r="H26" s="364">
        <f t="shared" si="3"/>
        <v>0</v>
      </c>
      <c r="I26" s="364">
        <v>850000.0</v>
      </c>
      <c r="J26" s="365"/>
      <c r="K26" s="365"/>
      <c r="L26" s="365"/>
      <c r="M26" s="364">
        <f t="shared" si="4"/>
        <v>0</v>
      </c>
      <c r="N26" s="366">
        <v>850000.0</v>
      </c>
      <c r="O26" s="367">
        <v>45697.0</v>
      </c>
      <c r="P26" s="368"/>
    </row>
    <row r="27" ht="22.5" customHeight="1">
      <c r="A27" s="352" t="s">
        <v>237</v>
      </c>
      <c r="B27" s="361"/>
      <c r="C27" s="362"/>
      <c r="D27" s="363"/>
      <c r="E27" s="363"/>
      <c r="F27" s="363"/>
      <c r="G27" s="363"/>
      <c r="H27" s="364">
        <f t="shared" si="3"/>
        <v>0</v>
      </c>
      <c r="I27" s="364">
        <v>600000.0</v>
      </c>
      <c r="J27" s="365"/>
      <c r="K27" s="365"/>
      <c r="L27" s="365"/>
      <c r="M27" s="364">
        <f t="shared" si="4"/>
        <v>0</v>
      </c>
      <c r="N27" s="366">
        <v>600000.0</v>
      </c>
      <c r="O27" s="367">
        <v>45698.0</v>
      </c>
      <c r="P27" s="368"/>
    </row>
    <row r="28" ht="22.5" customHeight="1">
      <c r="A28" s="352" t="s">
        <v>1740</v>
      </c>
      <c r="B28" s="369"/>
      <c r="C28" s="370"/>
      <c r="D28" s="371"/>
      <c r="E28" s="371"/>
      <c r="F28" s="371"/>
      <c r="G28" s="371"/>
      <c r="H28" s="372">
        <f t="shared" si="3"/>
        <v>0</v>
      </c>
      <c r="I28" s="372">
        <v>101000.0</v>
      </c>
      <c r="J28" s="373"/>
      <c r="K28" s="373"/>
      <c r="L28" s="373"/>
      <c r="M28" s="372">
        <f t="shared" si="4"/>
        <v>0</v>
      </c>
      <c r="N28" s="374">
        <v>101000.0</v>
      </c>
      <c r="O28" s="375">
        <v>45699.0</v>
      </c>
      <c r="P28" s="376"/>
    </row>
    <row r="29" ht="22.5" customHeight="1">
      <c r="A29" s="377"/>
      <c r="B29" s="378"/>
      <c r="C29" s="378"/>
      <c r="D29" s="379"/>
      <c r="E29" s="379"/>
      <c r="F29" s="379"/>
      <c r="G29" s="379"/>
      <c r="H29" s="380"/>
      <c r="I29" s="380"/>
      <c r="J29" s="381"/>
      <c r="K29" s="381"/>
      <c r="L29" s="381"/>
      <c r="M29" s="380"/>
      <c r="N29" s="382"/>
      <c r="O29" s="383"/>
      <c r="P29" s="384"/>
    </row>
    <row r="30" ht="22.5" customHeight="1">
      <c r="A30" s="352" t="s">
        <v>2457</v>
      </c>
      <c r="B30" s="353"/>
      <c r="C30" s="354"/>
      <c r="D30" s="355"/>
      <c r="E30" s="355"/>
      <c r="F30" s="355"/>
      <c r="G30" s="355"/>
      <c r="H30" s="356">
        <f t="shared" ref="H30:H42" si="5">100000*B30/26</f>
        <v>0</v>
      </c>
      <c r="I30" s="356">
        <v>407000.0</v>
      </c>
      <c r="J30" s="357"/>
      <c r="K30" s="357"/>
      <c r="L30" s="357"/>
      <c r="M30" s="356">
        <f t="shared" ref="M30:M42" si="6">I30+J30-K30-L30-N30</f>
        <v>0</v>
      </c>
      <c r="N30" s="358">
        <v>407000.0</v>
      </c>
      <c r="O30" s="359">
        <v>45717.0</v>
      </c>
      <c r="P30" s="360"/>
    </row>
    <row r="31" ht="22.5" customHeight="1">
      <c r="A31" s="352" t="s">
        <v>1407</v>
      </c>
      <c r="B31" s="361"/>
      <c r="C31" s="362"/>
      <c r="D31" s="363"/>
      <c r="E31" s="363"/>
      <c r="F31" s="363"/>
      <c r="G31" s="363"/>
      <c r="H31" s="364">
        <f t="shared" si="5"/>
        <v>0</v>
      </c>
      <c r="I31" s="364">
        <v>645000.0</v>
      </c>
      <c r="J31" s="365"/>
      <c r="K31" s="365"/>
      <c r="L31" s="365"/>
      <c r="M31" s="364">
        <f t="shared" si="6"/>
        <v>0</v>
      </c>
      <c r="N31" s="366">
        <v>645000.0</v>
      </c>
      <c r="O31" s="367">
        <v>45718.0</v>
      </c>
      <c r="P31" s="368"/>
    </row>
    <row r="32" ht="22.5" customHeight="1">
      <c r="A32" s="352" t="s">
        <v>2458</v>
      </c>
      <c r="B32" s="361"/>
      <c r="C32" s="362"/>
      <c r="D32" s="363"/>
      <c r="E32" s="363"/>
      <c r="F32" s="363"/>
      <c r="G32" s="363"/>
      <c r="H32" s="364">
        <f t="shared" si="5"/>
        <v>0</v>
      </c>
      <c r="I32" s="364">
        <v>338500.0</v>
      </c>
      <c r="J32" s="365"/>
      <c r="K32" s="365"/>
      <c r="L32" s="365"/>
      <c r="M32" s="364">
        <f t="shared" si="6"/>
        <v>0</v>
      </c>
      <c r="N32" s="366">
        <v>338500.0</v>
      </c>
      <c r="O32" s="367">
        <v>45719.0</v>
      </c>
      <c r="P32" s="368"/>
    </row>
    <row r="33" ht="22.5" customHeight="1">
      <c r="A33" s="352" t="s">
        <v>378</v>
      </c>
      <c r="B33" s="361"/>
      <c r="C33" s="362"/>
      <c r="D33" s="363"/>
      <c r="E33" s="363"/>
      <c r="F33" s="363"/>
      <c r="G33" s="363"/>
      <c r="H33" s="364">
        <f t="shared" si="5"/>
        <v>0</v>
      </c>
      <c r="I33" s="364">
        <v>951000.0</v>
      </c>
      <c r="J33" s="365"/>
      <c r="K33" s="365"/>
      <c r="L33" s="365"/>
      <c r="M33" s="364">
        <f t="shared" si="6"/>
        <v>0</v>
      </c>
      <c r="N33" s="366">
        <v>951000.0</v>
      </c>
      <c r="O33" s="367">
        <v>45720.0</v>
      </c>
      <c r="P33" s="368"/>
    </row>
    <row r="34" ht="22.5" customHeight="1">
      <c r="A34" s="352" t="s">
        <v>20</v>
      </c>
      <c r="B34" s="361"/>
      <c r="C34" s="362"/>
      <c r="D34" s="363"/>
      <c r="E34" s="363"/>
      <c r="F34" s="363"/>
      <c r="G34" s="363"/>
      <c r="H34" s="364">
        <f t="shared" si="5"/>
        <v>0</v>
      </c>
      <c r="I34" s="364">
        <v>477000.0</v>
      </c>
      <c r="J34" s="365"/>
      <c r="K34" s="365"/>
      <c r="L34" s="365"/>
      <c r="M34" s="364">
        <f t="shared" si="6"/>
        <v>0</v>
      </c>
      <c r="N34" s="366">
        <v>477000.0</v>
      </c>
      <c r="O34" s="367">
        <v>45722.0</v>
      </c>
      <c r="P34" s="368"/>
    </row>
    <row r="35" ht="23.25" customHeight="1">
      <c r="A35" s="352" t="s">
        <v>237</v>
      </c>
      <c r="B35" s="361"/>
      <c r="C35" s="362"/>
      <c r="D35" s="363"/>
      <c r="E35" s="363"/>
      <c r="F35" s="363"/>
      <c r="G35" s="363"/>
      <c r="H35" s="364">
        <f t="shared" si="5"/>
        <v>0</v>
      </c>
      <c r="I35" s="364">
        <v>994000.0</v>
      </c>
      <c r="J35" s="365"/>
      <c r="K35" s="365"/>
      <c r="L35" s="365"/>
      <c r="M35" s="364">
        <f t="shared" si="6"/>
        <v>0</v>
      </c>
      <c r="N35" s="366">
        <v>994000.0</v>
      </c>
      <c r="O35" s="367">
        <v>45723.0</v>
      </c>
      <c r="P35" s="368"/>
    </row>
    <row r="36" ht="22.5" customHeight="1">
      <c r="A36" s="352" t="s">
        <v>16</v>
      </c>
      <c r="B36" s="361"/>
      <c r="C36" s="362"/>
      <c r="D36" s="363"/>
      <c r="E36" s="363"/>
      <c r="F36" s="363"/>
      <c r="G36" s="363"/>
      <c r="H36" s="364">
        <f t="shared" si="5"/>
        <v>0</v>
      </c>
      <c r="I36" s="364">
        <v>823000.0</v>
      </c>
      <c r="J36" s="365"/>
      <c r="K36" s="365"/>
      <c r="L36" s="365"/>
      <c r="M36" s="364">
        <f t="shared" si="6"/>
        <v>0</v>
      </c>
      <c r="N36" s="366">
        <v>823000.0</v>
      </c>
      <c r="O36" s="367">
        <v>45724.0</v>
      </c>
      <c r="P36" s="368"/>
    </row>
    <row r="37" ht="22.5" customHeight="1">
      <c r="A37" s="352" t="s">
        <v>17</v>
      </c>
      <c r="B37" s="361"/>
      <c r="C37" s="362"/>
      <c r="D37" s="363"/>
      <c r="E37" s="363"/>
      <c r="F37" s="363"/>
      <c r="G37" s="363"/>
      <c r="H37" s="364">
        <f t="shared" si="5"/>
        <v>0</v>
      </c>
      <c r="I37" s="364">
        <v>758000.0</v>
      </c>
      <c r="J37" s="365"/>
      <c r="K37" s="365"/>
      <c r="L37" s="365"/>
      <c r="M37" s="364">
        <f t="shared" si="6"/>
        <v>0</v>
      </c>
      <c r="N37" s="366">
        <v>758000.0</v>
      </c>
      <c r="O37" s="367">
        <v>45725.0</v>
      </c>
      <c r="P37" s="368"/>
    </row>
    <row r="38" ht="22.5" customHeight="1">
      <c r="A38" s="352" t="s">
        <v>1528</v>
      </c>
      <c r="B38" s="361"/>
      <c r="C38" s="362"/>
      <c r="D38" s="363"/>
      <c r="E38" s="363"/>
      <c r="F38" s="363"/>
      <c r="G38" s="363"/>
      <c r="H38" s="364">
        <f t="shared" si="5"/>
        <v>0</v>
      </c>
      <c r="I38" s="364">
        <v>656000.0</v>
      </c>
      <c r="J38" s="365"/>
      <c r="K38" s="365"/>
      <c r="L38" s="365"/>
      <c r="M38" s="364">
        <f t="shared" si="6"/>
        <v>0</v>
      </c>
      <c r="N38" s="366">
        <v>656000.0</v>
      </c>
      <c r="O38" s="367">
        <v>45726.0</v>
      </c>
      <c r="P38" s="368"/>
    </row>
    <row r="39" ht="22.5" customHeight="1">
      <c r="A39" s="352" t="s">
        <v>1340</v>
      </c>
      <c r="B39" s="361"/>
      <c r="C39" s="362"/>
      <c r="D39" s="363"/>
      <c r="E39" s="363"/>
      <c r="F39" s="363"/>
      <c r="G39" s="363"/>
      <c r="H39" s="364">
        <f t="shared" si="5"/>
        <v>0</v>
      </c>
      <c r="I39" s="364">
        <v>540000.0</v>
      </c>
      <c r="J39" s="365"/>
      <c r="K39" s="365"/>
      <c r="L39" s="365"/>
      <c r="M39" s="364">
        <f t="shared" si="6"/>
        <v>0</v>
      </c>
      <c r="N39" s="366">
        <v>540000.0</v>
      </c>
      <c r="O39" s="367">
        <v>45727.0</v>
      </c>
      <c r="P39" s="368"/>
    </row>
    <row r="40" ht="22.5" customHeight="1">
      <c r="A40" s="352" t="s">
        <v>364</v>
      </c>
      <c r="B40" s="361"/>
      <c r="C40" s="362"/>
      <c r="D40" s="363"/>
      <c r="E40" s="363"/>
      <c r="F40" s="363"/>
      <c r="G40" s="363"/>
      <c r="H40" s="364">
        <f t="shared" si="5"/>
        <v>0</v>
      </c>
      <c r="I40" s="364">
        <v>390000.0</v>
      </c>
      <c r="J40" s="365"/>
      <c r="K40" s="365"/>
      <c r="L40" s="365"/>
      <c r="M40" s="364">
        <f t="shared" si="6"/>
        <v>0</v>
      </c>
      <c r="N40" s="366">
        <v>390000.0</v>
      </c>
      <c r="O40" s="367">
        <v>45728.0</v>
      </c>
      <c r="P40" s="368"/>
    </row>
    <row r="41" ht="22.5" customHeight="1">
      <c r="A41" s="352" t="s">
        <v>2456</v>
      </c>
      <c r="B41" s="361"/>
      <c r="C41" s="362"/>
      <c r="D41" s="363"/>
      <c r="E41" s="363"/>
      <c r="F41" s="363"/>
      <c r="G41" s="363"/>
      <c r="H41" s="364">
        <f t="shared" si="5"/>
        <v>0</v>
      </c>
      <c r="I41" s="364">
        <v>350000.0</v>
      </c>
      <c r="J41" s="365"/>
      <c r="K41" s="365"/>
      <c r="L41" s="365"/>
      <c r="M41" s="364">
        <f t="shared" si="6"/>
        <v>0</v>
      </c>
      <c r="N41" s="366">
        <v>350000.0</v>
      </c>
      <c r="O41" s="367">
        <v>45729.0</v>
      </c>
      <c r="P41" s="368"/>
    </row>
    <row r="42" ht="22.5" customHeight="1">
      <c r="A42" s="352" t="s">
        <v>1794</v>
      </c>
      <c r="B42" s="369"/>
      <c r="C42" s="370"/>
      <c r="D42" s="371"/>
      <c r="E42" s="371"/>
      <c r="F42" s="371"/>
      <c r="G42" s="371"/>
      <c r="H42" s="372">
        <f t="shared" si="5"/>
        <v>0</v>
      </c>
      <c r="I42" s="372">
        <v>570000.0</v>
      </c>
      <c r="J42" s="373"/>
      <c r="K42" s="373"/>
      <c r="L42" s="373"/>
      <c r="M42" s="372">
        <f t="shared" si="6"/>
        <v>0</v>
      </c>
      <c r="N42" s="374">
        <v>570000.0</v>
      </c>
      <c r="O42" s="375">
        <v>45730.0</v>
      </c>
      <c r="P42" s="376"/>
    </row>
    <row r="43" ht="22.5" customHeight="1">
      <c r="A43" s="377"/>
      <c r="B43" s="378"/>
      <c r="C43" s="378"/>
      <c r="D43" s="379"/>
      <c r="E43" s="379"/>
      <c r="F43" s="379"/>
      <c r="G43" s="379"/>
      <c r="H43" s="380"/>
      <c r="I43" s="380"/>
      <c r="J43" s="381"/>
      <c r="K43" s="381"/>
      <c r="L43" s="381"/>
      <c r="M43" s="380"/>
      <c r="N43" s="382"/>
      <c r="O43" s="383"/>
      <c r="P43" s="384"/>
    </row>
    <row r="44" ht="22.5" customHeight="1">
      <c r="A44" s="352" t="s">
        <v>1407</v>
      </c>
      <c r="B44" s="385"/>
      <c r="C44" s="386"/>
      <c r="D44" s="387"/>
      <c r="E44" s="387"/>
      <c r="F44" s="387"/>
      <c r="G44" s="387"/>
      <c r="H44" s="388">
        <f t="shared" ref="H44:H60" si="7">100000*B44/26</f>
        <v>0</v>
      </c>
      <c r="I44" s="388">
        <v>581000.0</v>
      </c>
      <c r="J44" s="389"/>
      <c r="K44" s="389"/>
      <c r="L44" s="389"/>
      <c r="M44" s="388">
        <f t="shared" ref="M44:M60" si="8">I44+J44-K44-L44-N44</f>
        <v>0</v>
      </c>
      <c r="N44" s="390">
        <v>581000.0</v>
      </c>
      <c r="O44" s="391">
        <v>45748.0</v>
      </c>
      <c r="P44" s="392"/>
    </row>
    <row r="45" ht="22.5" customHeight="1">
      <c r="A45" s="352" t="s">
        <v>2459</v>
      </c>
      <c r="B45" s="393"/>
      <c r="C45" s="394"/>
      <c r="D45" s="395"/>
      <c r="E45" s="395"/>
      <c r="F45" s="395"/>
      <c r="G45" s="395"/>
      <c r="H45" s="396">
        <f t="shared" si="7"/>
        <v>0</v>
      </c>
      <c r="I45" s="396">
        <v>185000.0</v>
      </c>
      <c r="J45" s="397"/>
      <c r="K45" s="397"/>
      <c r="L45" s="397"/>
      <c r="M45" s="396">
        <f t="shared" si="8"/>
        <v>0</v>
      </c>
      <c r="N45" s="398">
        <v>185000.0</v>
      </c>
      <c r="O45" s="399">
        <v>45749.0</v>
      </c>
      <c r="P45" s="400"/>
    </row>
    <row r="46" ht="22.5" customHeight="1">
      <c r="A46" s="352" t="s">
        <v>2457</v>
      </c>
      <c r="B46" s="393"/>
      <c r="C46" s="394"/>
      <c r="D46" s="395"/>
      <c r="E46" s="395"/>
      <c r="F46" s="395"/>
      <c r="G46" s="395"/>
      <c r="H46" s="396">
        <f t="shared" si="7"/>
        <v>0</v>
      </c>
      <c r="I46" s="396">
        <v>245000.0</v>
      </c>
      <c r="J46" s="397"/>
      <c r="K46" s="397"/>
      <c r="L46" s="397"/>
      <c r="M46" s="396">
        <f t="shared" si="8"/>
        <v>0</v>
      </c>
      <c r="N46" s="398">
        <v>245000.0</v>
      </c>
      <c r="O46" s="399">
        <v>45750.0</v>
      </c>
      <c r="P46" s="400"/>
    </row>
    <row r="47" ht="22.5" customHeight="1">
      <c r="A47" s="352" t="s">
        <v>2451</v>
      </c>
      <c r="B47" s="393"/>
      <c r="C47" s="394"/>
      <c r="D47" s="395"/>
      <c r="E47" s="395"/>
      <c r="F47" s="395"/>
      <c r="G47" s="395"/>
      <c r="H47" s="396">
        <f t="shared" si="7"/>
        <v>0</v>
      </c>
      <c r="I47" s="396">
        <v>150000.0</v>
      </c>
      <c r="J47" s="397"/>
      <c r="K47" s="397"/>
      <c r="L47" s="397"/>
      <c r="M47" s="396">
        <f t="shared" si="8"/>
        <v>0</v>
      </c>
      <c r="N47" s="398">
        <v>150000.0</v>
      </c>
      <c r="O47" s="399">
        <v>45751.0</v>
      </c>
      <c r="P47" s="400"/>
    </row>
    <row r="48" ht="22.5" customHeight="1">
      <c r="A48" s="352" t="s">
        <v>2460</v>
      </c>
      <c r="B48" s="393"/>
      <c r="C48" s="394"/>
      <c r="D48" s="395"/>
      <c r="E48" s="395"/>
      <c r="F48" s="395"/>
      <c r="G48" s="395"/>
      <c r="H48" s="396">
        <f t="shared" si="7"/>
        <v>0</v>
      </c>
      <c r="I48" s="396">
        <v>100000.0</v>
      </c>
      <c r="J48" s="397"/>
      <c r="K48" s="397"/>
      <c r="L48" s="397"/>
      <c r="M48" s="396">
        <f t="shared" si="8"/>
        <v>0</v>
      </c>
      <c r="N48" s="398">
        <v>100000.0</v>
      </c>
      <c r="O48" s="399">
        <v>45752.0</v>
      </c>
      <c r="P48" s="400"/>
    </row>
    <row r="49" ht="22.5" customHeight="1">
      <c r="A49" s="352" t="s">
        <v>2461</v>
      </c>
      <c r="B49" s="393"/>
      <c r="C49" s="394"/>
      <c r="D49" s="395"/>
      <c r="E49" s="395"/>
      <c r="F49" s="395"/>
      <c r="G49" s="395"/>
      <c r="H49" s="396">
        <f t="shared" si="7"/>
        <v>0</v>
      </c>
      <c r="I49" s="396">
        <v>186000.0</v>
      </c>
      <c r="J49" s="397"/>
      <c r="K49" s="397"/>
      <c r="L49" s="397"/>
      <c r="M49" s="396">
        <f t="shared" si="8"/>
        <v>0</v>
      </c>
      <c r="N49" s="398">
        <v>186000.0</v>
      </c>
      <c r="O49" s="399">
        <v>45753.0</v>
      </c>
      <c r="P49" s="400"/>
    </row>
    <row r="50" ht="22.5" customHeight="1">
      <c r="A50" s="352" t="s">
        <v>26</v>
      </c>
      <c r="B50" s="393"/>
      <c r="C50" s="394"/>
      <c r="D50" s="395"/>
      <c r="E50" s="395"/>
      <c r="F50" s="395"/>
      <c r="G50" s="395"/>
      <c r="H50" s="396">
        <f t="shared" si="7"/>
        <v>0</v>
      </c>
      <c r="I50" s="396">
        <v>412000.0</v>
      </c>
      <c r="J50" s="397"/>
      <c r="K50" s="397"/>
      <c r="L50" s="397"/>
      <c r="M50" s="396">
        <f t="shared" si="8"/>
        <v>0</v>
      </c>
      <c r="N50" s="398">
        <v>412000.0</v>
      </c>
      <c r="O50" s="399">
        <v>45755.0</v>
      </c>
      <c r="P50" s="400"/>
    </row>
    <row r="51" ht="22.5" customHeight="1">
      <c r="A51" s="352" t="s">
        <v>16</v>
      </c>
      <c r="B51" s="393"/>
      <c r="C51" s="394"/>
      <c r="D51" s="395"/>
      <c r="E51" s="395"/>
      <c r="F51" s="395"/>
      <c r="G51" s="395"/>
      <c r="H51" s="396">
        <f t="shared" si="7"/>
        <v>0</v>
      </c>
      <c r="I51" s="396">
        <v>845000.0</v>
      </c>
      <c r="J51" s="397"/>
      <c r="K51" s="397"/>
      <c r="L51" s="397"/>
      <c r="M51" s="396">
        <f t="shared" si="8"/>
        <v>0</v>
      </c>
      <c r="N51" s="398">
        <v>845000.0</v>
      </c>
      <c r="O51" s="399">
        <v>45756.0</v>
      </c>
      <c r="P51" s="400"/>
    </row>
    <row r="52" ht="22.5" customHeight="1">
      <c r="A52" s="352" t="s">
        <v>20</v>
      </c>
      <c r="B52" s="393"/>
      <c r="C52" s="394"/>
      <c r="D52" s="395"/>
      <c r="E52" s="395"/>
      <c r="F52" s="395"/>
      <c r="G52" s="395"/>
      <c r="H52" s="396">
        <f t="shared" si="7"/>
        <v>0</v>
      </c>
      <c r="I52" s="396">
        <v>802000.0</v>
      </c>
      <c r="J52" s="397"/>
      <c r="K52" s="397"/>
      <c r="L52" s="397"/>
      <c r="M52" s="396">
        <f t="shared" si="8"/>
        <v>0</v>
      </c>
      <c r="N52" s="398">
        <v>802000.0</v>
      </c>
      <c r="O52" s="399">
        <v>45757.0</v>
      </c>
      <c r="P52" s="400"/>
    </row>
    <row r="53" ht="22.5" customHeight="1">
      <c r="A53" s="352" t="s">
        <v>17</v>
      </c>
      <c r="B53" s="393"/>
      <c r="C53" s="394"/>
      <c r="D53" s="395"/>
      <c r="E53" s="395"/>
      <c r="F53" s="395"/>
      <c r="G53" s="395"/>
      <c r="H53" s="396">
        <f t="shared" si="7"/>
        <v>0</v>
      </c>
      <c r="I53" s="396">
        <v>839500.0</v>
      </c>
      <c r="J53" s="397"/>
      <c r="K53" s="397"/>
      <c r="L53" s="397"/>
      <c r="M53" s="396">
        <f t="shared" si="8"/>
        <v>0</v>
      </c>
      <c r="N53" s="398">
        <v>839500.0</v>
      </c>
      <c r="O53" s="399">
        <v>45758.0</v>
      </c>
      <c r="P53" s="400"/>
    </row>
    <row r="54" ht="22.5" customHeight="1">
      <c r="A54" s="352" t="s">
        <v>1528</v>
      </c>
      <c r="B54" s="393"/>
      <c r="C54" s="394"/>
      <c r="D54" s="395"/>
      <c r="E54" s="395"/>
      <c r="F54" s="395"/>
      <c r="G54" s="395"/>
      <c r="H54" s="396">
        <f t="shared" si="7"/>
        <v>0</v>
      </c>
      <c r="I54" s="396">
        <v>457000.0</v>
      </c>
      <c r="J54" s="397"/>
      <c r="K54" s="397"/>
      <c r="L54" s="397"/>
      <c r="M54" s="396">
        <f t="shared" si="8"/>
        <v>0</v>
      </c>
      <c r="N54" s="398">
        <v>457000.0</v>
      </c>
      <c r="O54" s="399">
        <v>45759.0</v>
      </c>
      <c r="P54" s="400"/>
    </row>
    <row r="55" ht="22.5" customHeight="1">
      <c r="A55" s="352" t="s">
        <v>1340</v>
      </c>
      <c r="B55" s="393"/>
      <c r="C55" s="394"/>
      <c r="D55" s="395"/>
      <c r="E55" s="395"/>
      <c r="F55" s="395"/>
      <c r="G55" s="395"/>
      <c r="H55" s="396">
        <f t="shared" si="7"/>
        <v>0</v>
      </c>
      <c r="I55" s="396">
        <v>430000.0</v>
      </c>
      <c r="J55" s="397"/>
      <c r="K55" s="397"/>
      <c r="L55" s="397"/>
      <c r="M55" s="396">
        <f t="shared" si="8"/>
        <v>0</v>
      </c>
      <c r="N55" s="398">
        <v>430000.0</v>
      </c>
      <c r="O55" s="399">
        <v>45760.0</v>
      </c>
      <c r="P55" s="400"/>
    </row>
    <row r="56" ht="22.5" customHeight="1">
      <c r="A56" s="352" t="s">
        <v>2462</v>
      </c>
      <c r="B56" s="393"/>
      <c r="C56" s="394"/>
      <c r="D56" s="395"/>
      <c r="E56" s="395"/>
      <c r="F56" s="395"/>
      <c r="G56" s="395"/>
      <c r="H56" s="396">
        <f t="shared" si="7"/>
        <v>0</v>
      </c>
      <c r="I56" s="396">
        <v>355000.0</v>
      </c>
      <c r="J56" s="397"/>
      <c r="K56" s="397"/>
      <c r="L56" s="397"/>
      <c r="M56" s="396">
        <f t="shared" si="8"/>
        <v>0</v>
      </c>
      <c r="N56" s="398">
        <v>355000.0</v>
      </c>
      <c r="O56" s="399">
        <v>45761.0</v>
      </c>
      <c r="P56" s="400"/>
    </row>
    <row r="57" ht="22.5" customHeight="1">
      <c r="A57" s="352" t="s">
        <v>1794</v>
      </c>
      <c r="B57" s="393"/>
      <c r="C57" s="394"/>
      <c r="D57" s="395"/>
      <c r="E57" s="395"/>
      <c r="F57" s="395"/>
      <c r="G57" s="395"/>
      <c r="H57" s="396">
        <f t="shared" si="7"/>
        <v>0</v>
      </c>
      <c r="I57" s="396">
        <v>865000.0</v>
      </c>
      <c r="J57" s="397"/>
      <c r="K57" s="397"/>
      <c r="L57" s="397"/>
      <c r="M57" s="396">
        <f t="shared" si="8"/>
        <v>0</v>
      </c>
      <c r="N57" s="398">
        <v>865000.0</v>
      </c>
      <c r="O57" s="399">
        <v>45762.0</v>
      </c>
      <c r="P57" s="400"/>
    </row>
    <row r="58" ht="22.5" customHeight="1">
      <c r="A58" s="352" t="s">
        <v>704</v>
      </c>
      <c r="B58" s="393"/>
      <c r="C58" s="394"/>
      <c r="D58" s="395"/>
      <c r="E58" s="395"/>
      <c r="F58" s="395"/>
      <c r="G58" s="395"/>
      <c r="H58" s="396">
        <f t="shared" si="7"/>
        <v>0</v>
      </c>
      <c r="I58" s="396">
        <v>301000.0</v>
      </c>
      <c r="J58" s="397"/>
      <c r="K58" s="397"/>
      <c r="L58" s="397"/>
      <c r="M58" s="396">
        <f t="shared" si="8"/>
        <v>0</v>
      </c>
      <c r="N58" s="398">
        <v>301000.0</v>
      </c>
      <c r="O58" s="399">
        <v>45763.0</v>
      </c>
      <c r="P58" s="400"/>
    </row>
    <row r="59" ht="22.5" customHeight="1">
      <c r="A59" s="352" t="s">
        <v>237</v>
      </c>
      <c r="B59" s="393"/>
      <c r="C59" s="394"/>
      <c r="D59" s="395"/>
      <c r="E59" s="395"/>
      <c r="F59" s="395"/>
      <c r="G59" s="395"/>
      <c r="H59" s="396">
        <f t="shared" si="7"/>
        <v>0</v>
      </c>
      <c r="I59" s="396">
        <v>646000.0</v>
      </c>
      <c r="J59" s="397"/>
      <c r="K59" s="397"/>
      <c r="L59" s="397"/>
      <c r="M59" s="396">
        <f t="shared" si="8"/>
        <v>0</v>
      </c>
      <c r="N59" s="398">
        <v>646000.0</v>
      </c>
      <c r="O59" s="399">
        <v>45764.0</v>
      </c>
      <c r="P59" s="400"/>
    </row>
    <row r="60" ht="22.5" customHeight="1">
      <c r="A60" s="352" t="s">
        <v>1740</v>
      </c>
      <c r="B60" s="401"/>
      <c r="C60" s="402"/>
      <c r="D60" s="403"/>
      <c r="E60" s="403"/>
      <c r="F60" s="403"/>
      <c r="G60" s="403"/>
      <c r="H60" s="404">
        <f t="shared" si="7"/>
        <v>0</v>
      </c>
      <c r="I60" s="404">
        <v>160000.0</v>
      </c>
      <c r="J60" s="405"/>
      <c r="K60" s="405"/>
      <c r="L60" s="405"/>
      <c r="M60" s="404">
        <f t="shared" si="8"/>
        <v>0</v>
      </c>
      <c r="N60" s="406">
        <v>160000.0</v>
      </c>
      <c r="O60" s="407">
        <v>45765.0</v>
      </c>
      <c r="P60" s="408"/>
    </row>
    <row r="61" ht="22.5" customHeight="1">
      <c r="A61" s="377"/>
      <c r="B61" s="378"/>
      <c r="C61" s="378"/>
      <c r="D61" s="379"/>
      <c r="E61" s="379"/>
      <c r="F61" s="379"/>
      <c r="G61" s="379"/>
      <c r="H61" s="380"/>
      <c r="I61" s="380"/>
      <c r="J61" s="381"/>
      <c r="K61" s="381"/>
      <c r="L61" s="381"/>
      <c r="M61" s="380"/>
      <c r="N61" s="382"/>
      <c r="O61" s="383"/>
      <c r="P61" s="384"/>
    </row>
    <row r="62" ht="22.5" customHeight="1">
      <c r="A62" s="352" t="s">
        <v>1407</v>
      </c>
      <c r="B62" s="385"/>
      <c r="C62" s="386"/>
      <c r="D62" s="387"/>
      <c r="E62" s="387"/>
      <c r="F62" s="387"/>
      <c r="G62" s="387"/>
      <c r="H62" s="388">
        <f t="shared" ref="H62:H76" si="9">100000*B62/26</f>
        <v>0</v>
      </c>
      <c r="I62" s="388">
        <v>618000.0</v>
      </c>
      <c r="J62" s="389"/>
      <c r="K62" s="389"/>
      <c r="L62" s="389"/>
      <c r="M62" s="388">
        <f t="shared" ref="M62:M76" si="10">I62+J62-K62-L62-N62</f>
        <v>0</v>
      </c>
      <c r="N62" s="390">
        <v>618000.0</v>
      </c>
      <c r="O62" s="391">
        <v>45778.0</v>
      </c>
      <c r="P62" s="392"/>
    </row>
    <row r="63" ht="22.5" customHeight="1">
      <c r="A63" s="352" t="s">
        <v>1872</v>
      </c>
      <c r="B63" s="393"/>
      <c r="C63" s="394"/>
      <c r="D63" s="395"/>
      <c r="E63" s="395"/>
      <c r="F63" s="395"/>
      <c r="G63" s="395"/>
      <c r="H63" s="396">
        <f t="shared" si="9"/>
        <v>0</v>
      </c>
      <c r="I63" s="396">
        <v>275000.0</v>
      </c>
      <c r="J63" s="397"/>
      <c r="K63" s="397"/>
      <c r="L63" s="397"/>
      <c r="M63" s="396">
        <f t="shared" si="10"/>
        <v>0</v>
      </c>
      <c r="N63" s="398">
        <v>275000.0</v>
      </c>
      <c r="O63" s="399">
        <v>45779.0</v>
      </c>
      <c r="P63" s="400"/>
    </row>
    <row r="64" ht="22.5" customHeight="1">
      <c r="A64" s="352" t="s">
        <v>378</v>
      </c>
      <c r="B64" s="393"/>
      <c r="C64" s="394"/>
      <c r="D64" s="395"/>
      <c r="E64" s="395"/>
      <c r="F64" s="395"/>
      <c r="G64" s="395"/>
      <c r="H64" s="396">
        <f t="shared" si="9"/>
        <v>0</v>
      </c>
      <c r="I64" s="396">
        <v>354000.0</v>
      </c>
      <c r="J64" s="397"/>
      <c r="K64" s="397"/>
      <c r="L64" s="397"/>
      <c r="M64" s="396">
        <f t="shared" si="10"/>
        <v>0</v>
      </c>
      <c r="N64" s="398">
        <v>354000.0</v>
      </c>
      <c r="O64" s="399">
        <v>45780.0</v>
      </c>
      <c r="P64" s="400"/>
    </row>
    <row r="65" ht="22.5" customHeight="1">
      <c r="A65" s="352" t="s">
        <v>2458</v>
      </c>
      <c r="B65" s="393"/>
      <c r="C65" s="394"/>
      <c r="D65" s="395"/>
      <c r="E65" s="395"/>
      <c r="F65" s="395"/>
      <c r="G65" s="395"/>
      <c r="H65" s="396">
        <f t="shared" si="9"/>
        <v>0</v>
      </c>
      <c r="I65" s="396">
        <v>91000.0</v>
      </c>
      <c r="J65" s="397"/>
      <c r="K65" s="397"/>
      <c r="L65" s="397"/>
      <c r="M65" s="396">
        <f t="shared" si="10"/>
        <v>0</v>
      </c>
      <c r="N65" s="398">
        <v>91000.0</v>
      </c>
      <c r="O65" s="399">
        <v>45781.0</v>
      </c>
      <c r="P65" s="400"/>
    </row>
    <row r="66" ht="22.5" customHeight="1">
      <c r="A66" s="352" t="s">
        <v>2461</v>
      </c>
      <c r="B66" s="393"/>
      <c r="C66" s="394"/>
      <c r="D66" s="395"/>
      <c r="E66" s="395"/>
      <c r="F66" s="395"/>
      <c r="G66" s="395"/>
      <c r="H66" s="396">
        <f t="shared" si="9"/>
        <v>0</v>
      </c>
      <c r="I66" s="396">
        <v>163000.0</v>
      </c>
      <c r="J66" s="397"/>
      <c r="K66" s="397"/>
      <c r="L66" s="397"/>
      <c r="M66" s="396">
        <f t="shared" si="10"/>
        <v>0</v>
      </c>
      <c r="N66" s="398">
        <v>163000.0</v>
      </c>
      <c r="O66" s="399">
        <v>45782.0</v>
      </c>
      <c r="P66" s="400"/>
    </row>
    <row r="67" ht="22.5" customHeight="1">
      <c r="A67" s="352" t="s">
        <v>378</v>
      </c>
      <c r="B67" s="393"/>
      <c r="C67" s="394"/>
      <c r="D67" s="395"/>
      <c r="E67" s="395"/>
      <c r="F67" s="395"/>
      <c r="G67" s="395"/>
      <c r="H67" s="396">
        <f t="shared" si="9"/>
        <v>0</v>
      </c>
      <c r="I67" s="396">
        <v>747000.0</v>
      </c>
      <c r="J67" s="397"/>
      <c r="K67" s="397"/>
      <c r="L67" s="397"/>
      <c r="M67" s="396">
        <f t="shared" si="10"/>
        <v>0</v>
      </c>
      <c r="N67" s="398">
        <v>747000.0</v>
      </c>
      <c r="O67" s="399">
        <v>45783.0</v>
      </c>
      <c r="P67" s="400"/>
    </row>
    <row r="68" ht="22.5" customHeight="1">
      <c r="A68" s="352" t="s">
        <v>16</v>
      </c>
      <c r="B68" s="393"/>
      <c r="C68" s="394"/>
      <c r="D68" s="395"/>
      <c r="E68" s="395"/>
      <c r="F68" s="395"/>
      <c r="G68" s="395"/>
      <c r="H68" s="396">
        <f t="shared" si="9"/>
        <v>0</v>
      </c>
      <c r="I68" s="396">
        <v>913000.0</v>
      </c>
      <c r="J68" s="397"/>
      <c r="K68" s="397"/>
      <c r="L68" s="397"/>
      <c r="M68" s="396">
        <f t="shared" si="10"/>
        <v>0</v>
      </c>
      <c r="N68" s="398">
        <v>913000.0</v>
      </c>
      <c r="O68" s="399">
        <v>45784.0</v>
      </c>
      <c r="P68" s="400"/>
    </row>
    <row r="69" ht="22.5" customHeight="1">
      <c r="A69" s="352" t="s">
        <v>20</v>
      </c>
      <c r="B69" s="393"/>
      <c r="C69" s="394"/>
      <c r="D69" s="395"/>
      <c r="E69" s="395"/>
      <c r="F69" s="395"/>
      <c r="G69" s="395"/>
      <c r="H69" s="396">
        <f t="shared" si="9"/>
        <v>0</v>
      </c>
      <c r="I69" s="396">
        <v>607000.0</v>
      </c>
      <c r="J69" s="397"/>
      <c r="K69" s="397"/>
      <c r="L69" s="397"/>
      <c r="M69" s="396">
        <f t="shared" si="10"/>
        <v>0</v>
      </c>
      <c r="N69" s="398">
        <v>607000.0</v>
      </c>
      <c r="O69" s="399">
        <v>45785.0</v>
      </c>
      <c r="P69" s="400"/>
    </row>
    <row r="70" ht="22.5" customHeight="1">
      <c r="A70" s="352" t="s">
        <v>17</v>
      </c>
      <c r="B70" s="393"/>
      <c r="C70" s="394"/>
      <c r="D70" s="395"/>
      <c r="E70" s="395"/>
      <c r="F70" s="395"/>
      <c r="G70" s="395"/>
      <c r="H70" s="396">
        <f t="shared" si="9"/>
        <v>0</v>
      </c>
      <c r="I70" s="396">
        <v>705500.0</v>
      </c>
      <c r="J70" s="397"/>
      <c r="K70" s="397"/>
      <c r="L70" s="397"/>
      <c r="M70" s="396">
        <f t="shared" si="10"/>
        <v>0</v>
      </c>
      <c r="N70" s="398">
        <v>705500.0</v>
      </c>
      <c r="O70" s="399">
        <v>45786.0</v>
      </c>
      <c r="P70" s="400"/>
    </row>
    <row r="71" ht="22.5" customHeight="1">
      <c r="A71" s="352" t="s">
        <v>1528</v>
      </c>
      <c r="B71" s="393"/>
      <c r="C71" s="394"/>
      <c r="D71" s="395"/>
      <c r="E71" s="395"/>
      <c r="F71" s="395"/>
      <c r="G71" s="395"/>
      <c r="H71" s="396">
        <f t="shared" si="9"/>
        <v>0</v>
      </c>
      <c r="I71" s="396">
        <v>411000.0</v>
      </c>
      <c r="J71" s="397"/>
      <c r="K71" s="397"/>
      <c r="L71" s="397"/>
      <c r="M71" s="396">
        <f t="shared" si="10"/>
        <v>0</v>
      </c>
      <c r="N71" s="398">
        <v>411000.0</v>
      </c>
      <c r="O71" s="399">
        <v>45787.0</v>
      </c>
      <c r="P71" s="400"/>
    </row>
    <row r="72" ht="22.5" customHeight="1">
      <c r="A72" s="352" t="s">
        <v>1340</v>
      </c>
      <c r="B72" s="393"/>
      <c r="C72" s="394"/>
      <c r="D72" s="395"/>
      <c r="E72" s="395"/>
      <c r="F72" s="395"/>
      <c r="G72" s="395"/>
      <c r="H72" s="396">
        <f t="shared" si="9"/>
        <v>0</v>
      </c>
      <c r="I72" s="396">
        <v>472000.0</v>
      </c>
      <c r="J72" s="397"/>
      <c r="K72" s="397"/>
      <c r="L72" s="397"/>
      <c r="M72" s="396">
        <f t="shared" si="10"/>
        <v>0</v>
      </c>
      <c r="N72" s="398">
        <v>472000.0</v>
      </c>
      <c r="O72" s="399">
        <v>45788.0</v>
      </c>
      <c r="P72" s="400"/>
    </row>
    <row r="73" ht="22.5" customHeight="1">
      <c r="A73" s="352" t="s">
        <v>2462</v>
      </c>
      <c r="B73" s="393"/>
      <c r="C73" s="394"/>
      <c r="D73" s="395"/>
      <c r="E73" s="395"/>
      <c r="F73" s="395"/>
      <c r="G73" s="395"/>
      <c r="H73" s="396">
        <f t="shared" si="9"/>
        <v>0</v>
      </c>
      <c r="I73" s="396">
        <v>357000.0</v>
      </c>
      <c r="J73" s="397"/>
      <c r="K73" s="397"/>
      <c r="L73" s="397"/>
      <c r="M73" s="396">
        <f t="shared" si="10"/>
        <v>0</v>
      </c>
      <c r="N73" s="398">
        <v>357000.0</v>
      </c>
      <c r="O73" s="399">
        <v>45789.0</v>
      </c>
      <c r="P73" s="400"/>
    </row>
    <row r="74" ht="22.5" customHeight="1">
      <c r="A74" s="352" t="s">
        <v>1794</v>
      </c>
      <c r="B74" s="393"/>
      <c r="C74" s="394"/>
      <c r="D74" s="395"/>
      <c r="E74" s="395"/>
      <c r="F74" s="395"/>
      <c r="G74" s="395"/>
      <c r="H74" s="396">
        <f t="shared" si="9"/>
        <v>0</v>
      </c>
      <c r="I74" s="396">
        <v>422000.0</v>
      </c>
      <c r="J74" s="397"/>
      <c r="K74" s="397"/>
      <c r="L74" s="397"/>
      <c r="M74" s="396">
        <f t="shared" si="10"/>
        <v>0</v>
      </c>
      <c r="N74" s="398">
        <v>422000.0</v>
      </c>
      <c r="O74" s="399">
        <v>45790.0</v>
      </c>
      <c r="P74" s="400"/>
    </row>
    <row r="75" ht="22.5" customHeight="1">
      <c r="A75" s="352" t="s">
        <v>1816</v>
      </c>
      <c r="B75" s="393"/>
      <c r="C75" s="394"/>
      <c r="D75" s="395"/>
      <c r="E75" s="395"/>
      <c r="F75" s="395"/>
      <c r="G75" s="395"/>
      <c r="H75" s="396">
        <f t="shared" si="9"/>
        <v>0</v>
      </c>
      <c r="I75" s="396">
        <v>425000.0</v>
      </c>
      <c r="J75" s="397"/>
      <c r="K75" s="397"/>
      <c r="L75" s="397"/>
      <c r="M75" s="396">
        <f t="shared" si="10"/>
        <v>0</v>
      </c>
      <c r="N75" s="398">
        <v>425000.0</v>
      </c>
      <c r="O75" s="399">
        <v>45791.0</v>
      </c>
      <c r="P75" s="400"/>
    </row>
    <row r="76" ht="22.5" customHeight="1">
      <c r="A76" s="352" t="s">
        <v>237</v>
      </c>
      <c r="B76" s="401"/>
      <c r="C76" s="402"/>
      <c r="D76" s="403"/>
      <c r="E76" s="403"/>
      <c r="F76" s="403"/>
      <c r="G76" s="403"/>
      <c r="H76" s="404">
        <f t="shared" si="9"/>
        <v>0</v>
      </c>
      <c r="I76" s="404">
        <v>302000.0</v>
      </c>
      <c r="J76" s="405"/>
      <c r="K76" s="405"/>
      <c r="L76" s="405"/>
      <c r="M76" s="404">
        <f t="shared" si="10"/>
        <v>0</v>
      </c>
      <c r="N76" s="406">
        <v>302000.0</v>
      </c>
      <c r="O76" s="407">
        <v>45792.0</v>
      </c>
      <c r="P76" s="408"/>
    </row>
    <row r="77" ht="22.5" customHeight="1">
      <c r="A77" s="377"/>
      <c r="B77" s="378"/>
      <c r="C77" s="378"/>
      <c r="D77" s="379"/>
      <c r="E77" s="379"/>
      <c r="F77" s="379"/>
      <c r="G77" s="379"/>
      <c r="H77" s="380"/>
      <c r="I77" s="380"/>
      <c r="J77" s="381"/>
      <c r="K77" s="381"/>
      <c r="L77" s="381"/>
      <c r="M77" s="380"/>
      <c r="N77" s="382"/>
      <c r="O77" s="383"/>
      <c r="P77" s="384"/>
    </row>
    <row r="78" ht="22.5" customHeight="1">
      <c r="A78" s="352" t="s">
        <v>1872</v>
      </c>
      <c r="B78" s="385"/>
      <c r="C78" s="386"/>
      <c r="D78" s="387"/>
      <c r="E78" s="387"/>
      <c r="F78" s="387"/>
      <c r="G78" s="387"/>
      <c r="H78" s="388">
        <f t="shared" ref="H78:H92" si="11">100000*B78/26</f>
        <v>0</v>
      </c>
      <c r="I78" s="388">
        <v>350000.0</v>
      </c>
      <c r="J78" s="389"/>
      <c r="K78" s="389"/>
      <c r="L78" s="389"/>
      <c r="M78" s="388">
        <f t="shared" ref="M78:M92" si="12">I78+J78-K78-L78-N78</f>
        <v>0</v>
      </c>
      <c r="N78" s="390">
        <v>350000.0</v>
      </c>
      <c r="O78" s="391">
        <v>45809.0</v>
      </c>
      <c r="P78" s="392"/>
    </row>
    <row r="79" ht="22.5" customHeight="1">
      <c r="A79" s="352" t="s">
        <v>1407</v>
      </c>
      <c r="B79" s="393"/>
      <c r="C79" s="394"/>
      <c r="D79" s="395"/>
      <c r="E79" s="395"/>
      <c r="F79" s="395"/>
      <c r="G79" s="395"/>
      <c r="H79" s="396">
        <f t="shared" si="11"/>
        <v>0</v>
      </c>
      <c r="I79" s="396">
        <v>621000.0</v>
      </c>
      <c r="J79" s="397"/>
      <c r="K79" s="397"/>
      <c r="L79" s="397"/>
      <c r="M79" s="396">
        <f t="shared" si="12"/>
        <v>0</v>
      </c>
      <c r="N79" s="398">
        <v>621000.0</v>
      </c>
      <c r="O79" s="399">
        <v>45810.0</v>
      </c>
      <c r="P79" s="400"/>
    </row>
    <row r="80" ht="22.5" customHeight="1">
      <c r="A80" s="352" t="s">
        <v>704</v>
      </c>
      <c r="B80" s="393"/>
      <c r="C80" s="394"/>
      <c r="D80" s="395"/>
      <c r="E80" s="395"/>
      <c r="F80" s="395"/>
      <c r="G80" s="395"/>
      <c r="H80" s="396">
        <f t="shared" si="11"/>
        <v>0</v>
      </c>
      <c r="I80" s="396">
        <v>322000.0</v>
      </c>
      <c r="J80" s="397"/>
      <c r="K80" s="397"/>
      <c r="L80" s="397"/>
      <c r="M80" s="396">
        <f t="shared" si="12"/>
        <v>0</v>
      </c>
      <c r="N80" s="398">
        <v>322000.0</v>
      </c>
      <c r="O80" s="399">
        <v>45812.0</v>
      </c>
      <c r="P80" s="400"/>
    </row>
    <row r="81" ht="22.5" customHeight="1">
      <c r="A81" s="352" t="s">
        <v>2461</v>
      </c>
      <c r="B81" s="393"/>
      <c r="C81" s="394"/>
      <c r="D81" s="395"/>
      <c r="E81" s="395"/>
      <c r="F81" s="395"/>
      <c r="G81" s="395"/>
      <c r="H81" s="396">
        <f t="shared" si="11"/>
        <v>0</v>
      </c>
      <c r="I81" s="396">
        <v>147000.0</v>
      </c>
      <c r="J81" s="397"/>
      <c r="K81" s="397"/>
      <c r="L81" s="397"/>
      <c r="M81" s="396">
        <f t="shared" si="12"/>
        <v>0</v>
      </c>
      <c r="N81" s="398">
        <v>147000.0</v>
      </c>
      <c r="O81" s="399">
        <v>45813.0</v>
      </c>
      <c r="P81" s="400"/>
    </row>
    <row r="82" ht="22.5" customHeight="1">
      <c r="A82" s="352" t="s">
        <v>2453</v>
      </c>
      <c r="B82" s="393"/>
      <c r="C82" s="394"/>
      <c r="D82" s="395"/>
      <c r="E82" s="395"/>
      <c r="F82" s="395"/>
      <c r="G82" s="395"/>
      <c r="H82" s="396">
        <f t="shared" si="11"/>
        <v>0</v>
      </c>
      <c r="I82" s="396">
        <v>115000.0</v>
      </c>
      <c r="J82" s="397"/>
      <c r="K82" s="397"/>
      <c r="L82" s="397"/>
      <c r="M82" s="396">
        <f t="shared" si="12"/>
        <v>0</v>
      </c>
      <c r="N82" s="398">
        <v>115000.0</v>
      </c>
      <c r="O82" s="399">
        <v>45814.0</v>
      </c>
      <c r="P82" s="400"/>
    </row>
    <row r="83" ht="22.5" customHeight="1">
      <c r="A83" s="352" t="s">
        <v>1816</v>
      </c>
      <c r="B83" s="393"/>
      <c r="C83" s="394"/>
      <c r="D83" s="395"/>
      <c r="E83" s="395"/>
      <c r="F83" s="395"/>
      <c r="G83" s="395"/>
      <c r="H83" s="396">
        <f t="shared" si="11"/>
        <v>0</v>
      </c>
      <c r="I83" s="396">
        <v>118000.0</v>
      </c>
      <c r="J83" s="397"/>
      <c r="K83" s="397"/>
      <c r="L83" s="397"/>
      <c r="M83" s="396">
        <f t="shared" si="12"/>
        <v>0</v>
      </c>
      <c r="N83" s="398">
        <v>118000.0</v>
      </c>
      <c r="O83" s="399">
        <v>45815.0</v>
      </c>
      <c r="P83" s="400"/>
    </row>
    <row r="84" ht="22.5" customHeight="1">
      <c r="A84" s="352" t="s">
        <v>1740</v>
      </c>
      <c r="B84" s="393"/>
      <c r="C84" s="394"/>
      <c r="D84" s="395"/>
      <c r="E84" s="395"/>
      <c r="F84" s="395"/>
      <c r="G84" s="395"/>
      <c r="H84" s="396">
        <f t="shared" si="11"/>
        <v>0</v>
      </c>
      <c r="I84" s="396">
        <v>360000.0</v>
      </c>
      <c r="J84" s="397"/>
      <c r="K84" s="397"/>
      <c r="L84" s="397"/>
      <c r="M84" s="396">
        <f t="shared" si="12"/>
        <v>0</v>
      </c>
      <c r="N84" s="398">
        <v>360000.0</v>
      </c>
      <c r="O84" s="399">
        <v>45816.0</v>
      </c>
      <c r="P84" s="400"/>
    </row>
    <row r="85" ht="22.5" customHeight="1">
      <c r="A85" s="352" t="s">
        <v>16</v>
      </c>
      <c r="B85" s="393"/>
      <c r="C85" s="394"/>
      <c r="D85" s="395"/>
      <c r="E85" s="395"/>
      <c r="F85" s="395"/>
      <c r="G85" s="395"/>
      <c r="H85" s="396">
        <f t="shared" si="11"/>
        <v>0</v>
      </c>
      <c r="I85" s="396">
        <v>867000.0</v>
      </c>
      <c r="J85" s="397"/>
      <c r="K85" s="397"/>
      <c r="L85" s="397"/>
      <c r="M85" s="396">
        <f t="shared" si="12"/>
        <v>0</v>
      </c>
      <c r="N85" s="398">
        <v>867000.0</v>
      </c>
      <c r="O85" s="399">
        <v>45817.0</v>
      </c>
      <c r="P85" s="400"/>
    </row>
    <row r="86" ht="22.5" customHeight="1">
      <c r="A86" s="352" t="s">
        <v>20</v>
      </c>
      <c r="B86" s="393"/>
      <c r="C86" s="394"/>
      <c r="D86" s="395"/>
      <c r="E86" s="395"/>
      <c r="F86" s="395"/>
      <c r="G86" s="395"/>
      <c r="H86" s="396">
        <f t="shared" si="11"/>
        <v>0</v>
      </c>
      <c r="I86" s="396">
        <v>600000.0</v>
      </c>
      <c r="J86" s="397"/>
      <c r="K86" s="397"/>
      <c r="L86" s="397"/>
      <c r="M86" s="396">
        <f t="shared" si="12"/>
        <v>0</v>
      </c>
      <c r="N86" s="398">
        <v>600000.0</v>
      </c>
      <c r="O86" s="399">
        <v>45818.0</v>
      </c>
      <c r="P86" s="400"/>
    </row>
    <row r="87" ht="22.5" customHeight="1">
      <c r="A87" s="409" t="s">
        <v>31</v>
      </c>
      <c r="B87" s="393"/>
      <c r="C87" s="394"/>
      <c r="D87" s="395"/>
      <c r="E87" s="395"/>
      <c r="F87" s="395"/>
      <c r="G87" s="395"/>
      <c r="H87" s="396">
        <f t="shared" si="11"/>
        <v>0</v>
      </c>
      <c r="I87" s="396">
        <v>287000.0</v>
      </c>
      <c r="J87" s="396">
        <v>0.0</v>
      </c>
      <c r="K87" s="397"/>
      <c r="L87" s="397"/>
      <c r="M87" s="396">
        <f t="shared" si="12"/>
        <v>0</v>
      </c>
      <c r="N87" s="398">
        <v>287000.0</v>
      </c>
      <c r="O87" s="399">
        <v>45819.0</v>
      </c>
      <c r="P87" s="400"/>
    </row>
    <row r="88" ht="22.5" customHeight="1">
      <c r="A88" s="352" t="s">
        <v>17</v>
      </c>
      <c r="B88" s="393"/>
      <c r="C88" s="394"/>
      <c r="D88" s="395"/>
      <c r="E88" s="395"/>
      <c r="F88" s="395"/>
      <c r="G88" s="395"/>
      <c r="H88" s="396">
        <f t="shared" si="11"/>
        <v>0</v>
      </c>
      <c r="I88" s="396">
        <v>400000.0</v>
      </c>
      <c r="J88" s="397"/>
      <c r="K88" s="397"/>
      <c r="L88" s="397"/>
      <c r="M88" s="396">
        <f t="shared" si="12"/>
        <v>0</v>
      </c>
      <c r="N88" s="398">
        <v>400000.0</v>
      </c>
      <c r="O88" s="399">
        <v>45820.0</v>
      </c>
      <c r="P88" s="400"/>
    </row>
    <row r="89" ht="22.5" customHeight="1">
      <c r="A89" s="352" t="s">
        <v>1528</v>
      </c>
      <c r="B89" s="393"/>
      <c r="C89" s="394"/>
      <c r="D89" s="395"/>
      <c r="E89" s="395"/>
      <c r="F89" s="395"/>
      <c r="G89" s="395"/>
      <c r="H89" s="396">
        <f t="shared" si="11"/>
        <v>0</v>
      </c>
      <c r="I89" s="396">
        <v>302000.0</v>
      </c>
      <c r="J89" s="397"/>
      <c r="K89" s="397"/>
      <c r="L89" s="397"/>
      <c r="M89" s="396">
        <f t="shared" si="12"/>
        <v>0</v>
      </c>
      <c r="N89" s="398">
        <v>302000.0</v>
      </c>
      <c r="O89" s="399">
        <v>45821.0</v>
      </c>
      <c r="P89" s="400"/>
    </row>
    <row r="90" ht="22.5" customHeight="1">
      <c r="A90" s="352" t="s">
        <v>1340</v>
      </c>
      <c r="B90" s="393"/>
      <c r="C90" s="394"/>
      <c r="D90" s="395"/>
      <c r="E90" s="395"/>
      <c r="F90" s="395"/>
      <c r="G90" s="395"/>
      <c r="H90" s="396">
        <f t="shared" si="11"/>
        <v>0</v>
      </c>
      <c r="I90" s="396">
        <v>675000.0</v>
      </c>
      <c r="J90" s="397"/>
      <c r="K90" s="397"/>
      <c r="L90" s="397"/>
      <c r="M90" s="396">
        <f t="shared" si="12"/>
        <v>0</v>
      </c>
      <c r="N90" s="398">
        <v>675000.0</v>
      </c>
      <c r="O90" s="399">
        <v>45822.0</v>
      </c>
      <c r="P90" s="400"/>
    </row>
    <row r="91" ht="22.5" customHeight="1">
      <c r="A91" s="352" t="s">
        <v>2462</v>
      </c>
      <c r="B91" s="393"/>
      <c r="C91" s="394"/>
      <c r="D91" s="395"/>
      <c r="E91" s="395"/>
      <c r="F91" s="395"/>
      <c r="G91" s="395"/>
      <c r="H91" s="396">
        <f t="shared" si="11"/>
        <v>0</v>
      </c>
      <c r="I91" s="396">
        <v>226000.0</v>
      </c>
      <c r="J91" s="397"/>
      <c r="K91" s="397"/>
      <c r="L91" s="397"/>
      <c r="M91" s="396">
        <f t="shared" si="12"/>
        <v>0</v>
      </c>
      <c r="N91" s="398">
        <v>226000.0</v>
      </c>
      <c r="O91" s="399">
        <v>45823.0</v>
      </c>
      <c r="P91" s="400"/>
    </row>
    <row r="92" ht="22.5" customHeight="1">
      <c r="A92" s="352" t="s">
        <v>1794</v>
      </c>
      <c r="B92" s="401"/>
      <c r="C92" s="402"/>
      <c r="D92" s="403"/>
      <c r="E92" s="403"/>
      <c r="F92" s="403"/>
      <c r="G92" s="403"/>
      <c r="H92" s="404">
        <f t="shared" si="11"/>
        <v>0</v>
      </c>
      <c r="I92" s="404">
        <v>679000.0</v>
      </c>
      <c r="J92" s="405"/>
      <c r="K92" s="405"/>
      <c r="L92" s="405"/>
      <c r="M92" s="404">
        <f t="shared" si="12"/>
        <v>0</v>
      </c>
      <c r="N92" s="406">
        <v>679000.0</v>
      </c>
      <c r="O92" s="407">
        <v>45824.0</v>
      </c>
      <c r="P92" s="408"/>
    </row>
    <row r="93" ht="22.5" customHeight="1">
      <c r="A93" s="352"/>
      <c r="B93" s="410"/>
      <c r="C93" s="378"/>
      <c r="D93" s="379"/>
      <c r="E93" s="379"/>
      <c r="F93" s="379"/>
      <c r="G93" s="379"/>
      <c r="H93" s="380"/>
      <c r="I93" s="380"/>
      <c r="J93" s="381"/>
      <c r="K93" s="381"/>
      <c r="L93" s="381"/>
      <c r="M93" s="380"/>
      <c r="N93" s="382"/>
      <c r="O93" s="411"/>
      <c r="P93" s="412"/>
    </row>
    <row r="94" ht="22.5" customHeight="1">
      <c r="A94" s="352" t="s">
        <v>1407</v>
      </c>
      <c r="B94" s="385"/>
      <c r="C94" s="386"/>
      <c r="D94" s="387"/>
      <c r="E94" s="387"/>
      <c r="F94" s="387"/>
      <c r="G94" s="387"/>
      <c r="H94" s="388">
        <f t="shared" ref="H94:H108" si="13">100000*B94/26</f>
        <v>0</v>
      </c>
      <c r="I94" s="388">
        <v>590000.0</v>
      </c>
      <c r="J94" s="389"/>
      <c r="K94" s="389"/>
      <c r="L94" s="389"/>
      <c r="M94" s="388">
        <f t="shared" ref="M94:M108" si="14">I94+J94-K94-L94-N94</f>
        <v>0</v>
      </c>
      <c r="N94" s="390">
        <v>590000.0</v>
      </c>
      <c r="O94" s="391">
        <v>45839.0</v>
      </c>
      <c r="P94" s="392"/>
    </row>
    <row r="95" ht="22.5" customHeight="1">
      <c r="A95" s="352" t="s">
        <v>2004</v>
      </c>
      <c r="B95" s="393"/>
      <c r="C95" s="394"/>
      <c r="D95" s="395"/>
      <c r="E95" s="395"/>
      <c r="F95" s="395"/>
      <c r="G95" s="395"/>
      <c r="H95" s="396">
        <f t="shared" si="13"/>
        <v>0</v>
      </c>
      <c r="I95" s="396">
        <v>278000.0</v>
      </c>
      <c r="J95" s="397"/>
      <c r="K95" s="397"/>
      <c r="L95" s="397"/>
      <c r="M95" s="396">
        <f t="shared" si="14"/>
        <v>0</v>
      </c>
      <c r="N95" s="398">
        <v>278000.0</v>
      </c>
      <c r="O95" s="399">
        <v>45840.0</v>
      </c>
      <c r="P95" s="400"/>
    </row>
    <row r="96" ht="22.5" customHeight="1">
      <c r="A96" s="352" t="s">
        <v>1872</v>
      </c>
      <c r="B96" s="393"/>
      <c r="C96" s="394"/>
      <c r="D96" s="395"/>
      <c r="E96" s="395"/>
      <c r="F96" s="395"/>
      <c r="G96" s="395"/>
      <c r="H96" s="396">
        <f t="shared" si="13"/>
        <v>0</v>
      </c>
      <c r="I96" s="396">
        <v>220000.0</v>
      </c>
      <c r="J96" s="397"/>
      <c r="K96" s="397"/>
      <c r="L96" s="397"/>
      <c r="M96" s="396">
        <f t="shared" si="14"/>
        <v>0</v>
      </c>
      <c r="N96" s="398">
        <v>220000.0</v>
      </c>
      <c r="O96" s="399">
        <v>45841.0</v>
      </c>
      <c r="P96" s="400"/>
    </row>
    <row r="97" ht="22.5" customHeight="1">
      <c r="A97" s="352" t="s">
        <v>1407</v>
      </c>
      <c r="B97" s="393"/>
      <c r="C97" s="394"/>
      <c r="D97" s="395"/>
      <c r="E97" s="395"/>
      <c r="F97" s="395"/>
      <c r="G97" s="395"/>
      <c r="H97" s="396">
        <f t="shared" si="13"/>
        <v>0</v>
      </c>
      <c r="I97" s="396">
        <v>451000.0</v>
      </c>
      <c r="J97" s="397"/>
      <c r="K97" s="397"/>
      <c r="L97" s="397"/>
      <c r="M97" s="396">
        <f t="shared" si="14"/>
        <v>0</v>
      </c>
      <c r="N97" s="398">
        <v>451000.0</v>
      </c>
      <c r="O97" s="399">
        <v>45842.0</v>
      </c>
      <c r="P97" s="400"/>
    </row>
    <row r="98" ht="22.5" customHeight="1">
      <c r="A98" s="352" t="s">
        <v>26</v>
      </c>
      <c r="B98" s="393"/>
      <c r="C98" s="394"/>
      <c r="D98" s="395"/>
      <c r="E98" s="395"/>
      <c r="F98" s="395"/>
      <c r="G98" s="395"/>
      <c r="H98" s="396">
        <f t="shared" si="13"/>
        <v>0</v>
      </c>
      <c r="I98" s="396">
        <v>360000.0</v>
      </c>
      <c r="J98" s="397"/>
      <c r="K98" s="397"/>
      <c r="L98" s="397"/>
      <c r="M98" s="396">
        <f t="shared" si="14"/>
        <v>0</v>
      </c>
      <c r="N98" s="398">
        <v>360000.0</v>
      </c>
      <c r="O98" s="399">
        <v>45843.0</v>
      </c>
      <c r="P98" s="400"/>
    </row>
    <row r="99" ht="27.75" customHeight="1">
      <c r="A99" s="352" t="s">
        <v>2463</v>
      </c>
      <c r="B99" s="393"/>
      <c r="C99" s="394"/>
      <c r="D99" s="395"/>
      <c r="E99" s="395"/>
      <c r="F99" s="395"/>
      <c r="G99" s="395"/>
      <c r="H99" s="396">
        <f t="shared" si="13"/>
        <v>0</v>
      </c>
      <c r="I99" s="396">
        <v>16000.0</v>
      </c>
      <c r="J99" s="397"/>
      <c r="K99" s="397"/>
      <c r="L99" s="397"/>
      <c r="M99" s="396">
        <f t="shared" si="14"/>
        <v>0</v>
      </c>
      <c r="N99" s="398">
        <v>16000.0</v>
      </c>
      <c r="O99" s="399">
        <v>45844.0</v>
      </c>
      <c r="P99" s="400"/>
    </row>
    <row r="100" ht="27.75" customHeight="1">
      <c r="A100" s="352" t="s">
        <v>2464</v>
      </c>
      <c r="B100" s="393"/>
      <c r="C100" s="394"/>
      <c r="D100" s="395"/>
      <c r="E100" s="395"/>
      <c r="F100" s="395"/>
      <c r="G100" s="395"/>
      <c r="H100" s="396">
        <f t="shared" si="13"/>
        <v>0</v>
      </c>
      <c r="I100" s="396">
        <v>550000.0</v>
      </c>
      <c r="J100" s="397"/>
      <c r="K100" s="397"/>
      <c r="L100" s="397"/>
      <c r="M100" s="396">
        <f t="shared" si="14"/>
        <v>0</v>
      </c>
      <c r="N100" s="398">
        <v>550000.0</v>
      </c>
      <c r="O100" s="399">
        <v>45845.0</v>
      </c>
      <c r="P100" s="400"/>
    </row>
    <row r="101" ht="27.75" customHeight="1">
      <c r="A101" s="409" t="s">
        <v>16</v>
      </c>
      <c r="B101" s="393"/>
      <c r="C101" s="394"/>
      <c r="D101" s="395"/>
      <c r="E101" s="395"/>
      <c r="F101" s="395"/>
      <c r="G101" s="395"/>
      <c r="H101" s="396">
        <f t="shared" si="13"/>
        <v>0</v>
      </c>
      <c r="I101" s="396">
        <v>979000.0</v>
      </c>
      <c r="J101" s="397"/>
      <c r="K101" s="397"/>
      <c r="L101" s="397"/>
      <c r="M101" s="396">
        <f t="shared" si="14"/>
        <v>0</v>
      </c>
      <c r="N101" s="398">
        <v>979000.0</v>
      </c>
      <c r="O101" s="399">
        <v>45846.0</v>
      </c>
      <c r="P101" s="400"/>
    </row>
    <row r="102" ht="27.75" customHeight="1">
      <c r="A102" s="352" t="s">
        <v>20</v>
      </c>
      <c r="B102" s="393"/>
      <c r="C102" s="394"/>
      <c r="D102" s="395"/>
      <c r="E102" s="395"/>
      <c r="F102" s="395"/>
      <c r="G102" s="395"/>
      <c r="H102" s="396">
        <f t="shared" si="13"/>
        <v>0</v>
      </c>
      <c r="I102" s="396">
        <v>565000.0</v>
      </c>
      <c r="J102" s="397"/>
      <c r="K102" s="397"/>
      <c r="L102" s="397"/>
      <c r="M102" s="396">
        <f t="shared" si="14"/>
        <v>0</v>
      </c>
      <c r="N102" s="398">
        <v>565000.0</v>
      </c>
      <c r="O102" s="399">
        <v>45847.0</v>
      </c>
      <c r="P102" s="400"/>
    </row>
    <row r="103" ht="27.75" customHeight="1">
      <c r="A103" s="413" t="s">
        <v>17</v>
      </c>
      <c r="B103" s="393"/>
      <c r="C103" s="394"/>
      <c r="D103" s="395"/>
      <c r="E103" s="395"/>
      <c r="F103" s="395"/>
      <c r="G103" s="395"/>
      <c r="H103" s="396">
        <f t="shared" si="13"/>
        <v>0</v>
      </c>
      <c r="I103" s="396">
        <v>335000.0</v>
      </c>
      <c r="J103" s="397"/>
      <c r="K103" s="397"/>
      <c r="L103" s="397"/>
      <c r="M103" s="396">
        <f t="shared" si="14"/>
        <v>0</v>
      </c>
      <c r="N103" s="398">
        <v>335000.0</v>
      </c>
      <c r="O103" s="399">
        <v>45848.0</v>
      </c>
      <c r="P103" s="400"/>
    </row>
    <row r="104" ht="27.75" customHeight="1">
      <c r="A104" s="352" t="s">
        <v>1528</v>
      </c>
      <c r="B104" s="393"/>
      <c r="C104" s="394"/>
      <c r="D104" s="395"/>
      <c r="E104" s="395"/>
      <c r="F104" s="395"/>
      <c r="G104" s="395"/>
      <c r="H104" s="396">
        <f t="shared" si="13"/>
        <v>0</v>
      </c>
      <c r="I104" s="396">
        <v>534000.0</v>
      </c>
      <c r="J104" s="397"/>
      <c r="K104" s="397"/>
      <c r="L104" s="397"/>
      <c r="M104" s="396">
        <f t="shared" si="14"/>
        <v>0</v>
      </c>
      <c r="N104" s="398">
        <v>534000.0</v>
      </c>
      <c r="O104" s="399">
        <v>45849.0</v>
      </c>
      <c r="P104" s="400"/>
    </row>
    <row r="105" ht="27.75" customHeight="1">
      <c r="A105" s="352" t="s">
        <v>1340</v>
      </c>
      <c r="B105" s="393"/>
      <c r="C105" s="394"/>
      <c r="D105" s="395"/>
      <c r="E105" s="395"/>
      <c r="F105" s="395"/>
      <c r="G105" s="395"/>
      <c r="H105" s="396">
        <f t="shared" si="13"/>
        <v>0</v>
      </c>
      <c r="I105" s="396">
        <v>460000.0</v>
      </c>
      <c r="J105" s="397"/>
      <c r="K105" s="397"/>
      <c r="L105" s="397"/>
      <c r="M105" s="396">
        <f t="shared" si="14"/>
        <v>0</v>
      </c>
      <c r="N105" s="398">
        <v>460000.0</v>
      </c>
      <c r="O105" s="399">
        <v>45850.0</v>
      </c>
      <c r="P105" s="400"/>
    </row>
    <row r="106" ht="27.75" customHeight="1">
      <c r="A106" s="352" t="s">
        <v>1794</v>
      </c>
      <c r="B106" s="393"/>
      <c r="C106" s="394"/>
      <c r="D106" s="395"/>
      <c r="E106" s="395"/>
      <c r="F106" s="395"/>
      <c r="G106" s="395"/>
      <c r="H106" s="396">
        <f t="shared" si="13"/>
        <v>0</v>
      </c>
      <c r="I106" s="396">
        <v>210000.0</v>
      </c>
      <c r="J106" s="397"/>
      <c r="K106" s="397"/>
      <c r="L106" s="397"/>
      <c r="M106" s="396">
        <f t="shared" si="14"/>
        <v>0</v>
      </c>
      <c r="N106" s="398">
        <v>210000.0</v>
      </c>
      <c r="O106" s="399">
        <v>45851.0</v>
      </c>
      <c r="P106" s="400"/>
    </row>
    <row r="107" ht="27.75" customHeight="1">
      <c r="A107" s="409" t="s">
        <v>31</v>
      </c>
      <c r="B107" s="393"/>
      <c r="C107" s="394"/>
      <c r="D107" s="395"/>
      <c r="E107" s="395"/>
      <c r="F107" s="395"/>
      <c r="G107" s="395"/>
      <c r="H107" s="396">
        <f t="shared" si="13"/>
        <v>0</v>
      </c>
      <c r="I107" s="396">
        <v>0.0</v>
      </c>
      <c r="J107" s="397"/>
      <c r="K107" s="397"/>
      <c r="L107" s="397"/>
      <c r="M107" s="396">
        <f t="shared" si="14"/>
        <v>0</v>
      </c>
      <c r="N107" s="398">
        <v>0.0</v>
      </c>
      <c r="O107" s="399">
        <v>45852.0</v>
      </c>
      <c r="P107" s="400"/>
    </row>
    <row r="108" ht="27.75" customHeight="1">
      <c r="A108" s="352" t="s">
        <v>237</v>
      </c>
      <c r="B108" s="401"/>
      <c r="C108" s="402"/>
      <c r="D108" s="403"/>
      <c r="E108" s="403"/>
      <c r="F108" s="403"/>
      <c r="G108" s="403"/>
      <c r="H108" s="404">
        <f t="shared" si="13"/>
        <v>0</v>
      </c>
      <c r="I108" s="404">
        <v>830000.0</v>
      </c>
      <c r="J108" s="405"/>
      <c r="K108" s="405"/>
      <c r="L108" s="405"/>
      <c r="M108" s="404">
        <f t="shared" si="14"/>
        <v>0</v>
      </c>
      <c r="N108" s="406">
        <v>830000.0</v>
      </c>
      <c r="O108" s="407">
        <v>45853.0</v>
      </c>
      <c r="P108" s="408"/>
    </row>
    <row r="109" ht="27.75" customHeight="1">
      <c r="A109" s="352"/>
      <c r="B109" s="410"/>
      <c r="C109" s="378"/>
      <c r="D109" s="379"/>
      <c r="E109" s="379"/>
      <c r="F109" s="379"/>
      <c r="G109" s="379"/>
      <c r="H109" s="380"/>
      <c r="I109" s="380"/>
      <c r="J109" s="381"/>
      <c r="K109" s="381"/>
      <c r="L109" s="381"/>
      <c r="M109" s="380"/>
      <c r="N109" s="382"/>
      <c r="O109" s="411"/>
      <c r="P109" s="412"/>
    </row>
    <row r="110" ht="27.75" customHeight="1">
      <c r="A110" s="352" t="s">
        <v>26</v>
      </c>
      <c r="B110" s="385"/>
      <c r="C110" s="386"/>
      <c r="D110" s="387"/>
      <c r="E110" s="387"/>
      <c r="F110" s="387"/>
      <c r="G110" s="387"/>
      <c r="H110" s="388">
        <f t="shared" ref="H110:H117" si="15">100000*B110/26</f>
        <v>0</v>
      </c>
      <c r="I110" s="388">
        <v>477000.0</v>
      </c>
      <c r="J110" s="389"/>
      <c r="K110" s="389"/>
      <c r="L110" s="389"/>
      <c r="M110" s="388">
        <f t="shared" ref="M110:M117" si="16">I110+J110-K110-L110-N110</f>
        <v>0</v>
      </c>
      <c r="N110" s="390">
        <v>477000.0</v>
      </c>
      <c r="O110" s="391">
        <v>45870.0</v>
      </c>
      <c r="P110" s="392"/>
    </row>
    <row r="111" ht="27.75" customHeight="1">
      <c r="A111" s="352" t="s">
        <v>16</v>
      </c>
      <c r="B111" s="393"/>
      <c r="C111" s="394"/>
      <c r="D111" s="395"/>
      <c r="E111" s="395"/>
      <c r="F111" s="395"/>
      <c r="G111" s="395"/>
      <c r="H111" s="396">
        <f t="shared" si="15"/>
        <v>0</v>
      </c>
      <c r="I111" s="396">
        <v>632000.0</v>
      </c>
      <c r="J111" s="397"/>
      <c r="K111" s="397"/>
      <c r="L111" s="397"/>
      <c r="M111" s="396">
        <f t="shared" si="16"/>
        <v>0</v>
      </c>
      <c r="N111" s="398">
        <v>632000.0</v>
      </c>
      <c r="O111" s="399">
        <v>45870.0</v>
      </c>
      <c r="P111" s="400"/>
    </row>
    <row r="112" ht="27.75" customHeight="1">
      <c r="A112" s="352" t="s">
        <v>20</v>
      </c>
      <c r="B112" s="393"/>
      <c r="C112" s="394"/>
      <c r="D112" s="395"/>
      <c r="E112" s="395"/>
      <c r="F112" s="395"/>
      <c r="G112" s="395"/>
      <c r="H112" s="396">
        <f t="shared" si="15"/>
        <v>0</v>
      </c>
      <c r="I112" s="396">
        <v>421000.0</v>
      </c>
      <c r="J112" s="397"/>
      <c r="K112" s="397"/>
      <c r="L112" s="397"/>
      <c r="M112" s="396">
        <f t="shared" si="16"/>
        <v>0</v>
      </c>
      <c r="N112" s="398">
        <v>421000.0</v>
      </c>
      <c r="O112" s="399">
        <v>45872.0</v>
      </c>
      <c r="P112" s="400"/>
    </row>
    <row r="113" ht="27.75" customHeight="1">
      <c r="A113" s="413" t="s">
        <v>21</v>
      </c>
      <c r="B113" s="393"/>
      <c r="C113" s="394"/>
      <c r="D113" s="395"/>
      <c r="E113" s="395"/>
      <c r="F113" s="395"/>
      <c r="G113" s="395"/>
      <c r="H113" s="396">
        <f t="shared" si="15"/>
        <v>0</v>
      </c>
      <c r="I113" s="396">
        <v>993000.0</v>
      </c>
      <c r="J113" s="397"/>
      <c r="K113" s="397"/>
      <c r="L113" s="397"/>
      <c r="M113" s="396">
        <f t="shared" si="16"/>
        <v>0</v>
      </c>
      <c r="N113" s="398">
        <v>993000.0</v>
      </c>
      <c r="O113" s="399">
        <v>45870.0</v>
      </c>
      <c r="P113" s="400"/>
    </row>
    <row r="114" ht="27.75" customHeight="1">
      <c r="A114" s="352" t="s">
        <v>2464</v>
      </c>
      <c r="B114" s="393"/>
      <c r="C114" s="394"/>
      <c r="D114" s="395"/>
      <c r="E114" s="395"/>
      <c r="F114" s="395"/>
      <c r="G114" s="395"/>
      <c r="H114" s="396">
        <f t="shared" si="15"/>
        <v>0</v>
      </c>
      <c r="I114" s="396">
        <v>400000.0</v>
      </c>
      <c r="J114" s="397"/>
      <c r="K114" s="397"/>
      <c r="L114" s="397"/>
      <c r="M114" s="396">
        <f t="shared" si="16"/>
        <v>0</v>
      </c>
      <c r="N114" s="398">
        <v>400000.0</v>
      </c>
      <c r="O114" s="399">
        <v>45870.0</v>
      </c>
      <c r="P114" s="400"/>
    </row>
    <row r="115" ht="27.75" customHeight="1">
      <c r="A115" s="352" t="s">
        <v>1340</v>
      </c>
      <c r="B115" s="393"/>
      <c r="C115" s="394"/>
      <c r="D115" s="395"/>
      <c r="E115" s="395"/>
      <c r="F115" s="395"/>
      <c r="G115" s="395"/>
      <c r="H115" s="396">
        <f t="shared" si="15"/>
        <v>0</v>
      </c>
      <c r="I115" s="396">
        <v>494000.0</v>
      </c>
      <c r="J115" s="397"/>
      <c r="K115" s="397"/>
      <c r="L115" s="397"/>
      <c r="M115" s="396">
        <f t="shared" si="16"/>
        <v>0</v>
      </c>
      <c r="N115" s="398">
        <v>494000.0</v>
      </c>
      <c r="O115" s="399">
        <v>45872.0</v>
      </c>
      <c r="P115" s="400"/>
    </row>
    <row r="116" ht="27.75" customHeight="1">
      <c r="A116" s="352" t="s">
        <v>237</v>
      </c>
      <c r="B116" s="393"/>
      <c r="C116" s="394"/>
      <c r="D116" s="395"/>
      <c r="E116" s="395"/>
      <c r="F116" s="395"/>
      <c r="G116" s="395"/>
      <c r="H116" s="396">
        <f t="shared" si="15"/>
        <v>0</v>
      </c>
      <c r="I116" s="396">
        <v>615000.0</v>
      </c>
      <c r="J116" s="397"/>
      <c r="K116" s="397"/>
      <c r="L116" s="397"/>
      <c r="M116" s="396">
        <f t="shared" si="16"/>
        <v>0</v>
      </c>
      <c r="N116" s="398">
        <v>615000.0</v>
      </c>
      <c r="O116" s="399">
        <v>45870.0</v>
      </c>
      <c r="P116" s="400"/>
    </row>
    <row r="117" ht="27.75" customHeight="1">
      <c r="A117" s="409" t="s">
        <v>17</v>
      </c>
      <c r="B117" s="393"/>
      <c r="C117" s="394"/>
      <c r="D117" s="395"/>
      <c r="E117" s="395"/>
      <c r="F117" s="395"/>
      <c r="G117" s="395"/>
      <c r="H117" s="396">
        <f t="shared" si="15"/>
        <v>0</v>
      </c>
      <c r="I117" s="396">
        <v>225000.0</v>
      </c>
      <c r="J117" s="397"/>
      <c r="K117" s="397"/>
      <c r="L117" s="397"/>
      <c r="M117" s="396">
        <f t="shared" si="16"/>
        <v>0</v>
      </c>
      <c r="N117" s="398">
        <v>225000.0</v>
      </c>
      <c r="O117" s="399">
        <v>45870.0</v>
      </c>
      <c r="P117" s="400"/>
    </row>
    <row r="118" ht="27.75" customHeight="1">
      <c r="A118" s="409" t="s">
        <v>31</v>
      </c>
      <c r="B118" s="401"/>
      <c r="C118" s="402"/>
      <c r="D118" s="403"/>
      <c r="E118" s="403"/>
      <c r="F118" s="403"/>
      <c r="G118" s="403"/>
      <c r="H118" s="404"/>
      <c r="I118" s="404"/>
      <c r="J118" s="405"/>
      <c r="K118" s="405"/>
      <c r="L118" s="405"/>
      <c r="M118" s="404"/>
      <c r="N118" s="406"/>
      <c r="O118" s="407"/>
      <c r="P118" s="408"/>
    </row>
    <row r="119" ht="27.75" customHeight="1">
      <c r="A119" s="409"/>
      <c r="B119" s="410"/>
      <c r="C119" s="378"/>
      <c r="D119" s="379"/>
      <c r="E119" s="379"/>
      <c r="F119" s="379"/>
      <c r="G119" s="379"/>
      <c r="H119" s="380"/>
      <c r="I119" s="380"/>
      <c r="J119" s="381"/>
      <c r="K119" s="381"/>
      <c r="L119" s="381"/>
      <c r="M119" s="380"/>
      <c r="N119" s="382"/>
      <c r="O119" s="383"/>
      <c r="P119" s="414"/>
    </row>
    <row r="120" ht="27.75" customHeight="1">
      <c r="A120" s="413" t="s">
        <v>16</v>
      </c>
      <c r="B120" s="415">
        <f>IF(A120="",",",COUNTIFS('الحضور'!B2:B238,A120,'الحضور'!E2:E238,"&lt;&gt;",'الحضور'!F2:F238,"&lt;&gt;"))</f>
        <v>27</v>
      </c>
      <c r="C120" s="416">
        <f>IF(A120="",",",SUMPRODUCT(( 'الحضور'!B2:B238=A120)*(WEEKDAY('الحضور'!A2:A238,2)=5)*('الحضور'!D2:D238&lt;&gt;"")*('الحضور'!E2:E238&lt;&gt;"")))</f>
        <v>3</v>
      </c>
      <c r="D120" s="417">
        <f>IF(A120="",",",SUMIFS('الحضور'!H2:H238,'الحضور'!B2:B238,A120))</f>
        <v>187.2333333</v>
      </c>
      <c r="E120" s="417">
        <f>IF(A120="",",",SUMIFS('الحضور'!I2:I238,'الحضور'!B2:B238,A120))</f>
        <v>82.3</v>
      </c>
      <c r="F120" s="417">
        <f>IF(A120="",",",SUMIFS('الحضور'!J2:J238,'الحضور'!B2:B238,A120))</f>
        <v>34</v>
      </c>
      <c r="G120" s="417">
        <f>IF(A120="",",", SUMPRODUCT(('الحضور'!B2:B238=A120)*('الحضور'!H2:H238+'الحضور'!J2:J238+'الحضور'!I2:I238)))</f>
        <v>303.5333333</v>
      </c>
      <c r="H120" s="356">
        <f t="shared" ref="H120:H129" si="17">100000*B120/26</f>
        <v>103846.1538</v>
      </c>
      <c r="I120" s="356">
        <f>IF(A120="",",",SUMIFS('الحضور'!K2:K238,'الحضور'!B2:B238,A120))+H120</f>
        <v>1151268.14</v>
      </c>
      <c r="J120" s="356">
        <f>IF(A120="",",",SUMIFS('الحضور'!L2:L1994,'الحضور'!B2:B1994,A120))</f>
        <v>0</v>
      </c>
      <c r="K120" s="356">
        <f>IF(A120="",",",SUMIFS('الحضور'!M2:M238,'الحضور'!B2:B238,A120))</f>
        <v>240000</v>
      </c>
      <c r="L120" s="356">
        <f>IF(A120="",",",SUMIFS('الحضور'!N2:N238,'الحضور'!B2:B238, A120))</f>
        <v>70677.30496</v>
      </c>
      <c r="M120" s="356">
        <f t="shared" ref="M120:M129" si="18">I120+J120-K120-L120-N120</f>
        <v>-0.0000000002328306437</v>
      </c>
      <c r="N120" s="358">
        <v>840590.834696767</v>
      </c>
      <c r="O120" s="359">
        <v>45901.0</v>
      </c>
      <c r="P120" s="360"/>
    </row>
    <row r="121" ht="27.75" customHeight="1">
      <c r="A121" s="413" t="s">
        <v>17</v>
      </c>
      <c r="B121" s="418">
        <f>IF(A121="",",",COUNTIFS('الحضور'!B3:B239,A121,'الحضور'!E3:E239,"&lt;&gt;",'الحضور'!F3:F239,"&lt;&gt;"))</f>
        <v>25</v>
      </c>
      <c r="C121" s="419">
        <f>IF(A121="",",",SUMPRODUCT(( 'الحضور'!B3:B239=A121)*(WEEKDAY('الحضور'!A3:A239,2)=5)*('الحضور'!D3:D239&lt;&gt;"")*('الحضور'!E3:E239&lt;&gt;"")))</f>
        <v>3</v>
      </c>
      <c r="D121" s="420">
        <f>IF(A121="",",",SUMIFS('الحضور'!H3:H239,'الحضور'!B3:B239,A121))</f>
        <v>183.3</v>
      </c>
      <c r="E121" s="420">
        <f>IF(A121="",",",SUMIFS('الحضور'!I3:I239,'الحضور'!B3:B239,A121))</f>
        <v>45.93333333</v>
      </c>
      <c r="F121" s="420">
        <f>IF(A121="",",",SUMIFS('الحضور'!J3:J239,'الحضور'!B3:B239,A121))</f>
        <v>30.28333333</v>
      </c>
      <c r="G121" s="420">
        <f>IF(A121="",",", SUMPRODUCT(('الحضور'!B3:B239=A121)*('الحضور'!H3:H239+'الحضور'!J3:J239+'الحضور'!I3:I239)))</f>
        <v>259.5166667</v>
      </c>
      <c r="H121" s="364">
        <f t="shared" si="17"/>
        <v>96153.84615</v>
      </c>
      <c r="I121" s="364">
        <f>IF(A121="",",",SUMIFS('الحضور'!K3:K239,'الحضور'!B3:B239,A121))+H121</f>
        <v>961253.1369</v>
      </c>
      <c r="J121" s="364">
        <f>IF(A121="",",",SUMIFS('الحضور'!L3:L1995,'الحضور'!B3:B1995,A121))</f>
        <v>47000</v>
      </c>
      <c r="K121" s="364">
        <f>IF(A121="",",",SUMIFS('الحضور'!M3:M239,'الحضور'!B3:B239,A121))</f>
        <v>280000</v>
      </c>
      <c r="L121" s="364">
        <f>IF(A121="",",",SUMIFS('الحضور'!N3:N239,'الحضور'!B3:B239, A121))</f>
        <v>28253.1773</v>
      </c>
      <c r="M121" s="364">
        <f t="shared" si="18"/>
        <v>0</v>
      </c>
      <c r="N121" s="366">
        <v>699999.9596289055</v>
      </c>
      <c r="O121" s="367">
        <v>45901.0</v>
      </c>
      <c r="P121" s="368"/>
    </row>
    <row r="122" ht="27.75" customHeight="1">
      <c r="A122" s="352" t="s">
        <v>20</v>
      </c>
      <c r="B122" s="418">
        <f>IF(A122="",",",COUNTIFS('الحضور'!B4:B100,A122,'الحضور'!E4:E100,"&lt;&gt;",'الحضور'!F4:F100,"&lt;&gt;"))</f>
        <v>28</v>
      </c>
      <c r="C122" s="419">
        <f>IF(A122="",",",SUMPRODUCT(( 'الحضور'!B4:B240=A122)*(WEEKDAY('الحضور'!A4:A240,2)=5)*('الحضور'!D4:D240&lt;&gt;"")*('الحضور'!E4:E240&lt;&gt;"")))</f>
        <v>3</v>
      </c>
      <c r="D122" s="420">
        <f>IF(A122="",",",SUMIFS('الحضور'!H4:H240,'الحضور'!B4:B240,A122))</f>
        <v>208.95</v>
      </c>
      <c r="E122" s="420">
        <f>IF(A122="",",",SUMIFS('الحضور'!I4:I240,'الحضور'!B4:B240,A122))</f>
        <v>30.73333333</v>
      </c>
      <c r="F122" s="420">
        <f>IF(A122="",",",SUMIFS('الحضور'!J4:J240,'الحضور'!B4:B240,A122))</f>
        <v>28.86666667</v>
      </c>
      <c r="G122" s="420">
        <f>IF(A122="",",", SUMPRODUCT(('الحضور'!B4:B240=A122)*('الحضور'!H4:H240+'الحضور'!J4:J240+'الحضور'!I4:I240)))</f>
        <v>268.55</v>
      </c>
      <c r="H122" s="364">
        <f t="shared" si="17"/>
        <v>107692.3077</v>
      </c>
      <c r="I122" s="364">
        <f>IF(A122="",",",SUMIFS('الحضور'!K4:K240,'الحضور'!B4:B240,A122))+H122</f>
        <v>640089.4708</v>
      </c>
      <c r="J122" s="364">
        <f>IF(A122="",",",SUMIFS('الحضور'!L4:L1996,'الحضور'!B4:B1996,A122))</f>
        <v>35000</v>
      </c>
      <c r="K122" s="364">
        <f>IF(A122="",",",SUMIFS('الحضور'!M4:M240,'الحضور'!B4:B240,A122))</f>
        <v>410000</v>
      </c>
      <c r="L122" s="364">
        <f>IF(A122="",",",SUMIFS('الحضور'!N4:N240,'الحضور'!B4:B240, A122))</f>
        <v>37283.68794</v>
      </c>
      <c r="M122" s="364">
        <f t="shared" si="18"/>
        <v>0</v>
      </c>
      <c r="N122" s="366">
        <v>227805.78286961265</v>
      </c>
      <c r="O122" s="367">
        <v>45901.0</v>
      </c>
      <c r="P122" s="421" t="s">
        <v>2465</v>
      </c>
    </row>
    <row r="123" ht="27.75" customHeight="1">
      <c r="A123" s="409" t="s">
        <v>21</v>
      </c>
      <c r="B123" s="418">
        <f>IF(A123="",",",COUNTIFS('الحضور'!B5:B241,A123,'الحضور'!E5:E241,"&lt;&gt;",'الحضور'!F5:F241,"&lt;&gt;"))</f>
        <v>28</v>
      </c>
      <c r="C123" s="419">
        <f>IF(A123="",",",SUMPRODUCT(( 'الحضور'!B5:B241=A123)*(WEEKDAY('الحضور'!A5:A241,2)=5)*('الحضور'!D5:D241&lt;&gt;"")*('الحضور'!E5:E241&lt;&gt;"")))</f>
        <v>3</v>
      </c>
      <c r="D123" s="420">
        <f>IF(A123="",",",SUMIFS('الحضور'!H5:H241,'الحضور'!B5:B241,A123))</f>
        <v>213.1333333</v>
      </c>
      <c r="E123" s="420">
        <f>IF(A123="",",",SUMIFS('الحضور'!I5:I241,'الحضور'!B5:B241,A123))</f>
        <v>17.08333333</v>
      </c>
      <c r="F123" s="420">
        <f>IF(A123="",",",SUMIFS('الحضور'!J5:J241,'الحضور'!B5:B241,A123))</f>
        <v>33.1</v>
      </c>
      <c r="G123" s="420">
        <f>IF(A123="",",", SUMPRODUCT(('الحضور'!B5:B241=A123)*('الحضور'!H5:H241+'الحضور'!J5:J241+'الحضور'!I5:I241)))</f>
        <v>263.3166667</v>
      </c>
      <c r="H123" s="364">
        <f t="shared" si="17"/>
        <v>107692.3077</v>
      </c>
      <c r="I123" s="364">
        <f>IF(A123="",",",SUMIFS('الحضور'!K5:K241,'الحضور'!B5:B241,A123))+H123</f>
        <v>886309.329</v>
      </c>
      <c r="J123" s="364">
        <f>IF(A123="",",",SUMIFS('الحضور'!L5:L1997,'الحضور'!B5:B1997,A123))</f>
        <v>331500</v>
      </c>
      <c r="K123" s="364">
        <f>IF(A123="",",",SUMIFS('الحضور'!M5:M241,'الحضور'!B5:B241,A123))</f>
        <v>18800</v>
      </c>
      <c r="L123" s="364">
        <f>IF(A123="",",",SUMIFS('الحضور'!N5:N241,'الحضور'!B5:B241, A123))</f>
        <v>31308.82979</v>
      </c>
      <c r="M123" s="364">
        <f t="shared" si="18"/>
        <v>0</v>
      </c>
      <c r="N123" s="366">
        <v>1167700.4991816692</v>
      </c>
      <c r="O123" s="367">
        <v>45901.0</v>
      </c>
      <c r="P123" s="368"/>
    </row>
    <row r="124" ht="27.75" customHeight="1">
      <c r="A124" s="409" t="s">
        <v>24</v>
      </c>
      <c r="B124" s="418">
        <f>IF(A124="",",",COUNTIFS('الحضور'!B6:B242,A124,'الحضور'!E6:E242,"&lt;&gt;",'الحضور'!F6:F242,"&lt;&gt;"))</f>
        <v>12</v>
      </c>
      <c r="C124" s="419">
        <f>IF(A124="",",",SUMPRODUCT(( 'الحضور'!B6:B242=A124)*(WEEKDAY('الحضور'!A6:A242,2)=5)*('الحضور'!D6:D242&lt;&gt;"")*('الحضور'!E6:E242&lt;&gt;"")))</f>
        <v>0</v>
      </c>
      <c r="D124" s="420">
        <f>IF(A124="",",",SUMIFS('الحضور'!H6:H242,'الحضور'!B6:B242,A124))</f>
        <v>101.5333333</v>
      </c>
      <c r="E124" s="420">
        <f>IF(A124="",",",SUMIFS('الحضور'!I6:I242,'الحضور'!B6:B242,A124))</f>
        <v>0</v>
      </c>
      <c r="F124" s="420">
        <f>IF(A124="",",",SUMIFS('الحضور'!J6:J242,'الحضور'!B6:B242,A124))</f>
        <v>0</v>
      </c>
      <c r="G124" s="420">
        <f>IF(A124="",",", SUMPRODUCT(('الحضور'!B6:B242=A124)*('الحضور'!H6:H242+'الحضور'!J6:J242+'الحضور'!I6:I242)))</f>
        <v>101.5333333</v>
      </c>
      <c r="H124" s="364">
        <f t="shared" si="17"/>
        <v>46153.84615</v>
      </c>
      <c r="I124" s="364">
        <f>IF(A124="",",",SUMIFS('الحضور'!K6:K242,'الحضور'!B6:B242,A124))+H124</f>
        <v>218976.5412</v>
      </c>
      <c r="J124" s="364">
        <f>IF(A124="",",",SUMIFS('الحضور'!L6:L1998,'الحضور'!B6:B1998,A124))</f>
        <v>52000</v>
      </c>
      <c r="K124" s="364">
        <f>IF(A124="",",",SUMIFS('الحضور'!M6:M242,'الحضور'!B6:B242,A124))</f>
        <v>210000</v>
      </c>
      <c r="L124" s="364">
        <f>IF(A124="",",",SUMIFS('الحضور'!N6:N242,'الحضور'!B6:B242, A124))</f>
        <v>3290.780142</v>
      </c>
      <c r="M124" s="364">
        <f t="shared" si="18"/>
        <v>0</v>
      </c>
      <c r="N124" s="366">
        <v>57685.761047463144</v>
      </c>
      <c r="O124" s="367">
        <v>45901.0</v>
      </c>
      <c r="P124" s="368"/>
    </row>
    <row r="125" ht="27.75" customHeight="1">
      <c r="A125" s="352" t="s">
        <v>2466</v>
      </c>
      <c r="B125" s="418">
        <f>IF(A125="",",",COUNTIFS('الحضور'!B7:B243,A125,'الحضور'!E7:E243,"&lt;&gt;",'الحضور'!F7:F243,"&lt;&gt;"))</f>
        <v>9</v>
      </c>
      <c r="C125" s="419">
        <f>IF(A125="",",",SUMPRODUCT(( 'الحضور'!B7:B243=A125)*(WEEKDAY('الحضور'!A7:A243,2)=5)*('الحضور'!D7:D243&lt;&gt;"")*('الحضور'!E7:E243&lt;&gt;"")))</f>
        <v>0</v>
      </c>
      <c r="D125" s="420">
        <f>IF(A125="",",",SUMIFS('الحضور'!H7:H243,'الحضور'!B7:B243,A125))</f>
        <v>46.48333333</v>
      </c>
      <c r="E125" s="420">
        <f>IF(A125="",",",SUMIFS('الحضور'!I7:I243,'الحضور'!B7:B243,A125))</f>
        <v>19.66666667</v>
      </c>
      <c r="F125" s="420">
        <f>IF(A125="",",",SUMIFS('الحضور'!J7:J243,'الحضور'!B7:B243,A125))</f>
        <v>0</v>
      </c>
      <c r="G125" s="420">
        <f>IF(A125="",",", SUMPRODUCT(('الحضور'!B7:B243=A125)*('الحضور'!H7:H243+'الحضور'!J7:J243+'الحضور'!I7:I243)))</f>
        <v>66.15</v>
      </c>
      <c r="H125" s="364">
        <f t="shared" si="17"/>
        <v>34615.38462</v>
      </c>
      <c r="I125" s="364">
        <f>IF(A125="",",",SUMIFS('الحضور'!K7:K243,'الحضور'!B7:B243,A125))+H125</f>
        <v>131615.3846</v>
      </c>
      <c r="J125" s="364">
        <f>IF(A125="",",",SUMIFS('الحضور'!L7:L1999,'الحضور'!B7:B1999,A125))</f>
        <v>0</v>
      </c>
      <c r="K125" s="364">
        <f>IF(A125="",",",SUMIFS('الحضور'!M7:M243,'الحضور'!B7:B243,A125))</f>
        <v>0</v>
      </c>
      <c r="L125" s="364">
        <f>IF(A125="",",",SUMIFS('الحضور'!N7:N243,'الحضور'!B7:B243, A125))</f>
        <v>0</v>
      </c>
      <c r="M125" s="364">
        <f t="shared" si="18"/>
        <v>0</v>
      </c>
      <c r="N125" s="366">
        <v>131615.38461538462</v>
      </c>
      <c r="O125" s="367">
        <v>45901.0</v>
      </c>
      <c r="P125" s="368"/>
    </row>
    <row r="126" ht="27.75" customHeight="1">
      <c r="A126" s="352" t="s">
        <v>26</v>
      </c>
      <c r="B126" s="418">
        <f>IF(A126="",",",COUNTIFS('الحضور'!B8:B214,A126,'الحضور'!E8:E214,"&lt;&gt;",'الحضور'!F8:F214,"&lt;&gt;"))</f>
        <v>23</v>
      </c>
      <c r="C126" s="419">
        <f>IF(A126="",",",SUMPRODUCT(( 'الحضور'!B8:B244=A126)*(WEEKDAY('الحضور'!A8:A244,2)=5)*('الحضور'!D8:D244&lt;&gt;"")*('الحضور'!E8:E244&lt;&gt;"")))</f>
        <v>1</v>
      </c>
      <c r="D126" s="420">
        <f>IF(A126="",",",SUMIFS('الحضور'!H8:H244,'الحضور'!B8:B244,A126))</f>
        <v>197.9333333</v>
      </c>
      <c r="E126" s="420">
        <f>IF(A126="",",",SUMIFS('الحضور'!I8:I244,'الحضور'!B8:B244,A126))</f>
        <v>4.033333333</v>
      </c>
      <c r="F126" s="420">
        <f>IF(A126="",",",SUMIFS('الحضور'!J8:J244,'الحضور'!B8:B244,A126))</f>
        <v>6.683333333</v>
      </c>
      <c r="G126" s="420">
        <f>IF(A126="",",", SUMPRODUCT(('الحضور'!B8:B244=A126)*('الحضور'!H8:H244+'الحضور'!J8:J244+'الحضور'!I8:I244)))</f>
        <v>208.65</v>
      </c>
      <c r="H126" s="364">
        <f t="shared" si="17"/>
        <v>88461.53846</v>
      </c>
      <c r="I126" s="364">
        <f>IF(A126="",",",SUMIFS('الحضور'!K8:K244,'الحضور'!B8:B244,A126))+H126</f>
        <v>446730.7692</v>
      </c>
      <c r="J126" s="364">
        <f>IF(A126="",",",SUMIFS('الحضور'!L8:L2000,'الحضور'!B8:B2000,A126))</f>
        <v>0</v>
      </c>
      <c r="K126" s="364">
        <f>IF(A126="",",",SUMIFS('الحضور'!M8:M244,'الحضور'!B8:B244,A126))</f>
        <v>0</v>
      </c>
      <c r="L126" s="364">
        <f>IF(A126="",",",SUMIFS('الحضور'!N8:N244,'الحضور'!B8:B244, A126))</f>
        <v>8340.659341</v>
      </c>
      <c r="M126" s="364">
        <f t="shared" si="18"/>
        <v>0.1098901099</v>
      </c>
      <c r="N126" s="366">
        <v>438390.0</v>
      </c>
      <c r="O126" s="367">
        <v>45901.0</v>
      </c>
      <c r="P126" s="368"/>
    </row>
    <row r="127" ht="27.75" customHeight="1">
      <c r="A127" s="413" t="s">
        <v>27</v>
      </c>
      <c r="B127" s="418">
        <f>IF(A127="",",",COUNTIFS('الحضور'!B9:B215,A127,'الحضور'!E9:E215,"&lt;&gt;",'الحضور'!F9:F215,"&lt;&gt;"))</f>
        <v>24</v>
      </c>
      <c r="C127" s="419">
        <f>IF(A127="",",",SUMPRODUCT(( 'الحضور'!B9:B245=A127)*(WEEKDAY('الحضور'!A9:A245,2)=5)*('الحضور'!D9:D245&lt;&gt;"")*('الحضور'!E9:E245&lt;&gt;"")))</f>
        <v>3</v>
      </c>
      <c r="D127" s="420">
        <f>IF(A127="",",",SUMIFS('الحضور'!H9:H245,'الحضور'!B9:B245,A127))</f>
        <v>188.9333333</v>
      </c>
      <c r="E127" s="420">
        <f>IF(A127="",",",SUMIFS('الحضور'!I9:I245,'الحضور'!B9:B245,A127))</f>
        <v>12.9</v>
      </c>
      <c r="F127" s="420">
        <f>IF(A127="",",",SUMIFS('الحضور'!J9:J245,'الحضور'!B9:B245,A127))</f>
        <v>38.4</v>
      </c>
      <c r="G127" s="420">
        <f>IF(A127="",",", SUMPRODUCT(('الحضور'!B9:B245=A127)*('الحضور'!H9:H245+'الحضور'!J9:J245+'الحضور'!I9:I245)))</f>
        <v>240.2333333</v>
      </c>
      <c r="H127" s="364">
        <f t="shared" si="17"/>
        <v>92307.69231</v>
      </c>
      <c r="I127" s="364">
        <f>IF(A127="",",",SUMIFS('الحضور'!K9:K245,'الحضور'!B9:B245,A127))+H127</f>
        <v>456243.8625</v>
      </c>
      <c r="J127" s="364">
        <v>0.0</v>
      </c>
      <c r="K127" s="364">
        <f>IF(A127="",",",SUMIFS('الحضور'!M9:M245,'الحضور'!B9:B245,A127))</f>
        <v>180000</v>
      </c>
      <c r="L127" s="364">
        <f>IF(A127="",",",SUMIFS('الحضور'!N9:N245,'الحضور'!B9:B245, A127))</f>
        <v>2191.489362</v>
      </c>
      <c r="M127" s="364">
        <f t="shared" si="18"/>
        <v>0</v>
      </c>
      <c r="N127" s="366">
        <v>274052.3731587561</v>
      </c>
      <c r="O127" s="367">
        <v>45901.0</v>
      </c>
      <c r="P127" s="368"/>
    </row>
    <row r="128" ht="27.75" customHeight="1">
      <c r="A128" s="422" t="s">
        <v>28</v>
      </c>
      <c r="B128" s="418">
        <f>IF(A128="",",",COUNTIFS('الحضور'!B10:B216,A128,'الحضور'!E10:E216,"&lt;&gt;",'الحضور'!F10:F216,"&lt;&gt;"))</f>
        <v>0</v>
      </c>
      <c r="C128" s="419">
        <f>IF(A128="",",",SUMPRODUCT(( 'الحضور'!B10:B246=A128)*(WEEKDAY('الحضور'!A10:A246,2)=5)*('الحضور'!D10:D246&lt;&gt;"")*('الحضور'!E10:E246&lt;&gt;"")))</f>
        <v>0</v>
      </c>
      <c r="D128" s="420">
        <f>IF(A128="",",",SUMIFS('الحضور'!H10:H246,'الحضور'!B10:B246,A128))</f>
        <v>0</v>
      </c>
      <c r="E128" s="420">
        <f>IF(A128="",",",SUMIFS('الحضور'!I10:I246,'الحضور'!B10:B246,A128))</f>
        <v>0</v>
      </c>
      <c r="F128" s="420">
        <f>IF(A128="",",",SUMIFS('الحضور'!J10:J246,'الحضور'!B10:B246,A128))</f>
        <v>0</v>
      </c>
      <c r="G128" s="420">
        <f>IF(A128="",",", SUMPRODUCT(('الحضور'!B10:B246=A128)*('الحضور'!H10:H246+'الحضور'!J10:J246+'الحضور'!I10:I246)))</f>
        <v>0</v>
      </c>
      <c r="H128" s="364">
        <f t="shared" si="17"/>
        <v>0</v>
      </c>
      <c r="I128" s="364">
        <f>IF(A128="",",",SUMIFS('الحضور'!K10:K246,'الحضور'!B10:B246,A128))+H128</f>
        <v>0</v>
      </c>
      <c r="J128" s="364">
        <v>0.0</v>
      </c>
      <c r="K128" s="364">
        <f>IF(A128="",",",SUMIFS('الحضور'!M10:M246,'الحضور'!B10:B246,A128))</f>
        <v>0</v>
      </c>
      <c r="L128" s="364">
        <f>IF(A128="",",",SUMIFS('الحضور'!N10:N246,'الحضور'!B10:B246, A128))</f>
        <v>0</v>
      </c>
      <c r="M128" s="364">
        <f t="shared" si="18"/>
        <v>-16263</v>
      </c>
      <c r="N128" s="366">
        <v>16263.0</v>
      </c>
      <c r="O128" s="367">
        <v>45901.0</v>
      </c>
      <c r="P128" s="368"/>
    </row>
    <row r="129" ht="27.75" customHeight="1">
      <c r="A129" s="409" t="s">
        <v>31</v>
      </c>
      <c r="B129" s="423">
        <f>IF(A129="",",",COUNTIFS('الحضور'!B11:B227,A129,'الحضور'!E11:E227,"&lt;&gt;",'الحضور'!F11:F227,"&lt;&gt;"))</f>
        <v>21</v>
      </c>
      <c r="C129" s="424">
        <f>IF(A129="",",",SUMPRODUCT(( 'الحضور'!B11:B227=A129)*(WEEKDAY('الحضور'!A11:A227,2)=5)*('الحضور'!D11:D227&lt;&gt;"")*('الحضور'!E11:E227&lt;&gt;"")))</f>
        <v>2</v>
      </c>
      <c r="D129" s="425">
        <f>IF(A129="",",",SUMIFS('الحضور'!H11:H227,'الحضور'!B11:B227,A129))</f>
        <v>151.3166667</v>
      </c>
      <c r="E129" s="425">
        <f>IF(A129="",",",SUMIFS('الحضور'!I11:I227,'الحضور'!B11:B227,A129))</f>
        <v>2.283333333</v>
      </c>
      <c r="F129" s="425">
        <f>IF(A129="",",",SUMIFS('الحضور'!J11:J227,'الحضور'!B11:B227,A129))</f>
        <v>15.43333333</v>
      </c>
      <c r="G129" s="425">
        <f>IF(A129="",",", SUMPRODUCT(('الحضور'!B11:B227=A129)*('الحضور'!H11:H227+'الحضور'!J11:J227+'الحضور'!I11:I227)))</f>
        <v>169.0333333</v>
      </c>
      <c r="H129" s="372">
        <f t="shared" si="17"/>
        <v>80769.23077</v>
      </c>
      <c r="I129" s="372">
        <f>IF(A129="",",",SUMIFS('الحضور'!K11:K227,'الحضور'!B11:B227,A129))+H129</f>
        <v>633645.1173</v>
      </c>
      <c r="J129" s="372">
        <f>IF(A129="",",",SUMIFS('الحضور'!L11:L227,'الحضور'!B11:B227,A129))</f>
        <v>0</v>
      </c>
      <c r="K129" s="372">
        <f>IF(A129="",",",SUMIFS('الحضور'!M11:M247,'الحضور'!B11:B247,A129))</f>
        <v>0</v>
      </c>
      <c r="L129" s="372">
        <f>IF(A129="",",",SUMIFS('الحضور'!N11:N247,'الحضور'!B11:B247, A129))</f>
        <v>37829.78723</v>
      </c>
      <c r="M129" s="372">
        <f t="shared" si="18"/>
        <v>0.3300600109</v>
      </c>
      <c r="N129" s="374">
        <v>595815.0</v>
      </c>
      <c r="O129" s="375">
        <v>45901.0</v>
      </c>
      <c r="P129" s="376"/>
    </row>
    <row r="130" ht="27.75" customHeight="1">
      <c r="A130" s="426"/>
      <c r="B130" s="378"/>
      <c r="C130" s="378"/>
      <c r="D130" s="379"/>
      <c r="E130" s="379"/>
      <c r="F130" s="379"/>
      <c r="G130" s="379"/>
      <c r="H130" s="380"/>
      <c r="I130" s="380"/>
      <c r="J130" s="381"/>
      <c r="K130" s="381"/>
      <c r="L130" s="381"/>
      <c r="M130" s="380"/>
      <c r="N130" s="382"/>
      <c r="O130" s="383"/>
      <c r="P130" s="384"/>
    </row>
    <row r="131" ht="27.75" customHeight="1">
      <c r="A131" s="413" t="s">
        <v>16</v>
      </c>
      <c r="B131" s="415">
        <f>IF(A131="",",",COUNTIFS('الحضور'!B239:B475,A131,'الحضور'!D239:D475,"&lt;&gt;",'الحضور'!E239:E475,"&lt;&gt;"))</f>
        <v>26</v>
      </c>
      <c r="C131" s="416">
        <f>IF(A131="",",",SUMPRODUCT(( 'الحضور'!B239:B475=A131)*(WEEKDAY('الحضور'!A239:A475,2)=5)*('الحضور'!D239:D475&lt;&gt;"")*('الحضور'!E239:E475&lt;&gt;"")))</f>
        <v>0</v>
      </c>
      <c r="D131" s="417">
        <f>IF(A131="",",",SUMIFS('الحضور'!H239:H474,'الحضور'!B239:B474,A131))</f>
        <v>213.3833333</v>
      </c>
      <c r="E131" s="417">
        <f>IF(A131="",",",SUMIFS('الحضور'!I239:I474,'الحضور'!B239:B474,A131))</f>
        <v>9.866666667</v>
      </c>
      <c r="F131" s="417">
        <f>IF(A131="",",",SUMIFS('الحضور'!J239:J474,'الحضور'!B239:B474,A131))</f>
        <v>0</v>
      </c>
      <c r="G131" s="417">
        <f>IF(A131="",",", SUMPRODUCT(('الحضور'!B239:B474=A131)*('الحضور'!H239:H474+'الحضور'!I239:I474+'الحضور'!J239:J474)))</f>
        <v>223.25</v>
      </c>
      <c r="H131" s="356">
        <f t="shared" ref="H131:H141" si="19">100000*B131/26</f>
        <v>100000</v>
      </c>
      <c r="I131" s="356">
        <f>IF(A131="",",",SUMIFS('الحضور'!K239:K474,'الحضور'!B239:B474,A131))+H131</f>
        <v>731145.3901</v>
      </c>
      <c r="J131" s="356">
        <f>IF(A131="",",",SUMIFS('الحضور'!L239:L474,'الحضور'!B239:B474,A131))</f>
        <v>0</v>
      </c>
      <c r="K131" s="356">
        <f>IF(A131="",",",SUMIFS('الحضور'!M239:M474,'الحضور'!B239:B474,A131))</f>
        <v>374000</v>
      </c>
      <c r="L131" s="356">
        <f>IF(A131="",",",SUMIFS('الحضور'!N239:N474,'الحضور'!B239:B474, A131))</f>
        <v>85698.58156</v>
      </c>
      <c r="M131" s="356">
        <f t="shared" ref="M131:M141" si="20">I131+J131-K131-L131-N131</f>
        <v>-0.1914893618</v>
      </c>
      <c r="N131" s="358">
        <v>271447.0</v>
      </c>
      <c r="O131" s="359">
        <v>45941.0</v>
      </c>
      <c r="P131" s="360"/>
    </row>
    <row r="132" ht="27.75" customHeight="1">
      <c r="A132" s="413" t="s">
        <v>20</v>
      </c>
      <c r="B132" s="418">
        <f>IF(A132="",",",COUNTIFS('الحضور'!B240:B476,A132,'الحضور'!D240:D476,"&lt;&gt;",'الحضور'!E240:E476,"&lt;&gt;"))</f>
        <v>23</v>
      </c>
      <c r="C132" s="419">
        <f>IF(A132="",",",SUMPRODUCT(( 'الحضور'!B240:B476=A132)*(WEEKDAY('الحضور'!A240:A476,2)=5)*('الحضور'!D240:D476&lt;&gt;"")*('الحضور'!E240:E476&lt;&gt;"")))</f>
        <v>0</v>
      </c>
      <c r="D132" s="420">
        <f>IF(A132="",",",SUMIFS('الحضور'!H240:H475,'الحضور'!B240:B475,A132))</f>
        <v>199.5833333</v>
      </c>
      <c r="E132" s="420">
        <f>IF(A132="",",",SUMIFS('الحضور'!I240:I475,'الحضور'!B240:B475,A132))</f>
        <v>0</v>
      </c>
      <c r="F132" s="420">
        <f>IF(A132="",",",SUMIFS('الحضور'!J240:J475,'الحضور'!B240:B475,A132))</f>
        <v>0</v>
      </c>
      <c r="G132" s="420">
        <f>IF(A132="",",", SUMPRODUCT(('الحضور'!B240:B475=A132)*('الحضور'!H240:H475+'الحضور'!I240:I475+'الحضور'!J240:J475)))</f>
        <v>199.5833333</v>
      </c>
      <c r="H132" s="364">
        <f t="shared" si="19"/>
        <v>88461.53846</v>
      </c>
      <c r="I132" s="364">
        <f>IF(A132="",",",SUMIFS('الحضور'!K240:K475,'الحضور'!B240:B475,A132))+H132</f>
        <v>449410.12</v>
      </c>
      <c r="J132" s="364">
        <f>IF(A132="",",",SUMIFS('الحضور'!L240:L475,'الحضور'!B240:B475,A132))</f>
        <v>0</v>
      </c>
      <c r="K132" s="364">
        <f>IF(A132="",",",SUMIFS('الحضور'!M240:M475,'الحضور'!B240:B475,A132))</f>
        <v>202000</v>
      </c>
      <c r="L132" s="364">
        <f>IF(A132="",",",SUMIFS('الحضور'!N240:N475,'الحضور'!B240:B475, A132))</f>
        <v>6661.347518</v>
      </c>
      <c r="M132" s="364">
        <f t="shared" si="20"/>
        <v>-0.2274959082</v>
      </c>
      <c r="N132" s="366">
        <v>240749.0</v>
      </c>
      <c r="O132" s="367">
        <v>45941.0</v>
      </c>
      <c r="P132" s="421" t="s">
        <v>2467</v>
      </c>
    </row>
    <row r="133" ht="27.75" customHeight="1">
      <c r="A133" s="409" t="s">
        <v>21</v>
      </c>
      <c r="B133" s="418">
        <f>IF(A133="",",",COUNTIFS('الحضور'!B341:B408,A133,'الحضور'!D341:D408,"&lt;&gt;",'الحضور'!E341:E408,"&lt;&gt;"))</f>
        <v>24</v>
      </c>
      <c r="C133" s="419">
        <f>IF(A133="",",",SUMPRODUCT(( 'الحضور'!B241:B477=A133)*(WEEKDAY('الحضور'!A241:A477,2)=5)*('الحضور'!D241:D477&lt;&gt;"")*('الحضور'!E241:E477&lt;&gt;"")))</f>
        <v>0</v>
      </c>
      <c r="D133" s="420">
        <f>IF(A133="",",",SUMIFS('الحضور'!H241:H476,'الحضور'!B241:B476,A133))</f>
        <v>239.45</v>
      </c>
      <c r="E133" s="420">
        <f>IF(A133="",",",SUMIFS('الحضور'!I241:I476,'الحضور'!B241:B476,A133))</f>
        <v>14.33333333</v>
      </c>
      <c r="F133" s="420">
        <f>IF(A133="",",",SUMIFS('الحضور'!J241:J476,'الحضور'!B241:B476,A133))</f>
        <v>0</v>
      </c>
      <c r="G133" s="420">
        <f>IF(A133="",",", SUMPRODUCT(('الحضور'!B241:B476=A133)*('الحضور'!H241:H476+'الحضور'!I241:I476+'الحضور'!J241:J476)))</f>
        <v>253.7833333</v>
      </c>
      <c r="H133" s="364">
        <f t="shared" si="19"/>
        <v>92307.69231</v>
      </c>
      <c r="I133" s="364">
        <f>IF(A133="",",",SUMIFS('الحضور'!K241:K476,'الحضور'!B241:B476,A133))+H133</f>
        <v>758563.0115</v>
      </c>
      <c r="J133" s="364">
        <f>IF(A133="",",",SUMIFS('الحضور'!L241:L476,'الحضور'!B241:B476,A133))</f>
        <v>174000</v>
      </c>
      <c r="K133" s="364">
        <f>IF(A133="",",",SUMIFS('الحضور'!M241:M476,'الحضور'!B241:B476,A133))</f>
        <v>0</v>
      </c>
      <c r="L133" s="364">
        <f>IF(A133="",",",SUMIFS('الحضور'!N241:N476,'الحضور'!B241:B476, A133))</f>
        <v>14085.10638</v>
      </c>
      <c r="M133" s="364">
        <f t="shared" si="20"/>
        <v>-0.09492635017</v>
      </c>
      <c r="N133" s="366">
        <v>918478.0</v>
      </c>
      <c r="O133" s="367">
        <v>45941.0</v>
      </c>
      <c r="P133" s="368"/>
    </row>
    <row r="134" ht="27.75" customHeight="1">
      <c r="A134" s="409" t="s">
        <v>24</v>
      </c>
      <c r="B134" s="418">
        <f>IF(A134="",",",COUNTIFS('الحضور'!B242:B500,A134,'الحضور'!D242:D500,"&lt;&gt;",'الحضور'!E242:E500,"&lt;&gt;"))</f>
        <v>19</v>
      </c>
      <c r="C134" s="419">
        <f>IF(A134="",",",SUMPRODUCT(( 'الحضور'!B242:B500=A134)*(WEEKDAY('الحضور'!A242:A500,2)=5)*('الحضور'!D242:D500&lt;&gt;"")*('الحضور'!E242:E500&lt;&gt;"")))</f>
        <v>0</v>
      </c>
      <c r="D134" s="420">
        <f>IF(A134="",",",SUMIFS('الحضور'!H242:H477,'الحضور'!B242:B477,A134))</f>
        <v>123.7333333</v>
      </c>
      <c r="E134" s="420">
        <f>IF(A134="",",",SUMIFS('الحضور'!I242:I477,'الحضور'!B242:B477,A134))</f>
        <v>2.983333333</v>
      </c>
      <c r="F134" s="420">
        <f>IF(A134="",",",SUMIFS('الحضور'!J242:J477,'الحضور'!B242:B477,A134))</f>
        <v>0</v>
      </c>
      <c r="G134" s="420">
        <f>IF(A134="",",", SUMPRODUCT(('الحضور'!B242:B477=A134)*('الحضور'!H242:H477+'الحضور'!I242:I477+'الحضور'!J242:J477)))</f>
        <v>126.7166667</v>
      </c>
      <c r="H134" s="364">
        <f t="shared" si="19"/>
        <v>73076.92308</v>
      </c>
      <c r="I134" s="364">
        <f>IF(A134="",",",SUMIFS('الحضور'!K242:K477,'الحضور'!B242:B477,A134))+H134</f>
        <v>291303.8734</v>
      </c>
      <c r="J134" s="364">
        <f>IF(A134="",",",SUMIFS('الحضور'!L242:L477,'الحضور'!B242:B477,A134))</f>
        <v>52000</v>
      </c>
      <c r="K134" s="364">
        <f>IF(A134="",",",SUMIFS('الحضور'!M242:M477,'الحضور'!B242:B477,A134))</f>
        <v>150000</v>
      </c>
      <c r="L134" s="364">
        <f>IF(A134="",",",SUMIFS('الحضور'!N242:N477,'الحضور'!B242:B477, A134))</f>
        <v>6184.397163</v>
      </c>
      <c r="M134" s="364">
        <f t="shared" si="20"/>
        <v>0.4762684124</v>
      </c>
      <c r="N134" s="366">
        <v>187119.0</v>
      </c>
      <c r="O134" s="367">
        <v>45941.0</v>
      </c>
      <c r="P134" s="368"/>
    </row>
    <row r="135" ht="27.75" customHeight="1">
      <c r="A135" s="409" t="s">
        <v>2466</v>
      </c>
      <c r="B135" s="418">
        <f>IF(A135="",",",COUNTIFS('الحضور'!B243:B501,A135,'الحضور'!D243:D501,"&lt;&gt;",'الحضور'!E243:E501,"&lt;&gt;"))</f>
        <v>26</v>
      </c>
      <c r="C135" s="419">
        <f>IF(A135="",",",SUMPRODUCT(( 'الحضور'!B243:B501=A135)*(WEEKDAY('الحضور'!A243:A501,2)=5)*('الحضور'!D243:D501&lt;&gt;"")*('الحضور'!E243:E501&lt;&gt;"")))</f>
        <v>1</v>
      </c>
      <c r="D135" s="420">
        <f>IF(A135="",",",SUMIFS('الحضور'!H243:H500,'الحضور'!B243:B500,A135))</f>
        <v>207.2833333</v>
      </c>
      <c r="E135" s="420">
        <f>IF(A135="",",",SUMIFS('الحضور'!I243:I500,'الحضور'!B243:B500,A135))</f>
        <v>14.05</v>
      </c>
      <c r="F135" s="420">
        <f>IF(A135="",",",SUMIFS('الحضور'!J243:J500,'الحضور'!B243:B500,A135))</f>
        <v>9.383333333</v>
      </c>
      <c r="G135" s="420">
        <f>IF(A135="",",", SUMPRODUCT(('الحضور'!B243:B500=A135)*('الحضور'!H243:H500+'الحضور'!I243:I500+'الحضور'!J243:J500)))</f>
        <v>230.7166667</v>
      </c>
      <c r="H135" s="364">
        <f t="shared" si="19"/>
        <v>100000</v>
      </c>
      <c r="I135" s="364">
        <f>IF(A135="",",",SUMIFS('الحضور'!K243:K500,'الحضور'!B243:B500,A135))+H135</f>
        <v>415478.7234</v>
      </c>
      <c r="J135" s="364">
        <f>IF(A135="",",",SUMIFS('الحضور'!L243:L500,'الحضور'!B243:B500,A135))</f>
        <v>0</v>
      </c>
      <c r="K135" s="364">
        <f>IF(A135="",",",SUMIFS('الحضور'!M243:M500,'الحضور'!B243:B500,A135))</f>
        <v>65000</v>
      </c>
      <c r="L135" s="364">
        <f>IF(A135="",",",SUMIFS('الحضور'!N243:N500,'الحضور'!B243:B500, A135))</f>
        <v>9968.085106</v>
      </c>
      <c r="M135" s="364">
        <f t="shared" si="20"/>
        <v>-0.3617021276</v>
      </c>
      <c r="N135" s="366">
        <v>340511.0</v>
      </c>
      <c r="O135" s="367">
        <v>45941.0</v>
      </c>
      <c r="P135" s="368"/>
    </row>
    <row r="136" ht="27.75" customHeight="1">
      <c r="A136" s="352" t="s">
        <v>26</v>
      </c>
      <c r="B136" s="418">
        <f>IF(A136="",",",COUNTIFS('الحضور'!B239:B524,A136,'الحضور'!D239:D524,"&lt;&gt;",'الحضور'!E239:E524,"&lt;&gt;"))</f>
        <v>25</v>
      </c>
      <c r="C136" s="419">
        <f>IF(A136="",",",SUMPRODUCT(( 'الحضور'!B239:B524=A136)*(WEEKDAY('الحضور'!A239:A524,2)=5)*('الحضور'!D239:D524&lt;&gt;"")*('الحضور'!E239:E524&lt;&gt;"")))</f>
        <v>0</v>
      </c>
      <c r="D136" s="420">
        <f>IF(A136="",",",SUMIFS('الحضور'!H244:H501,'الحضور'!B244:B501,A136))</f>
        <v>138.55</v>
      </c>
      <c r="E136" s="420">
        <f>IF(A136="",",",SUMIFS('الحضور'!I244:I501,'الحضور'!B244:B501,A136))</f>
        <v>0</v>
      </c>
      <c r="F136" s="420">
        <f>IF(A136="",",",SUMIFS('الحضور'!J244:J501,'الحضور'!B244:B501,A136))</f>
        <v>0</v>
      </c>
      <c r="G136" s="420">
        <f>IF(A136="",",", SUMPRODUCT(('الحضور'!B244:B501=A136)*('الحضور'!H244:H501+'الحضور'!I244:I501+'الحضور'!J244:J501)))</f>
        <v>138.55</v>
      </c>
      <c r="H136" s="364">
        <f t="shared" si="19"/>
        <v>96153.84615</v>
      </c>
      <c r="I136" s="364">
        <f>IF(A136="",",",SUMIFS('الحضور'!K239:K501,'الحضور'!B239:B501,A136))+H136</f>
        <v>386291.2088</v>
      </c>
      <c r="J136" s="364">
        <f>IF(A136="",",",SUMIFS('الحضور'!L244:L501,'الحضور'!B244:B501,A136))</f>
        <v>0</v>
      </c>
      <c r="K136" s="364">
        <f>IF(A136="",",",SUMIFS('الحضور'!M244:M501,'الحضور'!B244:B501,A136))</f>
        <v>0</v>
      </c>
      <c r="L136" s="364">
        <f>IF(A136="",",",SUMIFS('الحضور'!N244:N501,'الحضور'!B244:B501, A136))</f>
        <v>3626.373626</v>
      </c>
      <c r="M136" s="364">
        <f t="shared" si="20"/>
        <v>-0.1648351647</v>
      </c>
      <c r="N136" s="366">
        <v>382665.0</v>
      </c>
      <c r="O136" s="367">
        <v>45941.0</v>
      </c>
      <c r="P136" s="368"/>
    </row>
    <row r="137" ht="27.75" customHeight="1">
      <c r="A137" s="409" t="s">
        <v>27</v>
      </c>
      <c r="B137" s="418">
        <f>IF(A137="",",",COUNTIFS('الحضور'!B291:B400,A137,'الحضور'!D291:D400,"&lt;&gt;",'الحضور'!E291:E400,"&lt;&gt;"))</f>
        <v>22</v>
      </c>
      <c r="C137" s="419">
        <f>IF(A137="",",",SUMPRODUCT(( 'الحضور'!B292:B400=A137)*(WEEKDAY('الحضور'!A292:A400,2)=5)*('الحضور'!D292:D400&lt;&gt;"")*('الحضور'!E292:E400&lt;&gt;"")))</f>
        <v>1</v>
      </c>
      <c r="D137" s="420">
        <f>IF(A137="",",",SUMIFS('الحضور'!H292:H400,'الحضور'!B292:B400,A137))</f>
        <v>178.1166667</v>
      </c>
      <c r="E137" s="420">
        <f>IF(A137="",",",SUMIFS('الحضور'!I292:I524,'الحضور'!B292:B524,A137))</f>
        <v>15.78333333</v>
      </c>
      <c r="F137" s="420">
        <f>IF(A137="",",",SUMIFS('الحضور'!J292:J400,'الحضور'!B292:B400,A137))</f>
        <v>6.533333333</v>
      </c>
      <c r="G137" s="420">
        <f>IF(A137="",",", SUMPRODUCT(('الحضور'!B292:B400=A137)*('الحضور'!H292:H400+'الحضور'!I292:I400+'الحضور'!J292:J400)))</f>
        <v>188.7833333</v>
      </c>
      <c r="H137" s="364">
        <f t="shared" si="19"/>
        <v>84615.38462</v>
      </c>
      <c r="I137" s="364">
        <f>IF(A137="",",",SUMIFS('الحضور'!K292:K312,'الحضور'!B292:B312,A137))+H137</f>
        <v>378590.5619</v>
      </c>
      <c r="J137" s="364">
        <f>IF(A137="",",",SUMIFS('الحضور'!L292:L400,'الحضور'!B292:B400,A137))</f>
        <v>0</v>
      </c>
      <c r="K137" s="364">
        <f>IF(A137="",",",SUMIFS('الحضور'!M292:M400,'الحضور'!B292:B400,A137))</f>
        <v>140000</v>
      </c>
      <c r="L137" s="364">
        <f>IF(A137="",",",SUMIFS('الحضور'!N292:N400,'الحضور'!B292:B400, A137))</f>
        <v>70698.58156</v>
      </c>
      <c r="M137" s="364">
        <f t="shared" si="20"/>
        <v>-0.01963993453</v>
      </c>
      <c r="N137" s="366">
        <v>167892.0</v>
      </c>
      <c r="O137" s="367">
        <v>45941.0</v>
      </c>
      <c r="P137" s="368"/>
    </row>
    <row r="138" ht="27.75" customHeight="1">
      <c r="A138" s="422" t="s">
        <v>28</v>
      </c>
      <c r="B138" s="418">
        <f>IF(A138="",",",COUNTIFS('الحضور'!B246:B526,A138,'الحضور'!D246:D526,"&lt;&gt;",'الحضور'!E246:E526,"&lt;&gt;"))</f>
        <v>0</v>
      </c>
      <c r="C138" s="362"/>
      <c r="D138" s="420">
        <f>IF(A138="",",",SUMIFS('الحضور'!H246:H525,'الحضور'!B246:B525,A138))</f>
        <v>0</v>
      </c>
      <c r="E138" s="420">
        <f>IF(A138="",",",SUMIFS('الحضور'!I246:I525,'الحضور'!B246:B525,A138))</f>
        <v>0</v>
      </c>
      <c r="F138" s="420">
        <f>IF(A138="",",",SUMIFS('الحضور'!J246:J525,'الحضور'!B246:B525,A138))</f>
        <v>0</v>
      </c>
      <c r="G138" s="420">
        <f>IF(A138="",",", SUMPRODUCT(('الحضور'!B246:B525=A138)*('الحضور'!H246:H525+'الحضور'!I246:I525+'الحضور'!J246:J525)))</f>
        <v>0</v>
      </c>
      <c r="H138" s="364">
        <f t="shared" si="19"/>
        <v>0</v>
      </c>
      <c r="I138" s="364">
        <f>IF(A138="",",",SUMIFS('الحضور'!K241:K503,'الحضور'!B241:B503,A138))+H138</f>
        <v>0</v>
      </c>
      <c r="J138" s="364">
        <f>IF(A138="",",",SUMIFS('الحضور'!L246:L525,'الحضور'!B246:B525,A138))</f>
        <v>0</v>
      </c>
      <c r="K138" s="364">
        <f>IF(A138="",",",SUMIFS('الحضور'!M246:M525,'الحضور'!B246:B525,A138))</f>
        <v>0</v>
      </c>
      <c r="L138" s="364">
        <f>IF(A138="",",",SUMIFS('الحضور'!N246:N525,'الحضور'!B246:B525, A138))</f>
        <v>0</v>
      </c>
      <c r="M138" s="364">
        <f t="shared" si="20"/>
        <v>-280289</v>
      </c>
      <c r="N138" s="366">
        <v>280289.0</v>
      </c>
      <c r="O138" s="367">
        <v>45941.0</v>
      </c>
      <c r="P138" s="368"/>
    </row>
    <row r="139" ht="27.75" customHeight="1">
      <c r="A139" s="413" t="s">
        <v>31</v>
      </c>
      <c r="B139" s="418">
        <f>IF(A139="",",",COUNTIFS('الحضور'!B247:B550,A139,'الحضور'!D247:D550,"&lt;&gt;",'الحضور'!E247:E550,"&lt;&gt;"))</f>
        <v>18</v>
      </c>
      <c r="C139" s="419">
        <f>IF(A139="",",",SUMPRODUCT(( 'الحضور'!B247:B550=A139)*(WEEKDAY('الحضور'!A247:A550,2)=5)*('الحضور'!D247:D550&lt;&gt;"")*('الحضور'!E247:E550&lt;&gt;"")))</f>
        <v>1</v>
      </c>
      <c r="D139" s="420">
        <f>IF(A139="",",",SUMIFS('الحضور'!H247:H526,'الحضور'!B247:B526,A139))</f>
        <v>138.3166667</v>
      </c>
      <c r="E139" s="420">
        <f>IF(A139="",",",SUMIFS('الحضور'!I247:I526,'الحضور'!B247:B526,A139))</f>
        <v>2.483333333</v>
      </c>
      <c r="F139" s="420">
        <f>IF(A139="",",",SUMIFS('الحضور'!J247:J526,'الحضور'!B247:B526,A139))</f>
        <v>8.616666667</v>
      </c>
      <c r="G139" s="420">
        <f>IF(A139="",",", SUMPRODUCT(('الحضور'!B247:B526=A139)*('الحضور'!H247:H526+'الحضور'!I247:I526+'الحضور'!J247:J526)))</f>
        <v>149.4166667</v>
      </c>
      <c r="H139" s="364">
        <f t="shared" si="19"/>
        <v>69230.76923</v>
      </c>
      <c r="I139" s="364">
        <f>IF(A139="",",",SUMIFS('الحضور'!K242:K504,'الحضور'!B242:B504,A139))+H139</f>
        <v>543666.9394</v>
      </c>
      <c r="J139" s="364">
        <f>IF(A139="",",",SUMIFS('الحضور'!L247:L526,'الحضور'!B247:B526,A139))</f>
        <v>0</v>
      </c>
      <c r="K139" s="364">
        <f>IF(A139="",",",SUMIFS('الحضور'!M247:M526,'الحضور'!B247:B526,A139))</f>
        <v>0</v>
      </c>
      <c r="L139" s="364">
        <f>IF(A139="",",",SUMIFS('الحضور'!N247:N526,'الحضور'!B247:B526, A139))</f>
        <v>25765.95745</v>
      </c>
      <c r="M139" s="364">
        <f t="shared" si="20"/>
        <v>-0.01800327335</v>
      </c>
      <c r="N139" s="366">
        <v>517901.0</v>
      </c>
      <c r="O139" s="367">
        <v>45941.0</v>
      </c>
      <c r="P139" s="368"/>
    </row>
    <row r="140" ht="27.75" customHeight="1">
      <c r="A140" s="409" t="s">
        <v>2468</v>
      </c>
      <c r="B140" s="418">
        <f>IF(A140="",",",COUNTIFS('الحضور'!B248:B551,A140,'الحضور'!D248:D551,"&lt;&gt;",'الحضور'!E248:E551,"&lt;&gt;"))</f>
        <v>19</v>
      </c>
      <c r="C140" s="419">
        <f>IF(A140="",",",SUMPRODUCT(( 'الحضور'!B248:B551=A140)*(WEEKDAY('الحضور'!A248:A551,2)=5)*('الحضور'!D248:D551&lt;&gt;"")*('الحضور'!E248:E551&lt;&gt;"")))</f>
        <v>0</v>
      </c>
      <c r="D140" s="420">
        <f>IF(A140="",",",SUMIFS('الحضور'!H248:H550,'الحضور'!B248:B550,A140))</f>
        <v>171.35</v>
      </c>
      <c r="E140" s="420">
        <f>IF(A140="",",",SUMIFS('الحضور'!I248:I550,'الحضور'!B248:B550,A140))</f>
        <v>0</v>
      </c>
      <c r="F140" s="420">
        <f>IF(A140="",",",SUMIFS('الحضور'!J248:J550,'الحضور'!B248:B550,A140))</f>
        <v>0</v>
      </c>
      <c r="G140" s="420">
        <f>IF(A140="",",", SUMPRODUCT(('الحضور'!B248:B550=A140)*('الحضور'!H248:H550+'الحضور'!I248:I550+'الحضور'!J248:J550)))</f>
        <v>171.35</v>
      </c>
      <c r="H140" s="364">
        <f t="shared" si="19"/>
        <v>73076.92308</v>
      </c>
      <c r="I140" s="364">
        <f>IF(A140="",",",SUMIFS('الحضور'!K243:K505,'الحضور'!B243:B505,A140))+H140</f>
        <v>364736.4975</v>
      </c>
      <c r="J140" s="364">
        <f>IF(A140="",",",SUMIFS('الحضور'!L248:L550,'الحضور'!B248:B550,A140))</f>
        <v>0</v>
      </c>
      <c r="K140" s="364">
        <f>IF(A140="",",",SUMIFS('الحضور'!M248:M550,'الحضور'!B248:B550,A140))</f>
        <v>100000</v>
      </c>
      <c r="L140" s="364">
        <f>IF(A140="",",",SUMIFS('الحضور'!N248:N550,'الحضور'!B248:B550, A140))</f>
        <v>85.10638298</v>
      </c>
      <c r="M140" s="364">
        <f t="shared" si="20"/>
        <v>0.3911620295</v>
      </c>
      <c r="N140" s="366">
        <v>264651.0</v>
      </c>
      <c r="O140" s="367">
        <v>45941.0</v>
      </c>
      <c r="P140" s="368"/>
    </row>
    <row r="141" ht="27.75" customHeight="1">
      <c r="A141" s="409" t="s">
        <v>17</v>
      </c>
      <c r="B141" s="423">
        <f>IF(A141="",",",COUNTIFS('الحضور'!B249:B552,A141,'الحضور'!D249:D552,"&lt;&gt;",'الحضور'!E249:E552,"&lt;&gt;"))</f>
        <v>7</v>
      </c>
      <c r="C141" s="424">
        <f>IF(A141="",",",SUMPRODUCT(( 'الحضور'!B249:B552=A141)*(WEEKDAY('الحضور'!A249:A552,2)=5)*('الحضور'!D249:D552&lt;&gt;"")*('الحضور'!E249:E552&lt;&gt;"")))</f>
        <v>0</v>
      </c>
      <c r="D141" s="425">
        <f>IF(A141="",",",SUMIFS('الحضور'!H249:H551,'الحضور'!B249:B551,A141))</f>
        <v>53.78333333</v>
      </c>
      <c r="E141" s="425">
        <f>IF(A141="",",",SUMIFS('الحضور'!I249:I551,'الحضور'!B249:B551,A141))</f>
        <v>0</v>
      </c>
      <c r="F141" s="425">
        <f>IF(A141="",",",SUMIFS('الحضور'!J249:J551,'الحضور'!B249:B551,A141))</f>
        <v>0</v>
      </c>
      <c r="G141" s="425">
        <f>IF(A141="",",", SUMPRODUCT(('الحضور'!B249:B551=A141)*('الحضور'!H249:H551+'الحضور'!I249:I551+'الحضور'!J249:J551)))</f>
        <v>53.78333333</v>
      </c>
      <c r="H141" s="372">
        <f t="shared" si="19"/>
        <v>26923.07692</v>
      </c>
      <c r="I141" s="372">
        <f>IF(A141="",",",SUMIFS('الحضور'!K244:K505,'الحضور'!B244:B505,A141))+H141</f>
        <v>175685.4883</v>
      </c>
      <c r="J141" s="372">
        <f>IF(A141="",",",SUMIFS('الحضور'!L249:L551,'الحضور'!B249:B551,A141))</f>
        <v>0</v>
      </c>
      <c r="K141" s="372">
        <f>IF(A141="",",",SUMIFS('الحضور'!M249:M551,'الحضور'!B249:B551,A141))</f>
        <v>26600</v>
      </c>
      <c r="L141" s="372">
        <f>IF(A141="",",",SUMIFS('الحضور'!N249:N551,'الحضور'!B249:B551, A141))</f>
        <v>1751.77305</v>
      </c>
      <c r="M141" s="372">
        <f t="shared" si="20"/>
        <v>-0.2847790507</v>
      </c>
      <c r="N141" s="374">
        <v>147334.0</v>
      </c>
      <c r="O141" s="375">
        <v>45941.0</v>
      </c>
      <c r="P141" s="376"/>
    </row>
    <row r="142" ht="27.75" customHeight="1">
      <c r="A142" s="426"/>
      <c r="B142" s="378"/>
      <c r="C142" s="378"/>
      <c r="D142" s="379"/>
      <c r="E142" s="379"/>
      <c r="F142" s="379"/>
      <c r="G142" s="379"/>
      <c r="H142" s="380"/>
      <c r="I142" s="380"/>
      <c r="J142" s="381"/>
      <c r="K142" s="381"/>
      <c r="L142" s="381"/>
      <c r="M142" s="380"/>
      <c r="N142" s="382"/>
      <c r="O142" s="383"/>
      <c r="P142" s="384"/>
    </row>
    <row r="143" ht="27.75" customHeight="1">
      <c r="A143" s="409" t="s">
        <v>21</v>
      </c>
      <c r="B143" s="415">
        <f>IF( A143="",",",COUNTIFS('الحضور'!B475:B642, A143,'الحضور'!D475:D642,"&lt;&gt;",'الحضور'!E475:E642,"&lt;&gt;"))</f>
        <v>25</v>
      </c>
      <c r="C143" s="416">
        <f>IF(A143="",",",SUMPRODUCT(('الحضور'!B475:B644=A143)*(WEEKDAY('الحضور'!A475:A644,2)=5)*('الحضور'!D475:D644&lt;&gt;"")*('الحضور'!E475:E644&lt;&gt;"")))</f>
        <v>1</v>
      </c>
      <c r="D143" s="417">
        <f>IF(A143="",",",SUMIFS('الحضور'!H475:H642,'الحضور'!B475:B642,A143))</f>
        <v>216.6333333</v>
      </c>
      <c r="E143" s="417">
        <f>IF(A143="",",",SUMIFS('الحضور'!I475:I642,'الحضور'!B475:B642,A143))</f>
        <v>12.73333333</v>
      </c>
      <c r="F143" s="417">
        <f>IF(A143="",",",SUMIFS('الحضور'!J475:J642,'الحضور'!B475:B642,A143))</f>
        <v>8.333333333</v>
      </c>
      <c r="G143" s="417">
        <f>IF(A143="",",", SUMPRODUCT(('الحضور'!B475:B642=A143)*('الحضور'!H475:H642+'الحضور'!I475:I642+'الحضور'!J475:J642)))</f>
        <v>237.7</v>
      </c>
      <c r="H143" s="356">
        <f t="shared" ref="H143:H152" si="21">100000*B143/26</f>
        <v>96153.84615</v>
      </c>
      <c r="I143" s="356">
        <f>IF(A143="",",",SUMIFS('الحضور'!K475:K642,'الحضور'!B475:B642,A143))+H143</f>
        <v>740579.3781</v>
      </c>
      <c r="J143" s="356">
        <f>IF(A143="",",",SUMIFS('الحضور'!L475:L642,'الحضور'!B475:B642,A143))</f>
        <v>18800</v>
      </c>
      <c r="K143" s="356">
        <f>IF(A143="",",",SUMIFS('الحضور'!M475:M642,'الحضور'!B475:B642,A143))</f>
        <v>0</v>
      </c>
      <c r="L143" s="356">
        <f>IF(A143="",",",SUMIFS('الحضور'!N475:N642,'الحضور'!B475:B642, A143))</f>
        <v>23446.80851</v>
      </c>
      <c r="M143" s="356">
        <f>I143+J143-K143-L143-N143</f>
        <v>-0.4304418984</v>
      </c>
      <c r="N143" s="358">
        <v>735933.0</v>
      </c>
      <c r="O143" s="359">
        <v>45962.0</v>
      </c>
      <c r="P143" s="360"/>
    </row>
    <row r="144" ht="27.75" customHeight="1">
      <c r="A144" s="409" t="s">
        <v>16</v>
      </c>
      <c r="B144" s="418">
        <f>IF( A144="",",",COUNTIFS('الحضور'!B476:B642, A144,'الحضور'!D476:D642,"&lt;&gt;",'الحضور'!E476:E642,"&lt;&gt;"))</f>
        <v>10</v>
      </c>
      <c r="C144" s="419">
        <f>IF(A144="",",",SUMPRODUCT(('الحضور'!B476:B645=A144)*(WEEKDAY('الحضور'!A476:A645,2)=5)*('الحضور'!D476:D645&lt;&gt;"")*('الحضور'!E476:E645&lt;&gt;"")))</f>
        <v>0</v>
      </c>
      <c r="D144" s="420">
        <f>IF(A144="",",",SUMIFS('الحضور'!H476:H642,'الحضور'!B476:B642,A144))</f>
        <v>73.7</v>
      </c>
      <c r="E144" s="420">
        <f>IF(A144="",",",SUMIFS('الحضور'!I476:I642,'الحضور'!B476:B642,A144))</f>
        <v>0.9333333333</v>
      </c>
      <c r="F144" s="420">
        <f>IF(A144="",",",SUMIFS('الحضور'!J476:J642,'الحضور'!B476:B642,A144))</f>
        <v>0</v>
      </c>
      <c r="G144" s="420">
        <f>IF(A144="",",", SUMPRODUCT(('الحضور'!B476:B642=A144)*('الحضور'!H476:H642+'الحضور'!I476:I642+'الحضور'!J476:J642)))</f>
        <v>74.63333333</v>
      </c>
      <c r="H144" s="364">
        <f t="shared" si="21"/>
        <v>38461.53846</v>
      </c>
      <c r="I144" s="364">
        <f>IF(A144="",",",SUMIFS('الحضور'!K476:K642,'الحضور'!B476:B642,A144))+H144</f>
        <v>246184.9427</v>
      </c>
      <c r="J144" s="364">
        <f>IF(A144="",",",SUMIFS('الحضور'!L476:L642,'الحضور'!B476:B642,A144))</f>
        <v>0</v>
      </c>
      <c r="K144" s="364">
        <f>IF(A144="",",",SUMIFS('الحضور'!M476:M642,'الحضور'!B476:B642,A144))</f>
        <v>0</v>
      </c>
      <c r="L144" s="364">
        <f>IF(A144="",",",SUMIFS('الحضور'!N476:N642,'الحضور'!B476:B642, A144))</f>
        <v>43241.13475</v>
      </c>
      <c r="M144" s="364">
        <v>0.0</v>
      </c>
      <c r="N144" s="366">
        <v>239501.0</v>
      </c>
      <c r="O144" s="367">
        <v>45962.0</v>
      </c>
      <c r="P144" s="368"/>
    </row>
    <row r="145" ht="27.75" customHeight="1">
      <c r="A145" s="409" t="s">
        <v>31</v>
      </c>
      <c r="B145" s="418">
        <f>IF( A145="",",",COUNTIFS('الحضور'!B477:B642, A145,'الحضور'!D477:D642,"&lt;&gt;",'الحضور'!E477:E642,"&lt;&gt;"))</f>
        <v>11</v>
      </c>
      <c r="C145" s="419">
        <f>IF(A145="",",",SUMPRODUCT(('الحضور'!B477:B645=A145)*(WEEKDAY('الحضور'!A477:A645,2)=5)*('الحضور'!D477:D645&lt;&gt;"")*('الحضور'!E477:E645&lt;&gt;"")))</f>
        <v>0</v>
      </c>
      <c r="D145" s="420">
        <f>IF(A145="",",",SUMIFS('الحضور'!H477:H642,'الحضور'!B477:B642,A145))</f>
        <v>91.96666667</v>
      </c>
      <c r="E145" s="420">
        <f>IF(A145="",",",SUMIFS('الحضور'!I477:I642,'الحضور'!B477:B642,A145))</f>
        <v>0.9333333333</v>
      </c>
      <c r="F145" s="420">
        <f>IF(A145="",",",SUMIFS('الحضور'!J477:J642,'الحضور'!B477:B642,A145))</f>
        <v>0</v>
      </c>
      <c r="G145" s="420">
        <f>IF(A145="",",", SUMPRODUCT(('الحضور'!B477:B642=A145)*('الحضور'!H477:H642+'الحضور'!I477:I642+'الحضور'!J477:J642)))</f>
        <v>92.9</v>
      </c>
      <c r="H145" s="364">
        <f t="shared" si="21"/>
        <v>42307.69231</v>
      </c>
      <c r="I145" s="364">
        <f>IF(A145="",",",SUMIFS('الحضور'!K477:K642,'الحضور'!B477:B642,A145))+H145</f>
        <v>320421.1675</v>
      </c>
      <c r="J145" s="364">
        <f>IF(A145="",",",SUMIFS('الحضور'!L477:L642,'الحضور'!B477:B642,A145))</f>
        <v>517900.982</v>
      </c>
      <c r="K145" s="364">
        <f>IF(A145="",",",SUMIFS('الحضور'!M477:M642,'الحضور'!B477:B642,A145))</f>
        <v>0</v>
      </c>
      <c r="L145" s="364">
        <f>IF(A145="",",",SUMIFS('الحضور'!N477:N642,'الحضور'!B477:B642, A145))</f>
        <v>15588.65248</v>
      </c>
      <c r="M145" s="364">
        <f t="shared" ref="M145:M152" si="22">I145+J145-K145-L145-N145</f>
        <v>15241.497</v>
      </c>
      <c r="N145" s="366">
        <v>807492.0</v>
      </c>
      <c r="O145" s="367">
        <v>45962.0</v>
      </c>
      <c r="P145" s="368"/>
    </row>
    <row r="146" ht="27.75" customHeight="1">
      <c r="A146" s="409" t="s">
        <v>20</v>
      </c>
      <c r="B146" s="418">
        <f>IF( A146="",",",COUNTIFS('الحضور'!B478:B642, A146,'الحضور'!D478:D642,"&lt;&gt;",'الحضور'!E478:E642,"&lt;&gt;"))</f>
        <v>25</v>
      </c>
      <c r="C146" s="419">
        <f>IF(A146="",",",SUMPRODUCT(('الحضور'!B478:B645=A146)*(WEEKDAY('الحضور'!A478:A645,2)=5)*('الحضور'!D478:D645&lt;&gt;"")*('الحضور'!E478:E645&lt;&gt;"")))</f>
        <v>1</v>
      </c>
      <c r="D146" s="420">
        <f>IF(A146="",",",SUMIFS('الحضور'!H478:H642,'الحضور'!B478:B642,A146))</f>
        <v>209.95</v>
      </c>
      <c r="E146" s="420">
        <f>IF(A146="",",",SUMIFS('الحضور'!I478:I642,'الحضور'!B478:B642,A146))</f>
        <v>25.48333333</v>
      </c>
      <c r="F146" s="420">
        <f>IF(A146="",",",SUMIFS('الحضور'!J478:J642,'الحضور'!B478:B642,A146))</f>
        <v>11.78333333</v>
      </c>
      <c r="G146" s="420">
        <f>IF(A146="",",", SUMPRODUCT(('الحضور'!B478:B642=A146)*('الحضور'!H478:H642+'الحضور'!I478:I642+'الحضور'!J478:J642)))</f>
        <v>247.2166667</v>
      </c>
      <c r="H146" s="364">
        <f t="shared" si="21"/>
        <v>96153.84615</v>
      </c>
      <c r="I146" s="364">
        <f>IF(A146="",",",SUMIFS('الحضور'!K478:K642,'الحضور'!B478:B642,A146))+H146</f>
        <v>587601.5412</v>
      </c>
      <c r="J146" s="364">
        <f>IF(A146="",",",SUMIFS('الحضور'!L478:L642,'الحضور'!B478:B642,A146))</f>
        <v>0</v>
      </c>
      <c r="K146" s="364">
        <f>IF(A146="",",",SUMIFS('الحضور'!M478:M642,'الحضور'!B478:B642,A146))</f>
        <v>551250</v>
      </c>
      <c r="L146" s="364">
        <f>IF(A146="",",",SUMIFS('الحضور'!N478:N642,'الحضور'!B478:B642, A146))</f>
        <v>36351.06383</v>
      </c>
      <c r="M146" s="364">
        <f t="shared" si="22"/>
        <v>0.47735952</v>
      </c>
      <c r="N146" s="427"/>
      <c r="O146" s="367">
        <v>45962.0</v>
      </c>
      <c r="P146" s="428" t="s">
        <v>2469</v>
      </c>
    </row>
    <row r="147" ht="27.75" customHeight="1">
      <c r="A147" s="409" t="s">
        <v>24</v>
      </c>
      <c r="B147" s="418">
        <f>IF( A147="",",",COUNTIFS('الحضور'!B479:B642, A147,'الحضور'!D479:D642,"&lt;&gt;",'الحضور'!E479:E642,"&lt;&gt;"))</f>
        <v>5</v>
      </c>
      <c r="C147" s="419">
        <f>IF(A147="",",",SUMPRODUCT(('الحضور'!B479:B645=A147)*(WEEKDAY('الحضور'!A479:A645,2)=5)*('الحضور'!D479:D645&lt;&gt;"")*('الحضور'!E479:E645&lt;&gt;"")))</f>
        <v>0</v>
      </c>
      <c r="D147" s="420">
        <f>IF(A147="",",",SUMIFS('الحضور'!H479:H642,'الحضور'!B479:B642,A147))</f>
        <v>32.4</v>
      </c>
      <c r="E147" s="420">
        <f>IF(A147="",",",SUMIFS('الحضور'!I479:I642,'الحضور'!B479:B642,A147))</f>
        <v>2.933333333</v>
      </c>
      <c r="F147" s="420">
        <f>IF(A147="",",",SUMIFS('الحضور'!J479:J642,'الحضور'!B479:B642,A147))</f>
        <v>0</v>
      </c>
      <c r="G147" s="420">
        <f>IF(A147="",",", SUMPRODUCT(('الحضور'!B479:B642=A147)*('الحضور'!H479:H642+'الحضور'!I479:I642+'الحضور'!J479:J642)))</f>
        <v>35.33333333</v>
      </c>
      <c r="H147" s="364">
        <f t="shared" si="21"/>
        <v>19230.76923</v>
      </c>
      <c r="I147" s="364">
        <f>IF(A147="",",",SUMIFS('الحضور'!K479:K642,'الحضور'!B479:B642,A147))+H147</f>
        <v>81869.0671</v>
      </c>
      <c r="J147" s="364">
        <f>IF(A147="",",",SUMIFS('الحضور'!L479:L642,'الحضور'!B479:B642,A147))</f>
        <v>0</v>
      </c>
      <c r="K147" s="364">
        <f>IF(A147="",",",SUMIFS('الحضور'!M479:M642,'الحضور'!B479:B642,A147))</f>
        <v>0</v>
      </c>
      <c r="L147" s="364">
        <f>IF(A147="",",",SUMIFS('الحضور'!N479:N642,'الحضور'!B479:B642, A147))</f>
        <v>25191.48936</v>
      </c>
      <c r="M147" s="364">
        <f t="shared" si="22"/>
        <v>-0.4222585925</v>
      </c>
      <c r="N147" s="366">
        <v>56678.0</v>
      </c>
      <c r="O147" s="367">
        <v>45962.0</v>
      </c>
      <c r="P147" s="368"/>
    </row>
    <row r="148" ht="27.75" customHeight="1">
      <c r="A148" s="409" t="s">
        <v>2466</v>
      </c>
      <c r="B148" s="418">
        <f>IF( A148="",",",COUNTIFS('الحضور'!B480:B642, A148,'الحضور'!D480:D642,"&lt;&gt;",'الحضور'!E480:E642,"&lt;&gt;"))</f>
        <v>23</v>
      </c>
      <c r="C148" s="419">
        <f>IF(A148="",",",SUMPRODUCT(('الحضور'!B480:B645=A148)*(WEEKDAY('الحضور'!A480:A645,2)=5)*('الحضور'!D480:D645&lt;&gt;"")*('الحضور'!E480:E645&lt;&gt;"")))</f>
        <v>1</v>
      </c>
      <c r="D148" s="420">
        <f>IF(A148="",",",SUMIFS('الحضور'!H480:H642,'الحضور'!B480:B642,A148))</f>
        <v>179.1833333</v>
      </c>
      <c r="E148" s="420">
        <f>IF(A148="",",",SUMIFS('الحضور'!I480:I642,'الحضور'!B480:B642,A148))</f>
        <v>4.316666667</v>
      </c>
      <c r="F148" s="420">
        <f>IF(A148="",",",SUMIFS('الحضور'!J480:J642,'الحضور'!B480:B642,A148))</f>
        <v>8.833333333</v>
      </c>
      <c r="G148" s="420">
        <f>IF(A148="",",", SUMPRODUCT(('الحضور'!B480:B642=A148)*('الحضور'!H480:H642+'الحضور'!I480:I642+'الحضور'!J480:J642)))</f>
        <v>192.3333333</v>
      </c>
      <c r="H148" s="364">
        <f t="shared" si="21"/>
        <v>88461.53846</v>
      </c>
      <c r="I148" s="364">
        <f>IF(A148="",",",SUMIFS('الحضور'!K480:K642,'الحضور'!B480:B642,A148))+H148</f>
        <v>348025.3682</v>
      </c>
      <c r="J148" s="364">
        <f>IF(A148="",",",SUMIFS('الحضور'!L480:L642,'الحضور'!B480:B642,A148))</f>
        <v>0</v>
      </c>
      <c r="K148" s="364">
        <f>IF(A148="",",",SUMIFS('الحضور'!M480:M642,'الحضور'!B480:B642,A148))</f>
        <v>101813</v>
      </c>
      <c r="L148" s="364">
        <f>IF(A148="",",",SUMIFS('الحضور'!N480:N642,'الحضور'!B480:B642, A148))</f>
        <v>221212.766</v>
      </c>
      <c r="M148" s="364">
        <f t="shared" si="22"/>
        <v>-0.3977086743</v>
      </c>
      <c r="N148" s="366">
        <v>25000.0</v>
      </c>
      <c r="O148" s="367">
        <v>45962.0</v>
      </c>
      <c r="P148" s="368"/>
    </row>
    <row r="149" ht="27.75" customHeight="1">
      <c r="A149" s="352" t="s">
        <v>26</v>
      </c>
      <c r="B149" s="418">
        <f>IF( A149="",",",COUNTIFS('الحضور'!B481:B643, A149,'الحضور'!D481:D643,"&lt;&gt;",'الحضور'!E481:E643,"&lt;&gt;"))</f>
        <v>18</v>
      </c>
      <c r="C149" s="419">
        <f>IF(A149="",",",SUMPRODUCT(('الحضور'!B481:B645=A149)*(WEEKDAY('الحضور'!A481:A645,2)=5)*('الحضور'!D481:D645&lt;&gt;"")*('الحضور'!E481:E645&lt;&gt;"")))</f>
        <v>0</v>
      </c>
      <c r="D149" s="420">
        <f>IF(A149="",",",SUMIFS('الحضور'!H481:H643,'الحضور'!B481:B643,A149))</f>
        <v>123.4166667</v>
      </c>
      <c r="E149" s="420">
        <f>IF(A149="",",",SUMIFS('الحضور'!I481:I643,'الحضور'!B481:B643,A149))</f>
        <v>0</v>
      </c>
      <c r="F149" s="420">
        <f>IF(A149="",",",SUMIFS('الحضور'!J481:J643,'الحضور'!B481:B643,A149))</f>
        <v>0</v>
      </c>
      <c r="G149" s="420">
        <f>IF(A149="",",", SUMPRODUCT(('الحضور'!B481:B643=A149)*('الحضور'!H481:H643+'الحضور'!I481:I643+'الحضور'!J481:J643)))</f>
        <v>123.4166667</v>
      </c>
      <c r="H149" s="364">
        <f t="shared" si="21"/>
        <v>69230.76923</v>
      </c>
      <c r="I149" s="364">
        <f>IF(A149="",",",SUMIFS('الحضور'!K481:K643,'الحضور'!B481:B643,A149))+H149</f>
        <v>271553.1736</v>
      </c>
      <c r="J149" s="364">
        <f>IF(A149="",",",SUMIFS('الحضور'!L481:L643,'الحضور'!B481:B643,A149))</f>
        <v>0</v>
      </c>
      <c r="K149" s="364">
        <f>IF(A149="",",",SUMIFS('الحضور'!M481:M643,'الحضور'!B481:B643,A149))</f>
        <v>0</v>
      </c>
      <c r="L149" s="364">
        <f>IF(A149="",",",SUMIFS('الحضور'!N481:N643,'الحضور'!B481:B643, A149))</f>
        <v>2677.595628</v>
      </c>
      <c r="M149" s="364">
        <f t="shared" si="22"/>
        <v>-41124.42203</v>
      </c>
      <c r="N149" s="366">
        <v>310000.0</v>
      </c>
      <c r="O149" s="367">
        <v>45962.0</v>
      </c>
      <c r="P149" s="368"/>
    </row>
    <row r="150" ht="27.75" customHeight="1">
      <c r="A150" s="409" t="s">
        <v>27</v>
      </c>
      <c r="B150" s="418">
        <f>IF( A150="",",",COUNTIFS('الحضور'!B482:B644, A150,'الحضور'!D482:D644,"&lt;&gt;",'الحضور'!E482:E644,"&lt;&gt;"))</f>
        <v>24</v>
      </c>
      <c r="C150" s="419">
        <f>IF(A150="",",",SUMPRODUCT(('الحضور'!B482:B645=A150)*(WEEKDAY('الحضور'!A482:A645,2)=5)*('الحضور'!D482:D645&lt;&gt;"")*('الحضور'!E482:E645&lt;&gt;"")))</f>
        <v>1</v>
      </c>
      <c r="D150" s="420">
        <f>IF(A150="",",",SUMIFS('الحضور'!H482:H644,'الحضور'!B482:B644,A150))</f>
        <v>207.5333333</v>
      </c>
      <c r="E150" s="420">
        <f>IF(A150="",",",SUMIFS('الحضور'!I482:I644,'الحضور'!B482:B644,A150))</f>
        <v>11.65</v>
      </c>
      <c r="F150" s="420">
        <f>IF(A150="",",",SUMIFS('الحضور'!J482:J644,'الحضور'!B482:B644,A150))</f>
        <v>7.9</v>
      </c>
      <c r="G150" s="420">
        <f>IF(A150="",",", SUMPRODUCT(('الحضور'!B482:B644=A150)*('الحضور'!H482:H644+'الحضور'!I482:I644+'الحضور'!J482:J644)))</f>
        <v>227.0833333</v>
      </c>
      <c r="H150" s="364">
        <f t="shared" si="21"/>
        <v>92307.69231</v>
      </c>
      <c r="I150" s="364">
        <f>IF(A150="",",",SUMIFS('الحضور'!K482:K644,'الحضور'!B482:B644,A150))+H150</f>
        <v>450958.4015</v>
      </c>
      <c r="J150" s="364">
        <f>IF(A150="",",",SUMIFS('الحضور'!L482:L644,'الحضور'!B482:B644,A150))</f>
        <v>12500</v>
      </c>
      <c r="K150" s="364">
        <f>IF(A150="",",",SUMIFS('الحضور'!M482:M644,'الحضور'!B482:B644,A150))</f>
        <v>169500</v>
      </c>
      <c r="L150" s="364">
        <f>IF(A150="",",",SUMIFS('الحضور'!N482:N644,'الحضور'!B482:B644, A150))</f>
        <v>13156.02837</v>
      </c>
      <c r="M150" s="364">
        <f t="shared" si="22"/>
        <v>-5197.626841</v>
      </c>
      <c r="N150" s="366">
        <v>286000.0</v>
      </c>
      <c r="O150" s="367">
        <v>45962.0</v>
      </c>
      <c r="P150" s="368"/>
    </row>
    <row r="151" ht="27.75" customHeight="1">
      <c r="A151" s="422" t="s">
        <v>28</v>
      </c>
      <c r="B151" s="418">
        <f>IF( A151="",",",COUNTIFS('الحضور'!B482:B645, A151,'الحضور'!D482:D645,"&lt;&gt;",'الحضور'!E482:E645,"&lt;&gt;"))</f>
        <v>0</v>
      </c>
      <c r="C151" s="419">
        <f>IF(A151="",",",SUMPRODUCT(('الحضور'!B482:B645=A151)*(WEEKDAY('الحضور'!A482:A645,2)=5)*('الحضور'!D482:D645&lt;&gt;"")*('الحضور'!E482:E645&lt;&gt;"")))</f>
        <v>0</v>
      </c>
      <c r="D151" s="420">
        <f>IF(A151="",",",SUMIFS('الحضور'!H482:H645,'الحضور'!B482:B645,A151))</f>
        <v>0</v>
      </c>
      <c r="E151" s="420">
        <f>IF(A151="",",",SUMIFS('الحضور'!I482:I645,'الحضور'!B482:B645,A151))</f>
        <v>0</v>
      </c>
      <c r="F151" s="420">
        <f>IF(A151="",",",SUMIFS('الحضور'!J482:J645,'الحضور'!B482:B645,A151))</f>
        <v>0</v>
      </c>
      <c r="G151" s="420">
        <f>IF(A151="",",", SUMPRODUCT(('الحضور'!B482:B645=A151)*('الحضور'!H482:H645+'الحضور'!I482:I645+'الحضور'!J482:J645)))</f>
        <v>0</v>
      </c>
      <c r="H151" s="364">
        <f t="shared" si="21"/>
        <v>0</v>
      </c>
      <c r="I151" s="364">
        <f>IF(A151="",",",SUMIFS('الحضور'!K482:K645,'الحضور'!B482:B645,A151))+H151</f>
        <v>0</v>
      </c>
      <c r="J151" s="364">
        <f>IF(A151="",",",SUMIFS('الحضور'!L482:L645,'الحضور'!B482:B645,A151))</f>
        <v>0</v>
      </c>
      <c r="K151" s="364">
        <f>IF(A151="",",",SUMIFS('الحضور'!M482:M645,'الحضور'!B482:B645,A151))</f>
        <v>0</v>
      </c>
      <c r="L151" s="364">
        <f>IF(A151="",",",SUMIFS('الحضور'!N482:N645,'الحضور'!B482:B645, A151))</f>
        <v>0</v>
      </c>
      <c r="M151" s="364">
        <f t="shared" si="22"/>
        <v>-300000</v>
      </c>
      <c r="N151" s="366">
        <v>300000.0</v>
      </c>
      <c r="O151" s="367">
        <v>45962.0</v>
      </c>
      <c r="P151" s="368"/>
    </row>
    <row r="152" ht="27.75" customHeight="1">
      <c r="A152" s="409" t="s">
        <v>31</v>
      </c>
      <c r="B152" s="423">
        <f>IF( A152="",",",COUNTIFS('الحضور'!B646:B1256, A152,'الحضور'!D646:D1256,"&lt;&gt;",'الحضور'!E646:E1256,"&lt;&gt;"))</f>
        <v>0</v>
      </c>
      <c r="C152" s="424">
        <f>IF(A152="",",",SUMPRODUCT(('الحضور'!B483:B645=A152)*(WEEKDAY('الحضور'!A483:A645,2)=5)*('الحضور'!D483:D645&lt;&gt;"")*('الحضور'!E483:E645&lt;&gt;"")))</f>
        <v>0</v>
      </c>
      <c r="D152" s="425">
        <v>0.0</v>
      </c>
      <c r="E152" s="425">
        <v>0.0</v>
      </c>
      <c r="F152" s="425">
        <v>0.0</v>
      </c>
      <c r="G152" s="425">
        <v>0.0</v>
      </c>
      <c r="H152" s="372">
        <f t="shared" si="21"/>
        <v>0</v>
      </c>
      <c r="I152" s="372">
        <v>0.0</v>
      </c>
      <c r="J152" s="372">
        <v>0.0</v>
      </c>
      <c r="K152" s="372">
        <v>0.0</v>
      </c>
      <c r="L152" s="372">
        <v>0.0</v>
      </c>
      <c r="M152" s="372">
        <f t="shared" si="22"/>
        <v>0</v>
      </c>
      <c r="N152" s="374">
        <v>0.0</v>
      </c>
      <c r="O152" s="375">
        <v>45962.0</v>
      </c>
      <c r="P152" s="376"/>
    </row>
    <row r="153" ht="27.75" customHeight="1">
      <c r="A153" s="426"/>
      <c r="B153" s="429"/>
      <c r="C153" s="429"/>
      <c r="D153" s="430"/>
      <c r="E153" s="430"/>
      <c r="F153" s="430"/>
      <c r="G153" s="430"/>
      <c r="H153" s="380"/>
      <c r="I153" s="380"/>
      <c r="J153" s="431"/>
      <c r="K153" s="380"/>
      <c r="L153" s="380"/>
      <c r="M153" s="380"/>
      <c r="N153" s="432"/>
      <c r="O153" s="383"/>
      <c r="P153" s="433"/>
    </row>
    <row r="154" ht="27.75" customHeight="1">
      <c r="A154" s="409" t="s">
        <v>16</v>
      </c>
      <c r="B154" s="434">
        <f>IF( A154="",",",COUNTIFS('الحضور'!B648:B1258, A154,'الحضور'!D648:D1258,"&lt;&gt;",'الحضور'!E648:E1258,"&lt;&gt;"))</f>
        <v>0</v>
      </c>
      <c r="C154" s="435">
        <f>IF(A154="",",",SUMPRODUCT(( 'الحضور'!B643:B1260=A154)*(WEEKDAY( 'الحضور'!A643:A1260,2)=5)*('الحضور'!D643:D1260&lt;&gt;"")*('الحضور'!E643:E1260&lt;&gt;"")))</f>
        <v>0</v>
      </c>
      <c r="D154" s="436">
        <f>IF(A154="",",",SUMIFS('الحضور'!H643:H661,'الحضور'!B643:B661,A154))</f>
        <v>0</v>
      </c>
      <c r="E154" s="436">
        <f>IF(A154="",",",SUMIFS('الحضور'!I645:I1260,'الحضور'!B645:B1260,A154))</f>
        <v>0</v>
      </c>
      <c r="F154" s="436">
        <f>IF(A154="",",",SUMIFS('الحضور'!J645:J1260,'الحضور'!B645:B1260,A154))</f>
        <v>0</v>
      </c>
      <c r="G154" s="420">
        <f>IF(A154="",",", SUMPRODUCT(('الحضور'!B485:B648=A154)*('الحضور'!H485:H648+'الحضور'!I485:I648+'الحضور'!J485:J648)))</f>
        <v>74.63333333</v>
      </c>
      <c r="H154" s="388">
        <f t="shared" ref="H154:H160" si="23">100000*B154/26</f>
        <v>0</v>
      </c>
      <c r="I154" s="388">
        <f>IF(A154="",",",SUMIFS('الحضور'!K645:K1260,'الحضور'!B645:B1260,A154))+H154</f>
        <v>0</v>
      </c>
      <c r="J154" s="388">
        <f>IF(A154="",",",SUMIFS('الحضور'!L645:L1260,'الحضور'!B645:B1260,A154))</f>
        <v>0</v>
      </c>
      <c r="K154" s="388">
        <f>IF(A154="",",",SUMIFS('الحضور'!M645:M1260,'الحضور'!B645:B1260,A154))</f>
        <v>0</v>
      </c>
      <c r="L154" s="388">
        <f>IF(A154="",",",SUMIFS('الحضور'!N645:N1260,'الحضور'!B645:B1260, A154))</f>
        <v>0</v>
      </c>
      <c r="M154" s="388">
        <f t="shared" ref="M154:M166" si="24">I154+J154-K154-L154-N154</f>
        <v>0</v>
      </c>
      <c r="N154" s="437">
        <v>0.0</v>
      </c>
      <c r="O154" s="391">
        <v>45992.0</v>
      </c>
      <c r="P154" s="392"/>
    </row>
    <row r="155" ht="27.75" customHeight="1">
      <c r="A155" s="422" t="s">
        <v>28</v>
      </c>
      <c r="B155" s="438">
        <f>IF( A155="",",",COUNTIFS('الحضور'!B649:B1259, A155,'الحضور'!D649:D1259,"&lt;&gt;",'الحضور'!E649:E1259,"&lt;&gt;"))</f>
        <v>0</v>
      </c>
      <c r="C155" s="439">
        <f>IF(A155="",",",SUMPRODUCT(( 'الحضور'!B643:B1261=A155)*(WEEKDAY( 'الحضور'!A643:A1261,2)=5)*('الحضور'!D643:D1261&lt;&gt;"")*('الحضور'!E643:E1261&lt;&gt;"")))</f>
        <v>0</v>
      </c>
      <c r="D155" s="440">
        <f>IF(A155="",",",SUMIFS('الحضور'!H643:H661,'الحضور'!B643:B661,A155))</f>
        <v>0</v>
      </c>
      <c r="E155" s="440">
        <f>IF(A155="",",",SUMIFS('الحضور'!I646:I1261,'الحضور'!B646:B1261,A155))</f>
        <v>0</v>
      </c>
      <c r="F155" s="440">
        <f>IF(A155="",",",SUMIFS('الحضور'!J646:J1261,'الحضور'!B646:B1261,A155))</f>
        <v>0</v>
      </c>
      <c r="G155" s="420">
        <f>IF(A155="",",", SUMPRODUCT(('الحضور'!B486:B649=A155)*('الحضور'!H486:H649+'الحضور'!I486:I649+'الحضور'!J486:J649)))</f>
        <v>0</v>
      </c>
      <c r="H155" s="396">
        <f t="shared" si="23"/>
        <v>0</v>
      </c>
      <c r="I155" s="396">
        <f>IF(A155="",",",SUMIFS('الحضور'!K646:K1261,'الحضور'!B646:B1261,A155))+H155</f>
        <v>0</v>
      </c>
      <c r="J155" s="396">
        <f>IF(A155="",",",SUMIFS('الحضور'!L646:L1261,'الحضور'!B646:B1261,A155))</f>
        <v>0</v>
      </c>
      <c r="K155" s="396">
        <f>IF(A155="",",",SUMIFS('الحضور'!M646:M1261,'الحضور'!B646:B1261,A155))</f>
        <v>0</v>
      </c>
      <c r="L155" s="396">
        <f>IF(A155="",",",SUMIFS('الحضور'!N646:N1261,'الحضور'!B646:B1261, A155))</f>
        <v>0</v>
      </c>
      <c r="M155" s="396">
        <f t="shared" si="24"/>
        <v>-47500</v>
      </c>
      <c r="N155" s="398">
        <v>47500.0</v>
      </c>
      <c r="O155" s="399">
        <v>45993.0</v>
      </c>
      <c r="P155" s="400"/>
    </row>
    <row r="156" ht="27.75" customHeight="1">
      <c r="A156" s="409" t="s">
        <v>27</v>
      </c>
      <c r="B156" s="438">
        <f>IF( A156="",",",COUNTIFS('الحضور'!B644:B1260, A156,'الحضور'!D644:D1260,"&lt;&gt;",'الحضور'!E644:E1260,"&lt;&gt;"))</f>
        <v>3</v>
      </c>
      <c r="C156" s="439">
        <f>IF(A156="",",",SUMPRODUCT(( 'الحضور'!B646:B1260=A156)*(WEEKDAY( 'الحضور'!A646:A1260,2)=5)*('الحضور'!D646:D1260&lt;&gt;"")*('الحضور'!E646:E1260&lt;&gt;"")))</f>
        <v>0</v>
      </c>
      <c r="D156" s="440">
        <f>IF(A156="",",",SUMIFS('الحضور'!H646:H1260,'الحضور'!B646:B1260,A156))</f>
        <v>26.5</v>
      </c>
      <c r="E156" s="440">
        <f>IF(A156="",",",SUMIFS('الحضور'!I646:I1260,'الحضور'!B646:B1260,A156))</f>
        <v>0</v>
      </c>
      <c r="F156" s="440">
        <f>IF(A156="",",",SUMIFS('الحضور'!J646:J1260,'الحضور'!B646:B1260,A156))</f>
        <v>0</v>
      </c>
      <c r="G156" s="420">
        <f>IF(A156="",",", SUMPRODUCT(('الحضور'!B487:B650=A156)*('الحضور'!H487:H650+'الحضور'!I487:I650+'الحضور'!J487:J650)))</f>
        <v>253.5833333</v>
      </c>
      <c r="H156" s="396">
        <f t="shared" si="23"/>
        <v>11538.46154</v>
      </c>
      <c r="I156" s="396">
        <f>IF(A156="",",",SUMIFS('الحضور'!K646:K1260,'الحضور'!B646:B1260,A156))+H156</f>
        <v>51006.54664</v>
      </c>
      <c r="J156" s="396">
        <f>IF(A156="",",",SUMIFS('الحضور'!L646:L1260,'الحضور'!B646:B1260,A156))</f>
        <v>0</v>
      </c>
      <c r="K156" s="396">
        <f>IF(A156="",",",SUMIFS('الحضور'!M646:M1260,'الحضور'!B646:B1260,A156))</f>
        <v>0</v>
      </c>
      <c r="L156" s="396">
        <f>IF(A156="",",",SUMIFS('الحضور'!N646:N1260,'الحضور'!B646:B1260, A156))</f>
        <v>0</v>
      </c>
      <c r="M156" s="396">
        <f t="shared" si="24"/>
        <v>3506.546645</v>
      </c>
      <c r="N156" s="398">
        <v>47500.0</v>
      </c>
      <c r="O156" s="399">
        <v>45994.0</v>
      </c>
      <c r="P156" s="400"/>
    </row>
    <row r="157" ht="27.75" customHeight="1">
      <c r="A157" s="409" t="s">
        <v>20</v>
      </c>
      <c r="B157" s="438">
        <f>IF( A157="",",",COUNTIFS('الحضور'!B643:B1255, A157,'الحضور'!D643:D1255,"&lt;&gt;",'الحضور'!E643:E1255,"&lt;&gt;"))</f>
        <v>9</v>
      </c>
      <c r="C157" s="439">
        <f>IF(A157="",",",SUMPRODUCT(( 'الحضور'!B646:B1255=A157)*(WEEKDAY( 'الحضور'!A646:A1255,2)=5)*('الحضور'!D646:D1255&lt;&gt;"")*('الحضور'!E646:E1255&lt;&gt;"")))</f>
        <v>1</v>
      </c>
      <c r="D157" s="440">
        <f>IF(A157="",",",SUMIFS('الحضور'!H646:H1255,'الحضور'!B646:B1255,A157))</f>
        <v>64.61666667</v>
      </c>
      <c r="E157" s="440">
        <f>IF(A157="",",",SUMIFS('الحضور'!I646:I1255,'الحضور'!B646:B1255,A157))</f>
        <v>17.01666667</v>
      </c>
      <c r="F157" s="440">
        <f>IF(A157="",",",SUMIFS('الحضور'!J646:J1255,'الحضور'!B646:B1255,A157))</f>
        <v>12.93333333</v>
      </c>
      <c r="G157" s="420">
        <f>IF(A157="",",", SUMPRODUCT(('الحضور'!B488:B651=A157)*('الحضور'!H488:H651+'الحضور'!I488:I651+'الحضور'!J488:J651)))</f>
        <v>247.2166667</v>
      </c>
      <c r="H157" s="396">
        <f t="shared" si="23"/>
        <v>34615.38462</v>
      </c>
      <c r="I157" s="396">
        <f>IF(A157="",",",SUMIFS('الحضور'!K646:K1255,'الحضور'!B646:B1255,A157))+H157</f>
        <v>244417.6896</v>
      </c>
      <c r="J157" s="396">
        <f>IF(A157="",",",SUMIFS('الحضور'!L646:L1255,'الحضور'!B646:B1255,A157))</f>
        <v>0</v>
      </c>
      <c r="K157" s="396">
        <f>IF(A157="",",",SUMIFS('الحضور'!M646:M1255,'الحضور'!B646:B1255,A157))</f>
        <v>0</v>
      </c>
      <c r="L157" s="396">
        <f>IF(A157="",",",SUMIFS('الحضور'!N646:N1255,'الحضور'!B646:B1255, A157))</f>
        <v>0</v>
      </c>
      <c r="M157" s="396">
        <f t="shared" si="24"/>
        <v>-205582.3104</v>
      </c>
      <c r="N157" s="441">
        <v>450000.0</v>
      </c>
      <c r="O157" s="399">
        <v>45995.0</v>
      </c>
      <c r="P157" s="400"/>
    </row>
    <row r="158" ht="27.75" customHeight="1">
      <c r="A158" s="409" t="s">
        <v>21</v>
      </c>
      <c r="B158" s="438">
        <f>IF( A158="",",",COUNTIFS('الحضور'!B643:B1256, A158,'الحضور'!D643:D1256,"&lt;&gt;",'الحضور'!E643:E1256,"&lt;&gt;"))</f>
        <v>3</v>
      </c>
      <c r="C158" s="439">
        <f>IF(A158="",",",SUMPRODUCT(( 'الحضور'!B643:B1256=A158)*(WEEKDAY( 'الحضور'!A643:A1256,2)=5)*('الحضور'!D643:D1256&lt;&gt;"")*('الحضور'!E643:E1256&lt;&gt;"")))</f>
        <v>0</v>
      </c>
      <c r="D158" s="440">
        <f>IF(A158="",",",SUMIFS('الحضور'!H643:H1256,'الحضور'!B643:B1256,A158))</f>
        <v>28.63333333</v>
      </c>
      <c r="E158" s="440">
        <f>IF(A158="",",",SUMIFS('الحضور'!I643:I1256,'الحضور'!B643:B1256,A158))</f>
        <v>1.85</v>
      </c>
      <c r="F158" s="440">
        <f>IF(A158="",",",SUMIFS('الحضور'!J643:J1256,'الحضور'!B643:B1256,A158))</f>
        <v>0</v>
      </c>
      <c r="G158" s="420">
        <f>IF(A158="",",", SUMPRODUCT(('الحضور'!B489:B652=A158)*('الحضور'!H489:H652+'الحضور'!I489:I652+'الحضور'!J489:J652)))</f>
        <v>136.4833333</v>
      </c>
      <c r="H158" s="396">
        <f t="shared" si="23"/>
        <v>11538.46154</v>
      </c>
      <c r="I158" s="396">
        <f>IF(A158="",",",SUMIFS('الحضور'!K643:K1256,'الحضور'!B643:B1256,A158))+H158</f>
        <v>91729.9509</v>
      </c>
      <c r="J158" s="396">
        <f>IF(A158="",",",SUMIFS('الحضور'!L646:L1256,'الحضور'!B646:B1256,A158))</f>
        <v>0</v>
      </c>
      <c r="K158" s="396">
        <f>IF(A158="",",",SUMIFS('الحضور'!M646:M1256,'الحضور'!B646:B1256,A158))</f>
        <v>0</v>
      </c>
      <c r="L158" s="396">
        <f>IF(A158="",",",SUMIFS('الحضور'!N646:N1256,'الحضور'!B646:B1256, A158))</f>
        <v>0</v>
      </c>
      <c r="M158" s="396">
        <f t="shared" si="24"/>
        <v>-8270.0491</v>
      </c>
      <c r="N158" s="398">
        <v>100000.0</v>
      </c>
      <c r="O158" s="399">
        <v>45996.0</v>
      </c>
      <c r="P158" s="400"/>
    </row>
    <row r="159" ht="27.75" customHeight="1">
      <c r="A159" s="409" t="s">
        <v>2470</v>
      </c>
      <c r="B159" s="438">
        <f>IF( A159="",",",COUNTIFS('الحضور'!B646:B1263, A159,'الحضور'!D646:D1263,"&lt;&gt;",'الحضور'!E646:E1263,"&lt;&gt;"))</f>
        <v>17</v>
      </c>
      <c r="C159" s="439">
        <f>IF(A159="",",",SUMPRODUCT(( 'الحضور'!B646:B1263=A159)*(WEEKDAY( 'الحضور'!A646:A1263,2)=5)*('الحضور'!D646:D1263&lt;&gt;"")*('الحضور'!E646:E1263&lt;&gt;"")))</f>
        <v>2</v>
      </c>
      <c r="D159" s="440">
        <f>IF(A159="",",",SUMIFS('الحضور'!H646:H1263,'الحضور'!B646:B1263,A159))</f>
        <v>128.5</v>
      </c>
      <c r="E159" s="440">
        <f>IF(A159="",",",SUMIFS('الحضور'!I646:I1263,'الحضور'!B646:B1263,A159))</f>
        <v>26.61666667</v>
      </c>
      <c r="F159" s="440">
        <f>IF(A159="",",",SUMIFS('الحضور'!J646:J1263,'الحضور'!B646:B1263,A159))</f>
        <v>17.73333333</v>
      </c>
      <c r="G159" s="420">
        <f>IF(A159="",",", SUMPRODUCT(('الحضور'!B490:B653=A159)*('الحضور'!H490:H653+'الحضور'!I490:I653+'الحضور'!J490:J653)))</f>
        <v>0</v>
      </c>
      <c r="H159" s="396">
        <f t="shared" si="23"/>
        <v>65384.61538</v>
      </c>
      <c r="I159" s="396">
        <f>IF(A159="",",",SUMIFS('الحضور'!K646:K1263,'الحضور'!B646:B1263,A159))+H159</f>
        <v>325671.8494</v>
      </c>
      <c r="J159" s="396">
        <f>IF(A159="",",",SUMIFS('الحضور'!L646:L1263,'الحضور'!B646:B1263,A159))</f>
        <v>0</v>
      </c>
      <c r="K159" s="396">
        <f>IF(A159="",",",SUMIFS('الحضور'!M646:M1263,'الحضور'!B646:B1263,A159))</f>
        <v>0</v>
      </c>
      <c r="L159" s="396">
        <f>IF(A159="",",",SUMIFS('الحضور'!N646:N1263,'الحضور'!B646:B1263, A159))</f>
        <v>0</v>
      </c>
      <c r="M159" s="396">
        <f t="shared" si="24"/>
        <v>4671.849427</v>
      </c>
      <c r="N159" s="441">
        <v>321000.0</v>
      </c>
      <c r="O159" s="399">
        <v>45997.0</v>
      </c>
      <c r="P159" s="400"/>
    </row>
    <row r="160" ht="27.75" customHeight="1">
      <c r="A160" s="409" t="s">
        <v>2471</v>
      </c>
      <c r="B160" s="438">
        <f>IF( A160="",",",COUNTIFS('الحضور'!B646:B1264, A160,'الحضور'!D646:D1264,"&lt;&gt;",'الحضور'!E646:E1264,"&lt;&gt;"))</f>
        <v>23</v>
      </c>
      <c r="C160" s="439">
        <f>IF(A160="",",",SUMPRODUCT(( 'الحضور'!B646:B1264=A160)*(WEEKDAY( 'الحضور'!A646:A1264,2)=5)*('الحضور'!D646:D1264&lt;&gt;"")*('الحضور'!E646:E1264&lt;&gt;"")))</f>
        <v>0</v>
      </c>
      <c r="D160" s="440">
        <f>IF(A160="",",",SUMIFS('الحضور'!H646:H1264,'الحضور'!B646:B1264,A160))</f>
        <v>131.2833333</v>
      </c>
      <c r="E160" s="440">
        <f>IF(A160="",",",SUMIFS('الحضور'!I646:I1264,'الحضور'!B646:B1264,A160))</f>
        <v>51.13333333</v>
      </c>
      <c r="F160" s="440">
        <f>IF(A160="",",",SUMIFS('الحضور'!J646:J1264,'الحضور'!B646:B1264,A160))</f>
        <v>0</v>
      </c>
      <c r="G160" s="420">
        <f>IF(A160="",",", SUMPRODUCT(('الحضور'!B491:B654=A160)*('الحضور'!H491:H654+'الحضور'!I491:I654+'الحضور'!J491:J654)))</f>
        <v>0</v>
      </c>
      <c r="H160" s="396">
        <f t="shared" si="23"/>
        <v>88461.53846</v>
      </c>
      <c r="I160" s="396">
        <f>IF(A160="",",",SUMIFS('الحضور'!K646:K1264,'الحضور'!B646:B1264,A160))+H160</f>
        <v>1086361.37</v>
      </c>
      <c r="J160" s="396">
        <f>IF(A160="",",",SUMIFS('الحضور'!L646:L1264,'الحضور'!B646:B1264,A160))</f>
        <v>0</v>
      </c>
      <c r="K160" s="396">
        <f>IF(A160="",",",SUMIFS('الحضور'!M646:M1264,'الحضور'!B646:B1264,A160))</f>
        <v>0</v>
      </c>
      <c r="L160" s="396">
        <f>IF(A160="",",",SUMIFS('الحضور'!N646:N1264,'الحضور'!B646:B1264, A160))</f>
        <v>0</v>
      </c>
      <c r="M160" s="396">
        <f t="shared" si="24"/>
        <v>1086361.37</v>
      </c>
      <c r="N160" s="442"/>
      <c r="O160" s="399">
        <v>45998.0</v>
      </c>
      <c r="P160" s="400"/>
    </row>
    <row r="161" ht="27.75" customHeight="1">
      <c r="A161" s="409" t="s">
        <v>2377</v>
      </c>
      <c r="B161" s="438">
        <f>IF( A161="",",",COUNTIFS('الحضور'!B646:B1265, A161,'الحضور'!D646:D1265,"&lt;&gt;",'الحضور'!E646:E1265,"&lt;&gt;"))</f>
        <v>30</v>
      </c>
      <c r="C161" s="439">
        <f>IF(A161="",",",SUMPRODUCT(( 'الحضور'!B646:B1265=A161)*(WEEKDAY( 'الحضور'!A646:A1265,2)=5)*('الحضور'!D646:D1265&lt;&gt;"")*('الحضور'!E646:E1265&lt;&gt;"")))</f>
        <v>3</v>
      </c>
      <c r="D161" s="443">
        <v>0.0</v>
      </c>
      <c r="E161" s="443">
        <v>0.0</v>
      </c>
      <c r="F161" s="443">
        <v>0.0</v>
      </c>
      <c r="G161" s="444">
        <v>0.0</v>
      </c>
      <c r="H161" s="445">
        <v>0.0</v>
      </c>
      <c r="I161" s="396">
        <f>IF(A161="",",",SUMIFS('الحضور'!O:O,'الحضور'!B:B,A161))+H161</f>
        <v>1292340.426</v>
      </c>
      <c r="J161" s="396">
        <f>IF(A161="",",",SUMIFS('الحضور'!L646:L1265,'الحضور'!B646:B1265,A161))</f>
        <v>0</v>
      </c>
      <c r="K161" s="396">
        <f>IF(A161="",",",SUMIFS('الحضور'!M646:M1265,'الحضور'!B646:B1265,A161))</f>
        <v>0</v>
      </c>
      <c r="L161" s="445">
        <v>0.0</v>
      </c>
      <c r="M161" s="396">
        <f t="shared" si="24"/>
        <v>1292340.426</v>
      </c>
      <c r="N161" s="441">
        <v>0.0</v>
      </c>
      <c r="O161" s="399">
        <v>45999.0</v>
      </c>
      <c r="P161" s="400"/>
    </row>
    <row r="162" ht="27.75" customHeight="1">
      <c r="A162" s="409" t="s">
        <v>2472</v>
      </c>
      <c r="B162" s="438">
        <f>IF( A162="",",",COUNTIFS('الحضور'!B646:B1266, A162,'الحضور'!D646:D1266,"&lt;&gt;",'الحضور'!E646:E1266,"&lt;&gt;"))</f>
        <v>0</v>
      </c>
      <c r="C162" s="439">
        <f>IF(A162="",",",SUMPRODUCT(( 'الحضور'!B646:B1266=A162)*(WEEKDAY( 'الحضور'!A646:A1266,2)=5)*('الحضور'!D646:D1266&lt;&gt;"")*('الحضور'!E646:E1266&lt;&gt;"")))</f>
        <v>0</v>
      </c>
      <c r="D162" s="440">
        <f>IF(A162="",",",SUMIFS('الحضور'!H646:H1266,'الحضور'!B646:B1266,A162))</f>
        <v>0</v>
      </c>
      <c r="E162" s="440">
        <f>IF(A162="",",",SUMIFS('الحضور'!I646:I1266,'الحضور'!B646:B1266,A162))</f>
        <v>0</v>
      </c>
      <c r="F162" s="440">
        <f>IF(A162="",",",SUMIFS('الحضور'!J646:J1266,'الحضور'!B646:B1266,A162))</f>
        <v>0</v>
      </c>
      <c r="G162" s="420">
        <f>IF(A162="",",", SUMPRODUCT(('الحضور'!B493:B656=A162)*('الحضور'!H493:H656+'الحضور'!I493:I656+'الحضور'!J493:J656)))</f>
        <v>0</v>
      </c>
      <c r="H162" s="396">
        <f t="shared" ref="H162:H166" si="25">100000*B162/26</f>
        <v>0</v>
      </c>
      <c r="I162" s="396">
        <f>IF(A162="",",",SUMIFS('الحضور'!K647:K1266,'الحضور'!B647:B1266,A162))+H162</f>
        <v>0</v>
      </c>
      <c r="J162" s="396">
        <f>IF(A162="",",",SUMIFS('الحضور'!L646:L1266,'الحضور'!B646:B1266,A162))</f>
        <v>0</v>
      </c>
      <c r="K162" s="396">
        <f>IF(A162="",",",SUMIFS('الحضور'!M646:M1266,'الحضور'!B646:B1266,A162))</f>
        <v>0</v>
      </c>
      <c r="L162" s="396">
        <f>IF(A162="",",",SUMIFS('الحضور'!N646:N1266,'الحضور'!B646:B1266, A162))</f>
        <v>0</v>
      </c>
      <c r="M162" s="396">
        <f t="shared" si="24"/>
        <v>-500000</v>
      </c>
      <c r="N162" s="441">
        <v>500000.0</v>
      </c>
      <c r="O162" s="399">
        <v>46000.0</v>
      </c>
      <c r="P162" s="400"/>
    </row>
    <row r="163" ht="27.75" customHeight="1">
      <c r="A163" s="422" t="s">
        <v>1528</v>
      </c>
      <c r="B163" s="438">
        <f>IF( A163="",",",COUNTIFS('الحضور'!B646:B1262, A163,'الحضور'!D646:D1262,"&lt;&gt;",'الحضور'!E646:E1262,"&lt;&gt;"))</f>
        <v>14</v>
      </c>
      <c r="C163" s="439">
        <f>IF(A163="",",",SUMPRODUCT(( 'الحضور'!B646:B1262=A163)*(WEEKDAY( 'الحضور'!A646:A1262,2)=5)*('الحضور'!D646:D1262&lt;&gt;"")*('الحضور'!E646:E1262&lt;&gt;"")))</f>
        <v>2</v>
      </c>
      <c r="D163" s="440">
        <f>IF(A163="",",",SUMIFS('الحضور'!H646:H1262,'الحضور'!B646:B1262,A163))</f>
        <v>175.5</v>
      </c>
      <c r="E163" s="440">
        <f>IF(A163="",",",SUMIFS('الحضور'!I646:I1262,'الحضور'!B646:B1262,A163))</f>
        <v>118.25</v>
      </c>
      <c r="F163" s="440">
        <f>IF(A163="",",",SUMIFS('الحضور'!J646:J1262,'الحضور'!B646:B1262,A163))</f>
        <v>57.25</v>
      </c>
      <c r="G163" s="420">
        <f>IF(A163="",",", SUMPRODUCT(('الحضور'!B494:B657=A163)*('الحضور'!H494:H657+'الحضور'!I494:I657+'الحضور'!J494:J657)))</f>
        <v>0</v>
      </c>
      <c r="H163" s="396">
        <f t="shared" si="25"/>
        <v>53846.15385</v>
      </c>
      <c r="I163" s="396">
        <f>IF(A163="",",",SUMIFS('الحضور'!K648:K1267,'الحضور'!B648:B1267,A163))+H163</f>
        <v>378846.1538</v>
      </c>
      <c r="J163" s="396">
        <f>IF(A163="",",",SUMIFS('الحضور'!L646:L1262,'الحضور'!B646:B1262,A163))</f>
        <v>0</v>
      </c>
      <c r="K163" s="445">
        <v>180000.0</v>
      </c>
      <c r="L163" s="396">
        <f>IF(A163="",",",SUMIFS('الحضور'!N646:N1262,'الحضور'!B646:B1262, A163))</f>
        <v>159027.7778</v>
      </c>
      <c r="M163" s="396">
        <f t="shared" si="24"/>
        <v>-230181.6239</v>
      </c>
      <c r="N163" s="441">
        <v>270000.0</v>
      </c>
      <c r="O163" s="399">
        <v>46001.0</v>
      </c>
      <c r="P163" s="400"/>
    </row>
    <row r="164" ht="27.75" customHeight="1">
      <c r="A164" s="422" t="s">
        <v>2473</v>
      </c>
      <c r="B164" s="438">
        <f>IF( A164="",",",COUNTIFS('الحضور'!B646:B1267, A164,'الحضور'!D646:D1267,"&lt;&gt;",'الحضور'!E646:E1267,"&lt;&gt;"))</f>
        <v>0</v>
      </c>
      <c r="C164" s="439">
        <f>IF(A164="",",",SUMPRODUCT(( 'الحضور'!B646:B1267=A164)*(WEEKDAY( 'الحضور'!A646:A1267,2)=5)*('الحضور'!D646:D1267&lt;&gt;"")*('الحضور'!E646:E1267&lt;&gt;"")))</f>
        <v>0</v>
      </c>
      <c r="D164" s="440">
        <f>IF(A164="",",",SUMIFS('الحضور'!H646:H1267,'الحضور'!B646:B1267,A164))</f>
        <v>0</v>
      </c>
      <c r="E164" s="440">
        <f>IF(A164="",",",SUMIFS('الحضور'!I646:I1267,'الحضور'!B646:B1267,A164))</f>
        <v>0</v>
      </c>
      <c r="F164" s="440">
        <f>IF(A164="",",",SUMIFS('الحضور'!J646:J1267,'الحضور'!B646:B1267,A164))</f>
        <v>0</v>
      </c>
      <c r="G164" s="420">
        <f>IF(A164="",",", SUMPRODUCT(('الحضور'!B495:B658=A164)*('الحضور'!H495:H658+'الحضور'!I495:I658+'الحضور'!J495:J658)))</f>
        <v>0</v>
      </c>
      <c r="H164" s="396">
        <f t="shared" si="25"/>
        <v>0</v>
      </c>
      <c r="I164" s="396">
        <f>IF(A164="",",",SUMIFS('الحضور'!K649:K1268,'الحضور'!B649:B1268,A164))+H164</f>
        <v>0</v>
      </c>
      <c r="J164" s="445">
        <v>0.0</v>
      </c>
      <c r="K164" s="396">
        <f>IF(A164="",",",SUMIFS('الحضور'!M646:M1267,'الحضور'!B646:B1267,A164))</f>
        <v>0</v>
      </c>
      <c r="L164" s="396">
        <f>IF(A164="",",",SUMIFS('الحضور'!N646:N1267,'الحضور'!B646:B1267, A164))</f>
        <v>0</v>
      </c>
      <c r="M164" s="396">
        <f t="shared" si="24"/>
        <v>-480000</v>
      </c>
      <c r="N164" s="441">
        <v>480000.0</v>
      </c>
      <c r="O164" s="399">
        <v>46002.0</v>
      </c>
      <c r="P164" s="400"/>
    </row>
    <row r="165" ht="27.75" customHeight="1">
      <c r="A165" s="422" t="s">
        <v>2474</v>
      </c>
      <c r="B165" s="438">
        <f>IF( A165="",",",COUNTIFS('الحضور'!B646:B1268, A165,'الحضور'!D646:D1268,"&lt;&gt;",'الحضور'!E646:E1268,"&lt;&gt;"))</f>
        <v>0</v>
      </c>
      <c r="C165" s="439">
        <f>IF(A165="",",",SUMPRODUCT(( 'الحضور'!B646:B1268=A165)*(WEEKDAY( 'الحضور'!A646:A1268,2)=5)*('الحضور'!D646:D1268&lt;&gt;"")*('الحضور'!E646:E1268&lt;&gt;"")))</f>
        <v>0</v>
      </c>
      <c r="D165" s="440">
        <f>IF(A165="",",",SUMIFS('الحضور'!H646:H1268,'الحضور'!B646:B1268,A165))</f>
        <v>0</v>
      </c>
      <c r="E165" s="440">
        <f>IF(A165="",",",SUMIFS('الحضور'!I646:I1268,'الحضور'!B646:B1268,A165))</f>
        <v>0</v>
      </c>
      <c r="F165" s="440">
        <f>IF(A165="",",",SUMIFS('الحضور'!J646:J1268,'الحضور'!B646:B1268,A165))</f>
        <v>0</v>
      </c>
      <c r="G165" s="420">
        <f>IF(A165="",",", SUMPRODUCT(('الحضور'!B496:B659=A165)*('الحضور'!H496:H659+'الحضور'!I496:I659+'الحضور'!J496:J659)))</f>
        <v>0</v>
      </c>
      <c r="H165" s="396">
        <f t="shared" si="25"/>
        <v>0</v>
      </c>
      <c r="I165" s="396">
        <f>IF(A165="",",",SUMIFS('الحضور'!K646:K1268,'الحضور'!B646:B1268,A165))+H165</f>
        <v>0</v>
      </c>
      <c r="J165" s="396">
        <f>IF(A165="",",",SUMIFS('الحضور'!L646:L1268,'الحضور'!B646:B1268,A165))</f>
        <v>0</v>
      </c>
      <c r="K165" s="396">
        <f>IF(A165="",",",SUMIFS('الحضور'!M646:M1268,'الحضور'!B646:B1268,A165))</f>
        <v>0</v>
      </c>
      <c r="L165" s="396">
        <f>IF(A165="",",",SUMIFS('الحضور'!N646:N1268,'الحضور'!B646:B1268, A165))</f>
        <v>0</v>
      </c>
      <c r="M165" s="396">
        <f t="shared" si="24"/>
        <v>-1350000</v>
      </c>
      <c r="N165" s="441">
        <v>1350000.0</v>
      </c>
      <c r="O165" s="399">
        <v>46003.0</v>
      </c>
      <c r="P165" s="400"/>
    </row>
    <row r="166" ht="27.75" customHeight="1">
      <c r="A166" s="446" t="s">
        <v>1407</v>
      </c>
      <c r="B166" s="447">
        <f>IF( A166="",",",COUNTIFS('الحضور'!B647:B1269, A166,'الحضور'!D647:D1269,"&lt;&gt;",'الحضور'!E647:E1269,"&lt;&gt;"))</f>
        <v>0</v>
      </c>
      <c r="C166" s="448">
        <f>IF(A166="",",",SUMPRODUCT(( 'الحضور'!B647:B1269=A166)*(WEEKDAY( 'الحضور'!A647:A1269,2)=5)*('الحضور'!D647:D1269&lt;&gt;"")*('الحضور'!E647:E1269&lt;&gt;"")))</f>
        <v>0</v>
      </c>
      <c r="D166" s="449">
        <f>IF(A166="",",",SUMIFS('الحضور'!H647:H1269,'الحضور'!B647:B1269,A166))</f>
        <v>0</v>
      </c>
      <c r="E166" s="449">
        <f>IF(A166="",",",SUMIFS('الحضور'!I647:I1269,'الحضور'!B647:B1269,A166))</f>
        <v>0</v>
      </c>
      <c r="F166" s="449">
        <f>IF(A166="",",",SUMIFS('الحضور'!J647:J1269,'الحضور'!B647:B1269,A166))</f>
        <v>0</v>
      </c>
      <c r="G166" s="420">
        <f>IF(A166="",",", SUMPRODUCT(('الحضور'!B497:B660=A166)*('الحضور'!H497:H660+'الحضور'!I497:I660+'الحضور'!J497:J660)))</f>
        <v>0</v>
      </c>
      <c r="H166" s="404">
        <f t="shared" si="25"/>
        <v>0</v>
      </c>
      <c r="I166" s="404">
        <f>IF(A166="",",",SUMIFS('الحضور'!K647:K1269,'الحضور'!B647:B1269,A166))+H166</f>
        <v>0</v>
      </c>
      <c r="J166" s="404">
        <f>IF(A166="",",",SUMIFS('الحضور'!L647:L1269,'الحضور'!B647:B1269,A166))</f>
        <v>0</v>
      </c>
      <c r="K166" s="404">
        <f>IF(A166="",",",SUMIFS('الحضور'!M647:M1269,'الحضور'!B647:B1269,A166))</f>
        <v>0</v>
      </c>
      <c r="L166" s="404">
        <f>IF(A166="",",",SUMIFS('الحضور'!N647:N1269,'الحضور'!B647:B1269, A166))</f>
        <v>0</v>
      </c>
      <c r="M166" s="404">
        <f t="shared" si="24"/>
        <v>-500000</v>
      </c>
      <c r="N166" s="450">
        <v>500000.0</v>
      </c>
      <c r="O166" s="399">
        <v>46003.0</v>
      </c>
      <c r="P166" s="408"/>
    </row>
  </sheetData>
  <printOptions/>
  <pageMargins bottom="0.75" footer="0.0" header="0.0" left="0.7" right="0.7" top="0.75"/>
  <pageSetup paperSize="9"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4.0"/>
    <col customWidth="1" min="2" max="2" width="14.29"/>
    <col customWidth="1" min="3" max="3" width="9.29"/>
    <col customWidth="1" min="4" max="4" width="13.29"/>
    <col customWidth="1" min="5" max="5" width="14.43"/>
    <col customWidth="1" min="6" max="6" width="17.0"/>
    <col customWidth="1" min="7" max="7" width="12.86"/>
    <col customWidth="1" min="8" max="10" width="13.0"/>
    <col customWidth="1" min="11" max="11" width="14.29"/>
    <col customWidth="1" min="12" max="13" width="13.43"/>
    <col customWidth="1" min="14" max="14" width="13.0"/>
    <col customWidth="1" min="15" max="15" width="14.29"/>
    <col customWidth="1" min="16" max="16" width="64.29"/>
  </cols>
  <sheetData>
    <row r="1" ht="39.0" customHeight="1">
      <c r="A1" s="451" t="s">
        <v>2475</v>
      </c>
      <c r="B1" s="452" t="s">
        <v>2</v>
      </c>
      <c r="C1" s="452" t="s">
        <v>1</v>
      </c>
      <c r="D1" s="453" t="s">
        <v>4</v>
      </c>
      <c r="E1" s="453" t="s">
        <v>5</v>
      </c>
      <c r="F1" s="452" t="s">
        <v>3</v>
      </c>
      <c r="G1" s="454" t="s">
        <v>6</v>
      </c>
      <c r="H1" s="455" t="s">
        <v>7</v>
      </c>
      <c r="I1" s="452" t="s">
        <v>8</v>
      </c>
      <c r="J1" s="452" t="s">
        <v>9</v>
      </c>
      <c r="K1" s="456" t="s">
        <v>10</v>
      </c>
      <c r="L1" s="457" t="s">
        <v>11</v>
      </c>
      <c r="M1" s="457" t="s">
        <v>12</v>
      </c>
      <c r="N1" s="457" t="s">
        <v>2476</v>
      </c>
      <c r="O1" s="457" t="s">
        <v>14</v>
      </c>
      <c r="P1" s="458" t="s">
        <v>15</v>
      </c>
    </row>
    <row r="2" ht="26.25" customHeight="1">
      <c r="A2" s="459">
        <v>45901.0</v>
      </c>
      <c r="B2" s="460" t="s">
        <v>16</v>
      </c>
      <c r="C2" s="461" t="str">
        <f t="shared" ref="C2:C745" si="1">CHOOSE(WEEKDAY(A2,2),"الاثنين","الثلاثاء","الأربعاء","الخميس","الجمعة","السبت","الأحد")</f>
        <v>الاثنين</v>
      </c>
      <c r="D2" s="462">
        <v>0.44305555555555554</v>
      </c>
      <c r="E2" s="462">
        <v>0.875</v>
      </c>
      <c r="F2" s="463">
        <v>650000.0</v>
      </c>
      <c r="G2" s="464">
        <f t="shared" ref="G2:G131" si="2">F2/235</f>
        <v>2765.957447</v>
      </c>
      <c r="H2" s="464">
        <f>IF(ISNUMBER(SEARCH("جمعة",C2)),0, IF(OR(D2="", E2=""),0, MIN(12,MAX(0,(MIN(E2,TIME(18,0,0))-MAX(D2,TIME(6,0,0)))*24))))</f>
        <v>7.366666667</v>
      </c>
      <c r="I2" s="464">
        <f t="shared" ref="I2:I701" si="3">IF(ISNUMBER(SEARCH("جمعة",C2)), 0, MAX(0,(MOD(E2-D2,1)*24)-H2))</f>
        <v>3</v>
      </c>
      <c r="J2" s="464">
        <f t="shared" ref="J2:J701" si="4">IF(C2="الجمعة",MOD(E2-D2,1)*24,0)</f>
        <v>0</v>
      </c>
      <c r="K2" s="465">
        <f t="shared" ref="K2:K701" si="5">sum(H2*G2)+(I2*1.5*G2)+(J2*2*G2)</f>
        <v>32822.69504</v>
      </c>
      <c r="L2" s="466"/>
      <c r="M2" s="465">
        <v>240000.0</v>
      </c>
      <c r="N2" s="465">
        <f>(9-H2)*G2</f>
        <v>4517.730496</v>
      </c>
      <c r="O2" s="465">
        <f t="shared" ref="O2:O642" si="6">K2+L2-M2-N2</f>
        <v>-211695.0355</v>
      </c>
      <c r="P2" s="467"/>
    </row>
    <row r="3" ht="26.25" customHeight="1">
      <c r="A3" s="459">
        <v>45902.0</v>
      </c>
      <c r="B3" s="460" t="s">
        <v>16</v>
      </c>
      <c r="C3" s="461" t="str">
        <f t="shared" si="1"/>
        <v>الثلاثاء</v>
      </c>
      <c r="D3" s="462">
        <v>0.29791666666666666</v>
      </c>
      <c r="E3" s="462">
        <v>0.875</v>
      </c>
      <c r="F3" s="463">
        <v>650000.0</v>
      </c>
      <c r="G3" s="464">
        <f t="shared" si="2"/>
        <v>2765.957447</v>
      </c>
      <c r="H3" s="464">
        <f t="shared" ref="H3:H701" si="7">IF(ISNUMBER(SEARCH("جمعة",C3)), 0, IF(OR(D3="", E3=""), 0, MIN(12,MAX(0,(MIN(E3,TIME(18,0,0))-MAX(D3,TIME(6,0,0)))*24))))</f>
        <v>10.85</v>
      </c>
      <c r="I3" s="464">
        <f t="shared" si="3"/>
        <v>3</v>
      </c>
      <c r="J3" s="464">
        <f t="shared" si="4"/>
        <v>0</v>
      </c>
      <c r="K3" s="465">
        <f t="shared" si="5"/>
        <v>42457.44681</v>
      </c>
      <c r="L3" s="466"/>
      <c r="M3" s="466"/>
      <c r="N3" s="465">
        <v>15000.0</v>
      </c>
      <c r="O3" s="465">
        <f t="shared" si="6"/>
        <v>27457.44681</v>
      </c>
      <c r="P3" s="468" t="s">
        <v>2477</v>
      </c>
    </row>
    <row r="4" ht="26.25" customHeight="1">
      <c r="A4" s="459">
        <v>45903.0</v>
      </c>
      <c r="B4" s="460" t="s">
        <v>16</v>
      </c>
      <c r="C4" s="461" t="str">
        <f t="shared" si="1"/>
        <v>الأربعاء</v>
      </c>
      <c r="D4" s="462">
        <v>0.4263888888888889</v>
      </c>
      <c r="E4" s="462">
        <v>0.8534722222222222</v>
      </c>
      <c r="F4" s="463">
        <v>650000.0</v>
      </c>
      <c r="G4" s="464">
        <f t="shared" si="2"/>
        <v>2765.957447</v>
      </c>
      <c r="H4" s="464">
        <f t="shared" si="7"/>
        <v>7.766666667</v>
      </c>
      <c r="I4" s="464">
        <f t="shared" si="3"/>
        <v>2.483333333</v>
      </c>
      <c r="J4" s="464">
        <f t="shared" si="4"/>
        <v>0</v>
      </c>
      <c r="K4" s="465">
        <f t="shared" si="5"/>
        <v>31785.46099</v>
      </c>
      <c r="L4" s="466"/>
      <c r="M4" s="466"/>
      <c r="N4" s="465">
        <f>IF(C4="الجمعة",0,IF(D4&gt;TIME(9,0,0),(D4-TIME(9,0,0))*24*60*(G4/60),0))</f>
        <v>3411.347518</v>
      </c>
      <c r="O4" s="465">
        <f t="shared" si="6"/>
        <v>28374.11348</v>
      </c>
      <c r="P4" s="467"/>
    </row>
    <row r="5" ht="26.25" customHeight="1">
      <c r="A5" s="459">
        <v>45904.0</v>
      </c>
      <c r="B5" s="460" t="s">
        <v>16</v>
      </c>
      <c r="C5" s="461" t="str">
        <f t="shared" si="1"/>
        <v>الخميس</v>
      </c>
      <c r="D5" s="462">
        <v>0.375</v>
      </c>
      <c r="E5" s="462">
        <v>0.9993055555555556</v>
      </c>
      <c r="F5" s="463">
        <v>650000.0</v>
      </c>
      <c r="G5" s="464">
        <f t="shared" si="2"/>
        <v>2765.957447</v>
      </c>
      <c r="H5" s="464">
        <f t="shared" si="7"/>
        <v>9</v>
      </c>
      <c r="I5" s="464">
        <f t="shared" si="3"/>
        <v>5.983333333</v>
      </c>
      <c r="J5" s="464">
        <f t="shared" si="4"/>
        <v>0</v>
      </c>
      <c r="K5" s="465">
        <f t="shared" si="5"/>
        <v>49718.08511</v>
      </c>
      <c r="L5" s="466"/>
      <c r="M5" s="466"/>
      <c r="N5" s="465">
        <v>4000.0</v>
      </c>
      <c r="O5" s="465">
        <f t="shared" si="6"/>
        <v>45718.08511</v>
      </c>
      <c r="P5" s="468" t="s">
        <v>367</v>
      </c>
    </row>
    <row r="6" ht="26.25" customHeight="1">
      <c r="A6" s="459">
        <v>45905.0</v>
      </c>
      <c r="B6" s="460" t="s">
        <v>16</v>
      </c>
      <c r="C6" s="461" t="str">
        <f t="shared" si="1"/>
        <v>الجمعة</v>
      </c>
      <c r="D6" s="462">
        <v>0.4166666666666667</v>
      </c>
      <c r="E6" s="462">
        <v>0.9583333333333334</v>
      </c>
      <c r="F6" s="463">
        <v>650000.0</v>
      </c>
      <c r="G6" s="464">
        <f t="shared" si="2"/>
        <v>2765.957447</v>
      </c>
      <c r="H6" s="464">
        <f t="shared" si="7"/>
        <v>0</v>
      </c>
      <c r="I6" s="464">
        <f t="shared" si="3"/>
        <v>0</v>
      </c>
      <c r="J6" s="464">
        <f t="shared" si="4"/>
        <v>13</v>
      </c>
      <c r="K6" s="465">
        <f t="shared" si="5"/>
        <v>71914.89362</v>
      </c>
      <c r="L6" s="466"/>
      <c r="M6" s="466"/>
      <c r="N6" s="465">
        <f t="shared" ref="N6:N29" si="8">IF(C6="الجمعة",0,IF(D6&gt;TIME(9,0,0),(D6-TIME(9,0,0))*24*60*(G6/60),0))</f>
        <v>0</v>
      </c>
      <c r="O6" s="465">
        <f t="shared" si="6"/>
        <v>71914.89362</v>
      </c>
      <c r="P6" s="467"/>
    </row>
    <row r="7" ht="26.25" customHeight="1">
      <c r="A7" s="459">
        <v>45906.0</v>
      </c>
      <c r="B7" s="460" t="s">
        <v>16</v>
      </c>
      <c r="C7" s="461" t="str">
        <f t="shared" si="1"/>
        <v>السبت</v>
      </c>
      <c r="D7" s="462">
        <v>0.40208333333333335</v>
      </c>
      <c r="E7" s="462">
        <v>0.8979166666666667</v>
      </c>
      <c r="F7" s="463">
        <v>650000.0</v>
      </c>
      <c r="G7" s="464">
        <f t="shared" si="2"/>
        <v>2765.957447</v>
      </c>
      <c r="H7" s="464">
        <f t="shared" si="7"/>
        <v>8.35</v>
      </c>
      <c r="I7" s="464">
        <f t="shared" si="3"/>
        <v>3.55</v>
      </c>
      <c r="J7" s="464">
        <f t="shared" si="4"/>
        <v>0</v>
      </c>
      <c r="K7" s="465">
        <f t="shared" si="5"/>
        <v>37824.46809</v>
      </c>
      <c r="L7" s="466"/>
      <c r="M7" s="466"/>
      <c r="N7" s="465">
        <f t="shared" si="8"/>
        <v>1797.87234</v>
      </c>
      <c r="O7" s="465">
        <f t="shared" si="6"/>
        <v>36026.59574</v>
      </c>
      <c r="P7" s="467"/>
    </row>
    <row r="8" ht="26.25" customHeight="1">
      <c r="A8" s="459">
        <v>45907.0</v>
      </c>
      <c r="B8" s="460" t="s">
        <v>16</v>
      </c>
      <c r="C8" s="461" t="str">
        <f t="shared" si="1"/>
        <v>الأحد</v>
      </c>
      <c r="D8" s="462">
        <v>0.375</v>
      </c>
      <c r="E8" s="462">
        <v>0.9993055555555556</v>
      </c>
      <c r="F8" s="463">
        <v>650000.0</v>
      </c>
      <c r="G8" s="464">
        <f t="shared" si="2"/>
        <v>2765.957447</v>
      </c>
      <c r="H8" s="464">
        <f t="shared" si="7"/>
        <v>9</v>
      </c>
      <c r="I8" s="464">
        <f t="shared" si="3"/>
        <v>5.983333333</v>
      </c>
      <c r="J8" s="464">
        <f t="shared" si="4"/>
        <v>0</v>
      </c>
      <c r="K8" s="465">
        <f t="shared" si="5"/>
        <v>49718.08511</v>
      </c>
      <c r="L8" s="466"/>
      <c r="M8" s="466"/>
      <c r="N8" s="465">
        <f t="shared" si="8"/>
        <v>0</v>
      </c>
      <c r="O8" s="465">
        <f t="shared" si="6"/>
        <v>49718.08511</v>
      </c>
      <c r="P8" s="467"/>
    </row>
    <row r="9" ht="26.25" customHeight="1">
      <c r="A9" s="459">
        <v>45908.0</v>
      </c>
      <c r="B9" s="460" t="s">
        <v>16</v>
      </c>
      <c r="C9" s="461" t="str">
        <f t="shared" si="1"/>
        <v>الاثنين</v>
      </c>
      <c r="D9" s="462">
        <v>0.375</v>
      </c>
      <c r="E9" s="462">
        <v>0.9993055555555556</v>
      </c>
      <c r="F9" s="463">
        <v>650000.0</v>
      </c>
      <c r="G9" s="464">
        <f t="shared" si="2"/>
        <v>2765.957447</v>
      </c>
      <c r="H9" s="464">
        <f t="shared" si="7"/>
        <v>9</v>
      </c>
      <c r="I9" s="464">
        <f t="shared" si="3"/>
        <v>5.983333333</v>
      </c>
      <c r="J9" s="464">
        <f t="shared" si="4"/>
        <v>0</v>
      </c>
      <c r="K9" s="465">
        <f t="shared" si="5"/>
        <v>49718.08511</v>
      </c>
      <c r="L9" s="466"/>
      <c r="M9" s="466"/>
      <c r="N9" s="465">
        <f t="shared" si="8"/>
        <v>0</v>
      </c>
      <c r="O9" s="465">
        <f t="shared" si="6"/>
        <v>49718.08511</v>
      </c>
      <c r="P9" s="467"/>
    </row>
    <row r="10" ht="26.25" customHeight="1">
      <c r="A10" s="459">
        <v>45909.0</v>
      </c>
      <c r="B10" s="460" t="s">
        <v>16</v>
      </c>
      <c r="C10" s="461" t="str">
        <f t="shared" si="1"/>
        <v>الثلاثاء</v>
      </c>
      <c r="D10" s="462">
        <v>0.375</v>
      </c>
      <c r="E10" s="462">
        <v>0.9993055555555556</v>
      </c>
      <c r="F10" s="463">
        <v>650000.0</v>
      </c>
      <c r="G10" s="464">
        <f t="shared" si="2"/>
        <v>2765.957447</v>
      </c>
      <c r="H10" s="464">
        <f t="shared" si="7"/>
        <v>9</v>
      </c>
      <c r="I10" s="464">
        <f t="shared" si="3"/>
        <v>5.983333333</v>
      </c>
      <c r="J10" s="464">
        <f t="shared" si="4"/>
        <v>0</v>
      </c>
      <c r="K10" s="465">
        <f t="shared" si="5"/>
        <v>49718.08511</v>
      </c>
      <c r="L10" s="466"/>
      <c r="M10" s="466"/>
      <c r="N10" s="465">
        <f t="shared" si="8"/>
        <v>0</v>
      </c>
      <c r="O10" s="465">
        <f t="shared" si="6"/>
        <v>49718.08511</v>
      </c>
      <c r="P10" s="467"/>
    </row>
    <row r="11" ht="26.25" customHeight="1">
      <c r="A11" s="459">
        <v>45910.0</v>
      </c>
      <c r="B11" s="460" t="s">
        <v>16</v>
      </c>
      <c r="C11" s="461" t="str">
        <f t="shared" si="1"/>
        <v>الأربعاء</v>
      </c>
      <c r="D11" s="462">
        <v>0.375</v>
      </c>
      <c r="E11" s="462">
        <v>0.9993055555532919</v>
      </c>
      <c r="F11" s="463">
        <v>650000.0</v>
      </c>
      <c r="G11" s="464">
        <f t="shared" si="2"/>
        <v>2765.957447</v>
      </c>
      <c r="H11" s="464">
        <f t="shared" si="7"/>
        <v>9</v>
      </c>
      <c r="I11" s="464">
        <f t="shared" si="3"/>
        <v>5.983333333</v>
      </c>
      <c r="J11" s="464">
        <f t="shared" si="4"/>
        <v>0</v>
      </c>
      <c r="K11" s="465">
        <f t="shared" si="5"/>
        <v>49718.08511</v>
      </c>
      <c r="L11" s="466"/>
      <c r="M11" s="466"/>
      <c r="N11" s="465">
        <f t="shared" si="8"/>
        <v>0</v>
      </c>
      <c r="O11" s="465">
        <f t="shared" si="6"/>
        <v>49718.08511</v>
      </c>
      <c r="P11" s="467"/>
    </row>
    <row r="12" ht="26.25" customHeight="1">
      <c r="A12" s="459">
        <v>45911.0</v>
      </c>
      <c r="B12" s="460" t="s">
        <v>16</v>
      </c>
      <c r="C12" s="461" t="str">
        <f t="shared" si="1"/>
        <v>الخميس</v>
      </c>
      <c r="D12" s="462">
        <v>0.375</v>
      </c>
      <c r="E12" s="462">
        <v>0.9993055555532919</v>
      </c>
      <c r="F12" s="463">
        <v>650000.0</v>
      </c>
      <c r="G12" s="464">
        <f t="shared" si="2"/>
        <v>2765.957447</v>
      </c>
      <c r="H12" s="464">
        <f t="shared" si="7"/>
        <v>9</v>
      </c>
      <c r="I12" s="464">
        <f t="shared" si="3"/>
        <v>5.983333333</v>
      </c>
      <c r="J12" s="464">
        <f t="shared" si="4"/>
        <v>0</v>
      </c>
      <c r="K12" s="465">
        <f t="shared" si="5"/>
        <v>49718.08511</v>
      </c>
      <c r="L12" s="466"/>
      <c r="M12" s="466"/>
      <c r="N12" s="465">
        <f t="shared" si="8"/>
        <v>0</v>
      </c>
      <c r="O12" s="465">
        <f t="shared" si="6"/>
        <v>49718.08511</v>
      </c>
      <c r="P12" s="467"/>
    </row>
    <row r="13" ht="26.25" customHeight="1">
      <c r="A13" s="459">
        <v>45912.0</v>
      </c>
      <c r="B13" s="460" t="s">
        <v>16</v>
      </c>
      <c r="C13" s="461" t="str">
        <f t="shared" si="1"/>
        <v>الجمعة</v>
      </c>
      <c r="D13" s="462">
        <v>0.0</v>
      </c>
      <c r="E13" s="462">
        <v>0.75</v>
      </c>
      <c r="F13" s="463">
        <v>650000.0</v>
      </c>
      <c r="G13" s="464">
        <f t="shared" si="2"/>
        <v>2765.957447</v>
      </c>
      <c r="H13" s="464">
        <f t="shared" si="7"/>
        <v>0</v>
      </c>
      <c r="I13" s="464">
        <f t="shared" si="3"/>
        <v>0</v>
      </c>
      <c r="J13" s="464">
        <f t="shared" si="4"/>
        <v>18</v>
      </c>
      <c r="K13" s="465">
        <f t="shared" si="5"/>
        <v>99574.46809</v>
      </c>
      <c r="L13" s="466"/>
      <c r="M13" s="466"/>
      <c r="N13" s="465">
        <f t="shared" si="8"/>
        <v>0</v>
      </c>
      <c r="O13" s="465">
        <f t="shared" si="6"/>
        <v>99574.46809</v>
      </c>
      <c r="P13" s="467"/>
    </row>
    <row r="14" ht="26.25" customHeight="1">
      <c r="A14" s="459">
        <v>45914.0</v>
      </c>
      <c r="B14" s="460" t="s">
        <v>16</v>
      </c>
      <c r="C14" s="461" t="str">
        <f t="shared" si="1"/>
        <v>الأحد</v>
      </c>
      <c r="D14" s="462">
        <v>0.3923611111111111</v>
      </c>
      <c r="E14" s="462">
        <v>0.7743055555555556</v>
      </c>
      <c r="F14" s="463">
        <v>650000.0</v>
      </c>
      <c r="G14" s="464">
        <f t="shared" si="2"/>
        <v>2765.957447</v>
      </c>
      <c r="H14" s="464">
        <f t="shared" si="7"/>
        <v>8.583333333</v>
      </c>
      <c r="I14" s="464">
        <f t="shared" si="3"/>
        <v>0.5833333333</v>
      </c>
      <c r="J14" s="464">
        <f t="shared" si="4"/>
        <v>0</v>
      </c>
      <c r="K14" s="465">
        <f t="shared" si="5"/>
        <v>26161.34752</v>
      </c>
      <c r="L14" s="466"/>
      <c r="M14" s="466"/>
      <c r="N14" s="465">
        <f t="shared" si="8"/>
        <v>1152.48227</v>
      </c>
      <c r="O14" s="465">
        <f t="shared" si="6"/>
        <v>25008.86525</v>
      </c>
      <c r="P14" s="467"/>
    </row>
    <row r="15" ht="26.25" customHeight="1">
      <c r="A15" s="459">
        <v>45915.0</v>
      </c>
      <c r="B15" s="460" t="s">
        <v>16</v>
      </c>
      <c r="C15" s="461" t="str">
        <f t="shared" si="1"/>
        <v>الاثنين</v>
      </c>
      <c r="D15" s="462">
        <v>0.4618055555555556</v>
      </c>
      <c r="E15" s="462">
        <v>0.83125</v>
      </c>
      <c r="F15" s="463">
        <v>650000.0</v>
      </c>
      <c r="G15" s="464">
        <f t="shared" si="2"/>
        <v>2765.957447</v>
      </c>
      <c r="H15" s="464">
        <f t="shared" si="7"/>
        <v>6.916666667</v>
      </c>
      <c r="I15" s="464">
        <f t="shared" si="3"/>
        <v>1.95</v>
      </c>
      <c r="J15" s="464">
        <f t="shared" si="4"/>
        <v>0</v>
      </c>
      <c r="K15" s="465">
        <f t="shared" si="5"/>
        <v>27221.63121</v>
      </c>
      <c r="L15" s="466"/>
      <c r="M15" s="466"/>
      <c r="N15" s="465">
        <f t="shared" si="8"/>
        <v>5762.411348</v>
      </c>
      <c r="O15" s="465">
        <f t="shared" si="6"/>
        <v>21459.21986</v>
      </c>
      <c r="P15" s="467"/>
    </row>
    <row r="16" ht="26.25" customHeight="1">
      <c r="A16" s="459">
        <v>45916.0</v>
      </c>
      <c r="B16" s="460" t="s">
        <v>16</v>
      </c>
      <c r="C16" s="461" t="str">
        <f t="shared" si="1"/>
        <v>الثلاثاء</v>
      </c>
      <c r="D16" s="462">
        <v>0.375</v>
      </c>
      <c r="E16" s="462">
        <v>0.875</v>
      </c>
      <c r="F16" s="463">
        <v>650000.0</v>
      </c>
      <c r="G16" s="464">
        <f t="shared" si="2"/>
        <v>2765.957447</v>
      </c>
      <c r="H16" s="464">
        <f t="shared" si="7"/>
        <v>9</v>
      </c>
      <c r="I16" s="464">
        <f t="shared" si="3"/>
        <v>3</v>
      </c>
      <c r="J16" s="464">
        <f t="shared" si="4"/>
        <v>0</v>
      </c>
      <c r="K16" s="465">
        <f t="shared" si="5"/>
        <v>37340.42553</v>
      </c>
      <c r="L16" s="466"/>
      <c r="M16" s="466"/>
      <c r="N16" s="465">
        <f t="shared" si="8"/>
        <v>0</v>
      </c>
      <c r="O16" s="465">
        <f t="shared" si="6"/>
        <v>37340.42553</v>
      </c>
      <c r="P16" s="467"/>
    </row>
    <row r="17" ht="26.25" customHeight="1">
      <c r="A17" s="459">
        <v>45917.0</v>
      </c>
      <c r="B17" s="460" t="s">
        <v>16</v>
      </c>
      <c r="C17" s="461" t="str">
        <f t="shared" si="1"/>
        <v>الأربعاء</v>
      </c>
      <c r="D17" s="462">
        <v>0.37222222222222223</v>
      </c>
      <c r="E17" s="462">
        <v>0.7854166666666667</v>
      </c>
      <c r="F17" s="463">
        <v>650000.0</v>
      </c>
      <c r="G17" s="464">
        <f t="shared" si="2"/>
        <v>2765.957447</v>
      </c>
      <c r="H17" s="464">
        <f t="shared" si="7"/>
        <v>9.066666667</v>
      </c>
      <c r="I17" s="464">
        <f t="shared" si="3"/>
        <v>0.85</v>
      </c>
      <c r="J17" s="464">
        <f t="shared" si="4"/>
        <v>0</v>
      </c>
      <c r="K17" s="465">
        <f t="shared" si="5"/>
        <v>28604.60993</v>
      </c>
      <c r="L17" s="466"/>
      <c r="M17" s="466"/>
      <c r="N17" s="465">
        <f t="shared" si="8"/>
        <v>0</v>
      </c>
      <c r="O17" s="465">
        <f t="shared" si="6"/>
        <v>28604.60993</v>
      </c>
      <c r="P17" s="467"/>
    </row>
    <row r="18" ht="26.25" customHeight="1">
      <c r="A18" s="459">
        <v>45918.0</v>
      </c>
      <c r="B18" s="460" t="s">
        <v>16</v>
      </c>
      <c r="C18" s="461" t="str">
        <f t="shared" si="1"/>
        <v>الخميس</v>
      </c>
      <c r="D18" s="462">
        <v>0.4354166666666667</v>
      </c>
      <c r="E18" s="462">
        <v>0.9993055555555556</v>
      </c>
      <c r="F18" s="463">
        <v>650000.0</v>
      </c>
      <c r="G18" s="464">
        <f t="shared" si="2"/>
        <v>2765.957447</v>
      </c>
      <c r="H18" s="464">
        <f t="shared" si="7"/>
        <v>7.55</v>
      </c>
      <c r="I18" s="464">
        <f t="shared" si="3"/>
        <v>5.983333333</v>
      </c>
      <c r="J18" s="464">
        <f t="shared" si="4"/>
        <v>0</v>
      </c>
      <c r="K18" s="465">
        <f t="shared" si="5"/>
        <v>45707.44681</v>
      </c>
      <c r="L18" s="466"/>
      <c r="M18" s="466"/>
      <c r="N18" s="465">
        <f t="shared" si="8"/>
        <v>4010.638298</v>
      </c>
      <c r="O18" s="465">
        <f t="shared" si="6"/>
        <v>41696.80851</v>
      </c>
      <c r="P18" s="467"/>
    </row>
    <row r="19" ht="26.25" customHeight="1">
      <c r="A19" s="459">
        <v>45919.0</v>
      </c>
      <c r="B19" s="460" t="s">
        <v>16</v>
      </c>
      <c r="C19" s="461" t="str">
        <f t="shared" si="1"/>
        <v>الجمعة</v>
      </c>
      <c r="D19" s="462">
        <v>0.375</v>
      </c>
      <c r="E19" s="462">
        <v>0.5</v>
      </c>
      <c r="F19" s="463">
        <v>650000.0</v>
      </c>
      <c r="G19" s="464">
        <f t="shared" si="2"/>
        <v>2765.957447</v>
      </c>
      <c r="H19" s="464">
        <f t="shared" si="7"/>
        <v>0</v>
      </c>
      <c r="I19" s="464">
        <f t="shared" si="3"/>
        <v>0</v>
      </c>
      <c r="J19" s="464">
        <f t="shared" si="4"/>
        <v>3</v>
      </c>
      <c r="K19" s="465">
        <f t="shared" si="5"/>
        <v>16595.74468</v>
      </c>
      <c r="L19" s="466"/>
      <c r="M19" s="466"/>
      <c r="N19" s="465">
        <f t="shared" si="8"/>
        <v>0</v>
      </c>
      <c r="O19" s="465">
        <f t="shared" si="6"/>
        <v>16595.74468</v>
      </c>
      <c r="P19" s="467"/>
    </row>
    <row r="20" ht="26.25" customHeight="1">
      <c r="A20" s="459">
        <v>45920.0</v>
      </c>
      <c r="B20" s="460" t="s">
        <v>16</v>
      </c>
      <c r="C20" s="461" t="str">
        <f t="shared" si="1"/>
        <v>السبت</v>
      </c>
      <c r="D20" s="462">
        <v>0.375</v>
      </c>
      <c r="E20" s="462">
        <v>0.625</v>
      </c>
      <c r="F20" s="463">
        <v>650000.0</v>
      </c>
      <c r="G20" s="464">
        <f t="shared" si="2"/>
        <v>2765.957447</v>
      </c>
      <c r="H20" s="464">
        <f t="shared" si="7"/>
        <v>6</v>
      </c>
      <c r="I20" s="464">
        <f t="shared" si="3"/>
        <v>0</v>
      </c>
      <c r="J20" s="464">
        <f t="shared" si="4"/>
        <v>0</v>
      </c>
      <c r="K20" s="465">
        <f t="shared" si="5"/>
        <v>16595.74468</v>
      </c>
      <c r="L20" s="466"/>
      <c r="M20" s="466"/>
      <c r="N20" s="465">
        <f t="shared" si="8"/>
        <v>0</v>
      </c>
      <c r="O20" s="465">
        <f t="shared" si="6"/>
        <v>16595.74468</v>
      </c>
      <c r="P20" s="467"/>
    </row>
    <row r="21" ht="26.25" customHeight="1">
      <c r="A21" s="459">
        <v>45922.0</v>
      </c>
      <c r="B21" s="469" t="s">
        <v>16</v>
      </c>
      <c r="C21" s="461" t="str">
        <f t="shared" si="1"/>
        <v>الاثنين</v>
      </c>
      <c r="D21" s="462">
        <v>0.5319444444444444</v>
      </c>
      <c r="E21" s="462">
        <v>0.8333333333333334</v>
      </c>
      <c r="F21" s="463">
        <v>650000.0</v>
      </c>
      <c r="G21" s="464">
        <f t="shared" si="2"/>
        <v>2765.957447</v>
      </c>
      <c r="H21" s="464">
        <f t="shared" si="7"/>
        <v>5.233333333</v>
      </c>
      <c r="I21" s="464">
        <f t="shared" si="3"/>
        <v>2</v>
      </c>
      <c r="J21" s="464">
        <f t="shared" si="4"/>
        <v>0</v>
      </c>
      <c r="K21" s="465">
        <f t="shared" si="5"/>
        <v>22773.04965</v>
      </c>
      <c r="L21" s="466"/>
      <c r="M21" s="466"/>
      <c r="N21" s="465">
        <f t="shared" si="8"/>
        <v>10418.43972</v>
      </c>
      <c r="O21" s="465">
        <f t="shared" si="6"/>
        <v>12354.60993</v>
      </c>
      <c r="P21" s="467"/>
    </row>
    <row r="22" ht="26.25" customHeight="1">
      <c r="A22" s="459">
        <v>45923.0</v>
      </c>
      <c r="B22" s="469" t="s">
        <v>16</v>
      </c>
      <c r="C22" s="461" t="str">
        <f t="shared" si="1"/>
        <v>الثلاثاء</v>
      </c>
      <c r="D22" s="462">
        <v>0.375</v>
      </c>
      <c r="E22" s="462">
        <v>0.75</v>
      </c>
      <c r="F22" s="463">
        <v>650000.0</v>
      </c>
      <c r="G22" s="464">
        <f t="shared" si="2"/>
        <v>2765.957447</v>
      </c>
      <c r="H22" s="464">
        <f t="shared" si="7"/>
        <v>9</v>
      </c>
      <c r="I22" s="464">
        <f t="shared" si="3"/>
        <v>0</v>
      </c>
      <c r="J22" s="464">
        <f t="shared" si="4"/>
        <v>0</v>
      </c>
      <c r="K22" s="465">
        <f t="shared" si="5"/>
        <v>24893.61702</v>
      </c>
      <c r="L22" s="466"/>
      <c r="M22" s="466"/>
      <c r="N22" s="465">
        <f t="shared" si="8"/>
        <v>0</v>
      </c>
      <c r="O22" s="465">
        <f t="shared" si="6"/>
        <v>24893.61702</v>
      </c>
      <c r="P22" s="467"/>
    </row>
    <row r="23" ht="26.25" customHeight="1">
      <c r="A23" s="459">
        <v>45924.0</v>
      </c>
      <c r="B23" s="469" t="s">
        <v>16</v>
      </c>
      <c r="C23" s="461" t="str">
        <f t="shared" si="1"/>
        <v>الأربعاء</v>
      </c>
      <c r="D23" s="462">
        <v>0.375</v>
      </c>
      <c r="E23" s="462">
        <v>0.75</v>
      </c>
      <c r="F23" s="463">
        <v>650000.0</v>
      </c>
      <c r="G23" s="464">
        <f t="shared" si="2"/>
        <v>2765.957447</v>
      </c>
      <c r="H23" s="464">
        <f t="shared" si="7"/>
        <v>9</v>
      </c>
      <c r="I23" s="464">
        <f t="shared" si="3"/>
        <v>0</v>
      </c>
      <c r="J23" s="464">
        <f t="shared" si="4"/>
        <v>0</v>
      </c>
      <c r="K23" s="465">
        <f t="shared" si="5"/>
        <v>24893.61702</v>
      </c>
      <c r="L23" s="466"/>
      <c r="M23" s="466"/>
      <c r="N23" s="465">
        <f t="shared" si="8"/>
        <v>0</v>
      </c>
      <c r="O23" s="465">
        <f t="shared" si="6"/>
        <v>24893.61702</v>
      </c>
      <c r="P23" s="467"/>
    </row>
    <row r="24" ht="26.25" customHeight="1">
      <c r="A24" s="459">
        <v>45925.0</v>
      </c>
      <c r="B24" s="469" t="s">
        <v>16</v>
      </c>
      <c r="C24" s="461" t="str">
        <f t="shared" si="1"/>
        <v>الخميس</v>
      </c>
      <c r="D24" s="462">
        <v>0.41041666666666665</v>
      </c>
      <c r="E24" s="462">
        <v>0.75</v>
      </c>
      <c r="F24" s="463">
        <v>650000.0</v>
      </c>
      <c r="G24" s="464">
        <f t="shared" si="2"/>
        <v>2765.957447</v>
      </c>
      <c r="H24" s="464">
        <f t="shared" si="7"/>
        <v>8.15</v>
      </c>
      <c r="I24" s="464">
        <f t="shared" si="3"/>
        <v>0</v>
      </c>
      <c r="J24" s="464">
        <f t="shared" si="4"/>
        <v>0</v>
      </c>
      <c r="K24" s="465">
        <f t="shared" si="5"/>
        <v>22542.55319</v>
      </c>
      <c r="L24" s="466"/>
      <c r="M24" s="466"/>
      <c r="N24" s="465">
        <f t="shared" si="8"/>
        <v>2351.06383</v>
      </c>
      <c r="O24" s="465">
        <f t="shared" si="6"/>
        <v>20191.48936</v>
      </c>
      <c r="P24" s="467"/>
    </row>
    <row r="25" ht="26.25" customHeight="1">
      <c r="A25" s="459">
        <v>45927.0</v>
      </c>
      <c r="B25" s="469" t="s">
        <v>16</v>
      </c>
      <c r="C25" s="461" t="str">
        <f t="shared" si="1"/>
        <v>السبت</v>
      </c>
      <c r="D25" s="462">
        <v>0.48333333333333334</v>
      </c>
      <c r="E25" s="462">
        <v>0.7916666666666666</v>
      </c>
      <c r="F25" s="463">
        <v>650000.0</v>
      </c>
      <c r="G25" s="464">
        <f t="shared" si="2"/>
        <v>2765.957447</v>
      </c>
      <c r="H25" s="464">
        <f t="shared" si="7"/>
        <v>6.4</v>
      </c>
      <c r="I25" s="464">
        <f t="shared" si="3"/>
        <v>1</v>
      </c>
      <c r="J25" s="464">
        <f t="shared" si="4"/>
        <v>0</v>
      </c>
      <c r="K25" s="465">
        <f t="shared" si="5"/>
        <v>21851.06383</v>
      </c>
      <c r="L25" s="466"/>
      <c r="M25" s="466"/>
      <c r="N25" s="465">
        <f t="shared" si="8"/>
        <v>7191.489362</v>
      </c>
      <c r="O25" s="465">
        <f t="shared" si="6"/>
        <v>14659.57447</v>
      </c>
      <c r="P25" s="467"/>
    </row>
    <row r="26" ht="26.25" customHeight="1">
      <c r="A26" s="459">
        <v>45928.0</v>
      </c>
      <c r="B26" s="469" t="s">
        <v>16</v>
      </c>
      <c r="C26" s="461" t="str">
        <f t="shared" si="1"/>
        <v>الأحد</v>
      </c>
      <c r="D26" s="462">
        <v>0.375</v>
      </c>
      <c r="E26" s="462">
        <v>0.041666666666666664</v>
      </c>
      <c r="F26" s="463">
        <v>650000.0</v>
      </c>
      <c r="G26" s="464">
        <f t="shared" si="2"/>
        <v>2765.957447</v>
      </c>
      <c r="H26" s="464">
        <f t="shared" si="7"/>
        <v>0</v>
      </c>
      <c r="I26" s="464">
        <f t="shared" si="3"/>
        <v>16</v>
      </c>
      <c r="J26" s="464">
        <f t="shared" si="4"/>
        <v>0</v>
      </c>
      <c r="K26" s="465">
        <f t="shared" si="5"/>
        <v>66382.97872</v>
      </c>
      <c r="L26" s="466"/>
      <c r="M26" s="466"/>
      <c r="N26" s="465">
        <f t="shared" si="8"/>
        <v>0</v>
      </c>
      <c r="O26" s="465">
        <f t="shared" si="6"/>
        <v>66382.97872</v>
      </c>
      <c r="P26" s="467"/>
    </row>
    <row r="27" ht="26.25" customHeight="1">
      <c r="A27" s="459">
        <v>45929.0</v>
      </c>
      <c r="B27" s="469" t="s">
        <v>16</v>
      </c>
      <c r="C27" s="461" t="str">
        <f t="shared" si="1"/>
        <v>الاثنين</v>
      </c>
      <c r="D27" s="462">
        <v>0.5416666666666666</v>
      </c>
      <c r="E27" s="462">
        <v>0.8333333333333334</v>
      </c>
      <c r="F27" s="463">
        <v>650000.0</v>
      </c>
      <c r="G27" s="464">
        <f t="shared" si="2"/>
        <v>2765.957447</v>
      </c>
      <c r="H27" s="464">
        <f t="shared" si="7"/>
        <v>5</v>
      </c>
      <c r="I27" s="464">
        <f t="shared" si="3"/>
        <v>2</v>
      </c>
      <c r="J27" s="464">
        <f t="shared" si="4"/>
        <v>0</v>
      </c>
      <c r="K27" s="465">
        <f t="shared" si="5"/>
        <v>22127.65957</v>
      </c>
      <c r="L27" s="466"/>
      <c r="M27" s="466"/>
      <c r="N27" s="465">
        <f t="shared" si="8"/>
        <v>11063.82979</v>
      </c>
      <c r="O27" s="465">
        <f t="shared" si="6"/>
        <v>11063.82979</v>
      </c>
      <c r="P27" s="467"/>
    </row>
    <row r="28" ht="26.25" customHeight="1">
      <c r="A28" s="459">
        <v>45930.0</v>
      </c>
      <c r="B28" s="469" t="s">
        <v>16</v>
      </c>
      <c r="C28" s="461" t="str">
        <f t="shared" si="1"/>
        <v>الثلاثاء</v>
      </c>
      <c r="D28" s="462">
        <v>0.375</v>
      </c>
      <c r="E28" s="462">
        <v>0.7916666666666666</v>
      </c>
      <c r="F28" s="463">
        <v>650000.0</v>
      </c>
      <c r="G28" s="464">
        <f t="shared" si="2"/>
        <v>2765.957447</v>
      </c>
      <c r="H28" s="464">
        <f t="shared" si="7"/>
        <v>9</v>
      </c>
      <c r="I28" s="464">
        <f t="shared" si="3"/>
        <v>1</v>
      </c>
      <c r="J28" s="464">
        <f t="shared" si="4"/>
        <v>0</v>
      </c>
      <c r="K28" s="465">
        <f t="shared" si="5"/>
        <v>29042.55319</v>
      </c>
      <c r="L28" s="466"/>
      <c r="M28" s="466"/>
      <c r="N28" s="465">
        <f t="shared" si="8"/>
        <v>0</v>
      </c>
      <c r="O28" s="465">
        <f t="shared" si="6"/>
        <v>29042.55319</v>
      </c>
      <c r="P28" s="467"/>
    </row>
    <row r="29" ht="26.25" customHeight="1">
      <c r="A29" s="459">
        <v>45901.0</v>
      </c>
      <c r="B29" s="469" t="s">
        <v>17</v>
      </c>
      <c r="C29" s="461" t="str">
        <f t="shared" si="1"/>
        <v>الاثنين</v>
      </c>
      <c r="D29" s="462">
        <v>0.39305555555555555</v>
      </c>
      <c r="E29" s="462">
        <v>0.75</v>
      </c>
      <c r="F29" s="463">
        <v>650000.0</v>
      </c>
      <c r="G29" s="464">
        <f t="shared" si="2"/>
        <v>2765.957447</v>
      </c>
      <c r="H29" s="464">
        <f t="shared" si="7"/>
        <v>8.566666667</v>
      </c>
      <c r="I29" s="464">
        <f t="shared" si="3"/>
        <v>0</v>
      </c>
      <c r="J29" s="464">
        <f t="shared" si="4"/>
        <v>0</v>
      </c>
      <c r="K29" s="465">
        <f t="shared" si="5"/>
        <v>23695.03546</v>
      </c>
      <c r="L29" s="466"/>
      <c r="M29" s="465">
        <v>50000.0</v>
      </c>
      <c r="N29" s="465">
        <f t="shared" si="8"/>
        <v>1198.58156</v>
      </c>
      <c r="O29" s="465">
        <f t="shared" si="6"/>
        <v>-27503.5461</v>
      </c>
      <c r="P29" s="468" t="s">
        <v>18</v>
      </c>
    </row>
    <row r="30" ht="26.25" customHeight="1">
      <c r="A30" s="459">
        <v>45902.0</v>
      </c>
      <c r="B30" s="469" t="s">
        <v>17</v>
      </c>
      <c r="C30" s="461" t="str">
        <f t="shared" si="1"/>
        <v>الثلاثاء</v>
      </c>
      <c r="D30" s="462">
        <v>0.2604166666666667</v>
      </c>
      <c r="E30" s="462">
        <v>0.5715277777777777</v>
      </c>
      <c r="F30" s="463">
        <v>650000.0</v>
      </c>
      <c r="G30" s="464">
        <f t="shared" si="2"/>
        <v>2765.957447</v>
      </c>
      <c r="H30" s="464">
        <f t="shared" si="7"/>
        <v>7.466666667</v>
      </c>
      <c r="I30" s="464">
        <f t="shared" si="3"/>
        <v>0</v>
      </c>
      <c r="J30" s="464">
        <f t="shared" si="4"/>
        <v>0</v>
      </c>
      <c r="K30" s="465">
        <f t="shared" si="5"/>
        <v>20652.48227</v>
      </c>
      <c r="L30" s="465">
        <v>47000.0</v>
      </c>
      <c r="M30" s="466"/>
      <c r="N30" s="465">
        <v>778.0</v>
      </c>
      <c r="O30" s="465">
        <f t="shared" si="6"/>
        <v>66874.48227</v>
      </c>
      <c r="P30" s="467"/>
    </row>
    <row r="31" ht="26.25" customHeight="1">
      <c r="A31" s="459">
        <v>45903.0</v>
      </c>
      <c r="B31" s="460" t="s">
        <v>17</v>
      </c>
      <c r="C31" s="461" t="str">
        <f t="shared" si="1"/>
        <v>الأربعاء</v>
      </c>
      <c r="D31" s="462">
        <v>0.367361111115315</v>
      </c>
      <c r="E31" s="462">
        <v>0.8986111111111111</v>
      </c>
      <c r="F31" s="463">
        <v>650000.0</v>
      </c>
      <c r="G31" s="464">
        <f t="shared" si="2"/>
        <v>2765.957447</v>
      </c>
      <c r="H31" s="464">
        <f t="shared" si="7"/>
        <v>9.183333333</v>
      </c>
      <c r="I31" s="464">
        <f t="shared" si="3"/>
        <v>3.566666667</v>
      </c>
      <c r="J31" s="464">
        <f t="shared" si="4"/>
        <v>0</v>
      </c>
      <c r="K31" s="465">
        <f t="shared" si="5"/>
        <v>40198.58156</v>
      </c>
      <c r="L31" s="466"/>
      <c r="M31" s="466"/>
      <c r="N31" s="465">
        <f t="shared" ref="N31:N54" si="9">IF(C31="الجمعة",0,IF(D31&gt;TIME(9,0,0),(D31-TIME(9,0,0))*24*60*(G31/60),0))</f>
        <v>0</v>
      </c>
      <c r="O31" s="465">
        <f t="shared" si="6"/>
        <v>40198.58156</v>
      </c>
      <c r="P31" s="467"/>
    </row>
    <row r="32" ht="26.25" customHeight="1">
      <c r="A32" s="459">
        <v>45904.0</v>
      </c>
      <c r="B32" s="460" t="s">
        <v>17</v>
      </c>
      <c r="C32" s="461" t="str">
        <f t="shared" si="1"/>
        <v>الخميس</v>
      </c>
      <c r="D32" s="462">
        <v>0.375</v>
      </c>
      <c r="E32" s="462">
        <v>0.8958333333284827</v>
      </c>
      <c r="F32" s="463">
        <v>650000.0</v>
      </c>
      <c r="G32" s="464">
        <f t="shared" si="2"/>
        <v>2765.957447</v>
      </c>
      <c r="H32" s="464">
        <f t="shared" si="7"/>
        <v>9</v>
      </c>
      <c r="I32" s="464">
        <f t="shared" si="3"/>
        <v>3.5</v>
      </c>
      <c r="J32" s="464">
        <f t="shared" si="4"/>
        <v>0</v>
      </c>
      <c r="K32" s="465">
        <f t="shared" si="5"/>
        <v>39414.89362</v>
      </c>
      <c r="L32" s="466"/>
      <c r="M32" s="466"/>
      <c r="N32" s="465">
        <f t="shared" si="9"/>
        <v>0</v>
      </c>
      <c r="O32" s="465">
        <f t="shared" si="6"/>
        <v>39414.89362</v>
      </c>
      <c r="P32" s="467"/>
    </row>
    <row r="33" ht="26.25" customHeight="1">
      <c r="A33" s="459">
        <v>45905.0</v>
      </c>
      <c r="B33" s="460" t="s">
        <v>17</v>
      </c>
      <c r="C33" s="461" t="str">
        <f t="shared" si="1"/>
        <v>الجمعة</v>
      </c>
      <c r="D33" s="462">
        <v>0.4666666666666667</v>
      </c>
      <c r="E33" s="462">
        <v>0.9791666666715173</v>
      </c>
      <c r="F33" s="463">
        <v>650000.0</v>
      </c>
      <c r="G33" s="464">
        <f t="shared" si="2"/>
        <v>2765.957447</v>
      </c>
      <c r="H33" s="464">
        <f t="shared" si="7"/>
        <v>0</v>
      </c>
      <c r="I33" s="464">
        <f t="shared" si="3"/>
        <v>0</v>
      </c>
      <c r="J33" s="464">
        <f t="shared" si="4"/>
        <v>12.3</v>
      </c>
      <c r="K33" s="465">
        <f t="shared" si="5"/>
        <v>68042.55319</v>
      </c>
      <c r="L33" s="466"/>
      <c r="M33" s="466"/>
      <c r="N33" s="465">
        <f t="shared" si="9"/>
        <v>0</v>
      </c>
      <c r="O33" s="465">
        <f t="shared" si="6"/>
        <v>68042.55319</v>
      </c>
      <c r="P33" s="467"/>
    </row>
    <row r="34" ht="26.25" customHeight="1">
      <c r="A34" s="459">
        <v>45906.0</v>
      </c>
      <c r="B34" s="460" t="s">
        <v>17</v>
      </c>
      <c r="C34" s="461" t="str">
        <f t="shared" si="1"/>
        <v>السبت</v>
      </c>
      <c r="D34" s="462">
        <v>0.4048611111111111</v>
      </c>
      <c r="E34" s="462">
        <v>0.8958333333333334</v>
      </c>
      <c r="F34" s="463">
        <v>650000.0</v>
      </c>
      <c r="G34" s="464">
        <f t="shared" si="2"/>
        <v>2765.957447</v>
      </c>
      <c r="H34" s="464">
        <f t="shared" si="7"/>
        <v>8.283333333</v>
      </c>
      <c r="I34" s="464">
        <f t="shared" si="3"/>
        <v>3.5</v>
      </c>
      <c r="J34" s="464">
        <f t="shared" si="4"/>
        <v>0</v>
      </c>
      <c r="K34" s="465">
        <f t="shared" si="5"/>
        <v>37432.62411</v>
      </c>
      <c r="L34" s="466"/>
      <c r="M34" s="466"/>
      <c r="N34" s="465">
        <f t="shared" si="9"/>
        <v>1982.269504</v>
      </c>
      <c r="O34" s="465">
        <f t="shared" si="6"/>
        <v>35450.35461</v>
      </c>
      <c r="P34" s="467"/>
    </row>
    <row r="35" ht="26.25" customHeight="1">
      <c r="A35" s="459">
        <v>45907.0</v>
      </c>
      <c r="B35" s="460" t="s">
        <v>17</v>
      </c>
      <c r="C35" s="461" t="str">
        <f t="shared" si="1"/>
        <v>الأحد</v>
      </c>
      <c r="D35" s="462">
        <v>0.40347222222222223</v>
      </c>
      <c r="E35" s="462">
        <v>0.9166666666666666</v>
      </c>
      <c r="F35" s="463">
        <v>650000.0</v>
      </c>
      <c r="G35" s="464">
        <f t="shared" si="2"/>
        <v>2765.957447</v>
      </c>
      <c r="H35" s="464">
        <f t="shared" si="7"/>
        <v>8.316666667</v>
      </c>
      <c r="I35" s="464">
        <f t="shared" si="3"/>
        <v>4</v>
      </c>
      <c r="J35" s="464">
        <f t="shared" si="4"/>
        <v>0</v>
      </c>
      <c r="K35" s="465">
        <f t="shared" si="5"/>
        <v>39599.29078</v>
      </c>
      <c r="L35" s="466"/>
      <c r="M35" s="466"/>
      <c r="N35" s="465">
        <f t="shared" si="9"/>
        <v>1890.070922</v>
      </c>
      <c r="O35" s="465">
        <f t="shared" si="6"/>
        <v>37709.21986</v>
      </c>
      <c r="P35" s="467"/>
    </row>
    <row r="36" ht="26.25" customHeight="1">
      <c r="A36" s="459">
        <v>45908.0</v>
      </c>
      <c r="B36" s="460" t="s">
        <v>17</v>
      </c>
      <c r="C36" s="461" t="str">
        <f t="shared" si="1"/>
        <v>الاثنين</v>
      </c>
      <c r="D36" s="462">
        <v>0.3909722222222222</v>
      </c>
      <c r="E36" s="462">
        <v>0.9993055555555556</v>
      </c>
      <c r="F36" s="463">
        <v>650000.0</v>
      </c>
      <c r="G36" s="464">
        <f t="shared" si="2"/>
        <v>2765.957447</v>
      </c>
      <c r="H36" s="464">
        <f t="shared" si="7"/>
        <v>8.616666667</v>
      </c>
      <c r="I36" s="464">
        <f t="shared" si="3"/>
        <v>5.983333333</v>
      </c>
      <c r="J36" s="464">
        <f t="shared" si="4"/>
        <v>0</v>
      </c>
      <c r="K36" s="465">
        <f t="shared" si="5"/>
        <v>48657.80142</v>
      </c>
      <c r="L36" s="466"/>
      <c r="M36" s="466"/>
      <c r="N36" s="465">
        <f t="shared" si="9"/>
        <v>1060.283688</v>
      </c>
      <c r="O36" s="465">
        <f t="shared" si="6"/>
        <v>47597.51773</v>
      </c>
      <c r="P36" s="467"/>
    </row>
    <row r="37" ht="26.25" customHeight="1">
      <c r="A37" s="459">
        <v>45909.0</v>
      </c>
      <c r="B37" s="460" t="s">
        <v>17</v>
      </c>
      <c r="C37" s="461" t="str">
        <f t="shared" si="1"/>
        <v>الثلاثاء</v>
      </c>
      <c r="D37" s="462">
        <v>0.375</v>
      </c>
      <c r="E37" s="462">
        <v>0.7743055555555556</v>
      </c>
      <c r="F37" s="463">
        <v>650000.0</v>
      </c>
      <c r="G37" s="464">
        <f t="shared" si="2"/>
        <v>2765.957447</v>
      </c>
      <c r="H37" s="464">
        <f t="shared" si="7"/>
        <v>9</v>
      </c>
      <c r="I37" s="464">
        <f t="shared" si="3"/>
        <v>0.5833333333</v>
      </c>
      <c r="J37" s="464">
        <f t="shared" si="4"/>
        <v>0</v>
      </c>
      <c r="K37" s="465">
        <f t="shared" si="5"/>
        <v>27313.82979</v>
      </c>
      <c r="L37" s="466"/>
      <c r="M37" s="466"/>
      <c r="N37" s="465">
        <f t="shared" si="9"/>
        <v>0</v>
      </c>
      <c r="O37" s="465">
        <f t="shared" si="6"/>
        <v>27313.82979</v>
      </c>
      <c r="P37" s="467"/>
    </row>
    <row r="38" ht="26.25" customHeight="1">
      <c r="A38" s="459">
        <v>45910.0</v>
      </c>
      <c r="B38" s="460" t="s">
        <v>17</v>
      </c>
      <c r="C38" s="461" t="str">
        <f t="shared" si="1"/>
        <v>الأربعاء</v>
      </c>
      <c r="D38" s="462">
        <v>0.375</v>
      </c>
      <c r="E38" s="462">
        <v>0.9993055555555556</v>
      </c>
      <c r="F38" s="463">
        <v>650000.0</v>
      </c>
      <c r="G38" s="464">
        <f t="shared" si="2"/>
        <v>2765.957447</v>
      </c>
      <c r="H38" s="464">
        <f t="shared" si="7"/>
        <v>9</v>
      </c>
      <c r="I38" s="464">
        <f t="shared" si="3"/>
        <v>5.983333333</v>
      </c>
      <c r="J38" s="464">
        <f t="shared" si="4"/>
        <v>0</v>
      </c>
      <c r="K38" s="465">
        <f t="shared" si="5"/>
        <v>49718.08511</v>
      </c>
      <c r="L38" s="466"/>
      <c r="M38" s="466"/>
      <c r="N38" s="465">
        <f t="shared" si="9"/>
        <v>0</v>
      </c>
      <c r="O38" s="465">
        <f t="shared" si="6"/>
        <v>49718.08511</v>
      </c>
      <c r="P38" s="470"/>
    </row>
    <row r="39" ht="26.25" customHeight="1">
      <c r="A39" s="459">
        <v>45911.0</v>
      </c>
      <c r="B39" s="460" t="s">
        <v>17</v>
      </c>
      <c r="C39" s="461" t="str">
        <f t="shared" si="1"/>
        <v>الخميس</v>
      </c>
      <c r="D39" s="462">
        <v>0.41875</v>
      </c>
      <c r="E39" s="462">
        <v>0.9993055555555556</v>
      </c>
      <c r="F39" s="463">
        <v>650000.0</v>
      </c>
      <c r="G39" s="464">
        <f t="shared" si="2"/>
        <v>2765.957447</v>
      </c>
      <c r="H39" s="464">
        <f t="shared" si="7"/>
        <v>7.95</v>
      </c>
      <c r="I39" s="464">
        <f t="shared" si="3"/>
        <v>5.983333333</v>
      </c>
      <c r="J39" s="464">
        <f t="shared" si="4"/>
        <v>0</v>
      </c>
      <c r="K39" s="465">
        <f t="shared" si="5"/>
        <v>46813.82979</v>
      </c>
      <c r="L39" s="466"/>
      <c r="M39" s="465">
        <v>50000.0</v>
      </c>
      <c r="N39" s="465">
        <f t="shared" si="9"/>
        <v>2904.255319</v>
      </c>
      <c r="O39" s="465">
        <f t="shared" si="6"/>
        <v>-6090.425532</v>
      </c>
      <c r="P39" s="470"/>
    </row>
    <row r="40" ht="26.25" customHeight="1">
      <c r="A40" s="459">
        <v>45912.0</v>
      </c>
      <c r="B40" s="460" t="s">
        <v>17</v>
      </c>
      <c r="C40" s="461" t="str">
        <f t="shared" si="1"/>
        <v>الجمعة</v>
      </c>
      <c r="D40" s="462">
        <v>0.375</v>
      </c>
      <c r="E40" s="462">
        <v>0.9993055555555556</v>
      </c>
      <c r="F40" s="463">
        <v>650000.0</v>
      </c>
      <c r="G40" s="464">
        <f t="shared" si="2"/>
        <v>2765.957447</v>
      </c>
      <c r="H40" s="464">
        <f t="shared" si="7"/>
        <v>0</v>
      </c>
      <c r="I40" s="464">
        <f t="shared" si="3"/>
        <v>0</v>
      </c>
      <c r="J40" s="464">
        <f t="shared" si="4"/>
        <v>14.98333333</v>
      </c>
      <c r="K40" s="465">
        <f t="shared" si="5"/>
        <v>82886.52482</v>
      </c>
      <c r="L40" s="466"/>
      <c r="M40" s="466"/>
      <c r="N40" s="465">
        <f t="shared" si="9"/>
        <v>0</v>
      </c>
      <c r="O40" s="465">
        <f t="shared" si="6"/>
        <v>82886.52482</v>
      </c>
      <c r="P40" s="467"/>
    </row>
    <row r="41" ht="26.25" customHeight="1">
      <c r="A41" s="459">
        <v>45914.0</v>
      </c>
      <c r="B41" s="460" t="s">
        <v>17</v>
      </c>
      <c r="C41" s="461" t="str">
        <f t="shared" si="1"/>
        <v>الأحد</v>
      </c>
      <c r="D41" s="462">
        <v>0.34305555555555556</v>
      </c>
      <c r="E41" s="462">
        <v>0.75</v>
      </c>
      <c r="F41" s="463">
        <v>650000.0</v>
      </c>
      <c r="G41" s="464">
        <f t="shared" si="2"/>
        <v>2765.957447</v>
      </c>
      <c r="H41" s="464">
        <f t="shared" si="7"/>
        <v>9.766666667</v>
      </c>
      <c r="I41" s="464">
        <f t="shared" si="3"/>
        <v>0</v>
      </c>
      <c r="J41" s="464">
        <f t="shared" si="4"/>
        <v>0</v>
      </c>
      <c r="K41" s="465">
        <f t="shared" si="5"/>
        <v>27014.1844</v>
      </c>
      <c r="L41" s="466"/>
      <c r="M41" s="465">
        <v>75000.0</v>
      </c>
      <c r="N41" s="465">
        <f t="shared" si="9"/>
        <v>0</v>
      </c>
      <c r="O41" s="465">
        <f t="shared" si="6"/>
        <v>-47985.8156</v>
      </c>
      <c r="P41" s="470"/>
    </row>
    <row r="42" ht="26.25" customHeight="1">
      <c r="A42" s="459">
        <v>45915.0</v>
      </c>
      <c r="B42" s="460" t="s">
        <v>17</v>
      </c>
      <c r="C42" s="461" t="str">
        <f t="shared" si="1"/>
        <v>الاثنين</v>
      </c>
      <c r="D42" s="462">
        <v>0.39375</v>
      </c>
      <c r="E42" s="462">
        <v>0.75</v>
      </c>
      <c r="F42" s="463">
        <v>650000.0</v>
      </c>
      <c r="G42" s="464">
        <f t="shared" si="2"/>
        <v>2765.957447</v>
      </c>
      <c r="H42" s="464">
        <f t="shared" si="7"/>
        <v>8.55</v>
      </c>
      <c r="I42" s="464">
        <f t="shared" si="3"/>
        <v>0</v>
      </c>
      <c r="J42" s="464">
        <f t="shared" si="4"/>
        <v>0</v>
      </c>
      <c r="K42" s="465">
        <f t="shared" si="5"/>
        <v>23648.93617</v>
      </c>
      <c r="L42" s="466"/>
      <c r="M42" s="466"/>
      <c r="N42" s="465">
        <f t="shared" si="9"/>
        <v>1244.680851</v>
      </c>
      <c r="O42" s="465">
        <f t="shared" si="6"/>
        <v>22404.25532</v>
      </c>
      <c r="P42" s="467"/>
    </row>
    <row r="43" ht="26.25" customHeight="1">
      <c r="A43" s="459">
        <v>45916.0</v>
      </c>
      <c r="B43" s="460" t="s">
        <v>17</v>
      </c>
      <c r="C43" s="461" t="str">
        <f t="shared" si="1"/>
        <v>الثلاثاء</v>
      </c>
      <c r="D43" s="462">
        <v>0.34791666666666665</v>
      </c>
      <c r="E43" s="462">
        <v>0.7729166666666667</v>
      </c>
      <c r="F43" s="463">
        <v>650000.0</v>
      </c>
      <c r="G43" s="464">
        <f t="shared" si="2"/>
        <v>2765.957447</v>
      </c>
      <c r="H43" s="464">
        <f t="shared" si="7"/>
        <v>9.65</v>
      </c>
      <c r="I43" s="464">
        <f t="shared" si="3"/>
        <v>0.55</v>
      </c>
      <c r="J43" s="464">
        <f t="shared" si="4"/>
        <v>0</v>
      </c>
      <c r="K43" s="465">
        <f t="shared" si="5"/>
        <v>28973.40426</v>
      </c>
      <c r="L43" s="466"/>
      <c r="M43" s="466"/>
      <c r="N43" s="465">
        <f t="shared" si="9"/>
        <v>0</v>
      </c>
      <c r="O43" s="465">
        <f t="shared" si="6"/>
        <v>28973.40426</v>
      </c>
      <c r="P43" s="467"/>
    </row>
    <row r="44" ht="26.25" customHeight="1">
      <c r="A44" s="459">
        <v>45917.0</v>
      </c>
      <c r="B44" s="460" t="s">
        <v>17</v>
      </c>
      <c r="C44" s="461" t="str">
        <f t="shared" si="1"/>
        <v>الأربعاء</v>
      </c>
      <c r="D44" s="462">
        <v>0.375</v>
      </c>
      <c r="E44" s="462">
        <v>0.89375</v>
      </c>
      <c r="F44" s="463">
        <v>650000.0</v>
      </c>
      <c r="G44" s="464">
        <f t="shared" si="2"/>
        <v>2765.957447</v>
      </c>
      <c r="H44" s="464">
        <f t="shared" si="7"/>
        <v>9</v>
      </c>
      <c r="I44" s="464">
        <f t="shared" si="3"/>
        <v>3.45</v>
      </c>
      <c r="J44" s="464">
        <f t="shared" si="4"/>
        <v>0</v>
      </c>
      <c r="K44" s="465">
        <f t="shared" si="5"/>
        <v>39207.44681</v>
      </c>
      <c r="L44" s="466"/>
      <c r="M44" s="466"/>
      <c r="N44" s="465">
        <f t="shared" si="9"/>
        <v>0</v>
      </c>
      <c r="O44" s="465">
        <f t="shared" si="6"/>
        <v>39207.44681</v>
      </c>
      <c r="P44" s="467"/>
    </row>
    <row r="45" ht="26.25" customHeight="1">
      <c r="A45" s="459">
        <v>45918.0</v>
      </c>
      <c r="B45" s="460" t="s">
        <v>17</v>
      </c>
      <c r="C45" s="461" t="str">
        <f t="shared" si="1"/>
        <v>الخميس</v>
      </c>
      <c r="D45" s="462">
        <v>0.3951388888888889</v>
      </c>
      <c r="E45" s="462">
        <v>0.9993055555555556</v>
      </c>
      <c r="F45" s="463">
        <v>650000.0</v>
      </c>
      <c r="G45" s="464">
        <f t="shared" si="2"/>
        <v>2765.957447</v>
      </c>
      <c r="H45" s="464">
        <f t="shared" si="7"/>
        <v>8.516666667</v>
      </c>
      <c r="I45" s="464">
        <f t="shared" si="3"/>
        <v>5.983333333</v>
      </c>
      <c r="J45" s="464">
        <f t="shared" si="4"/>
        <v>0</v>
      </c>
      <c r="K45" s="465">
        <f t="shared" si="5"/>
        <v>48381.20567</v>
      </c>
      <c r="L45" s="466"/>
      <c r="M45" s="465">
        <v>5000.0</v>
      </c>
      <c r="N45" s="465">
        <f t="shared" si="9"/>
        <v>1336.879433</v>
      </c>
      <c r="O45" s="465">
        <f t="shared" si="6"/>
        <v>42044.32624</v>
      </c>
      <c r="P45" s="467"/>
    </row>
    <row r="46" ht="26.25" customHeight="1">
      <c r="A46" s="459">
        <v>45919.0</v>
      </c>
      <c r="B46" s="460" t="s">
        <v>17</v>
      </c>
      <c r="C46" s="461" t="str">
        <f t="shared" si="1"/>
        <v>الجمعة</v>
      </c>
      <c r="D46" s="462">
        <v>0.0</v>
      </c>
      <c r="E46" s="462">
        <v>0.125</v>
      </c>
      <c r="F46" s="463">
        <v>650000.0</v>
      </c>
      <c r="G46" s="464">
        <f t="shared" si="2"/>
        <v>2765.957447</v>
      </c>
      <c r="H46" s="464">
        <f t="shared" si="7"/>
        <v>0</v>
      </c>
      <c r="I46" s="464">
        <f t="shared" si="3"/>
        <v>0</v>
      </c>
      <c r="J46" s="464">
        <f t="shared" si="4"/>
        <v>3</v>
      </c>
      <c r="K46" s="465">
        <f t="shared" si="5"/>
        <v>16595.74468</v>
      </c>
      <c r="L46" s="466"/>
      <c r="M46" s="466"/>
      <c r="N46" s="465">
        <f t="shared" si="9"/>
        <v>0</v>
      </c>
      <c r="O46" s="465">
        <f t="shared" si="6"/>
        <v>16595.74468</v>
      </c>
      <c r="P46" s="467"/>
    </row>
    <row r="47" ht="26.25" customHeight="1">
      <c r="A47" s="459">
        <v>45920.0</v>
      </c>
      <c r="B47" s="460" t="s">
        <v>17</v>
      </c>
      <c r="C47" s="461" t="str">
        <f t="shared" si="1"/>
        <v>السبت</v>
      </c>
      <c r="D47" s="462">
        <v>0.3923611111111111</v>
      </c>
      <c r="E47" s="462">
        <v>0.6840277777777778</v>
      </c>
      <c r="F47" s="463">
        <v>650000.0</v>
      </c>
      <c r="G47" s="464">
        <f t="shared" si="2"/>
        <v>2765.957447</v>
      </c>
      <c r="H47" s="464">
        <f t="shared" si="7"/>
        <v>7</v>
      </c>
      <c r="I47" s="464">
        <f t="shared" si="3"/>
        <v>0</v>
      </c>
      <c r="J47" s="464">
        <f t="shared" si="4"/>
        <v>0</v>
      </c>
      <c r="K47" s="465">
        <f t="shared" si="5"/>
        <v>19361.70213</v>
      </c>
      <c r="L47" s="466"/>
      <c r="M47" s="466"/>
      <c r="N47" s="465">
        <f t="shared" si="9"/>
        <v>1152.48227</v>
      </c>
      <c r="O47" s="465">
        <f t="shared" si="6"/>
        <v>18209.21986</v>
      </c>
      <c r="P47" s="470"/>
    </row>
    <row r="48" ht="26.25" customHeight="1">
      <c r="A48" s="459">
        <v>45923.0</v>
      </c>
      <c r="B48" s="460" t="s">
        <v>17</v>
      </c>
      <c r="C48" s="461" t="str">
        <f t="shared" si="1"/>
        <v>الثلاثاء</v>
      </c>
      <c r="D48" s="462">
        <v>0.39166666666666666</v>
      </c>
      <c r="E48" s="462">
        <v>0.6694444444444444</v>
      </c>
      <c r="F48" s="463">
        <v>650000.0</v>
      </c>
      <c r="G48" s="464">
        <f t="shared" si="2"/>
        <v>2765.957447</v>
      </c>
      <c r="H48" s="464">
        <f t="shared" si="7"/>
        <v>6.666666667</v>
      </c>
      <c r="I48" s="464">
        <f t="shared" si="3"/>
        <v>0</v>
      </c>
      <c r="J48" s="464">
        <f t="shared" si="4"/>
        <v>0</v>
      </c>
      <c r="K48" s="465">
        <f t="shared" si="5"/>
        <v>18439.71631</v>
      </c>
      <c r="L48" s="466"/>
      <c r="M48" s="465">
        <v>100000.0</v>
      </c>
      <c r="N48" s="465">
        <f t="shared" si="9"/>
        <v>1106.382979</v>
      </c>
      <c r="O48" s="465">
        <f t="shared" si="6"/>
        <v>-82666.66667</v>
      </c>
      <c r="P48" s="467"/>
    </row>
    <row r="49" ht="26.25" customHeight="1">
      <c r="A49" s="459">
        <v>45924.0</v>
      </c>
      <c r="B49" s="460" t="s">
        <v>17</v>
      </c>
      <c r="C49" s="461" t="str">
        <f t="shared" si="1"/>
        <v>الأربعاء</v>
      </c>
      <c r="D49" s="462">
        <v>0.4263888888888889</v>
      </c>
      <c r="E49" s="462">
        <v>0.6951388888888889</v>
      </c>
      <c r="F49" s="463">
        <v>650000.0</v>
      </c>
      <c r="G49" s="464">
        <f t="shared" si="2"/>
        <v>2765.957447</v>
      </c>
      <c r="H49" s="464">
        <f t="shared" si="7"/>
        <v>6.45</v>
      </c>
      <c r="I49" s="464">
        <f t="shared" si="3"/>
        <v>0</v>
      </c>
      <c r="J49" s="464">
        <f t="shared" si="4"/>
        <v>0</v>
      </c>
      <c r="K49" s="465">
        <f t="shared" si="5"/>
        <v>17840.42553</v>
      </c>
      <c r="L49" s="466"/>
      <c r="M49" s="466"/>
      <c r="N49" s="465">
        <f t="shared" si="9"/>
        <v>3411.347518</v>
      </c>
      <c r="O49" s="465">
        <f t="shared" si="6"/>
        <v>14429.07801</v>
      </c>
      <c r="P49" s="467"/>
    </row>
    <row r="50" ht="26.25" customHeight="1">
      <c r="A50" s="459">
        <v>45927.0</v>
      </c>
      <c r="B50" s="460" t="s">
        <v>17</v>
      </c>
      <c r="C50" s="461" t="str">
        <f t="shared" si="1"/>
        <v>السبت</v>
      </c>
      <c r="D50" s="462">
        <v>0.4048611111111111</v>
      </c>
      <c r="E50" s="462">
        <v>0.7569444444444444</v>
      </c>
      <c r="F50" s="463">
        <v>650000.0</v>
      </c>
      <c r="G50" s="464">
        <f t="shared" si="2"/>
        <v>2765.957447</v>
      </c>
      <c r="H50" s="464">
        <f t="shared" si="7"/>
        <v>8.283333333</v>
      </c>
      <c r="I50" s="464">
        <f t="shared" si="3"/>
        <v>0.1666666667</v>
      </c>
      <c r="J50" s="464">
        <f t="shared" si="4"/>
        <v>0</v>
      </c>
      <c r="K50" s="465">
        <f t="shared" si="5"/>
        <v>23602.83688</v>
      </c>
      <c r="L50" s="466"/>
      <c r="M50" s="466"/>
      <c r="N50" s="465">
        <f t="shared" si="9"/>
        <v>1982.269504</v>
      </c>
      <c r="O50" s="465">
        <f t="shared" si="6"/>
        <v>21620.56738</v>
      </c>
      <c r="P50" s="467"/>
    </row>
    <row r="51" ht="26.25" customHeight="1">
      <c r="A51" s="459">
        <v>45928.0</v>
      </c>
      <c r="B51" s="460" t="s">
        <v>17</v>
      </c>
      <c r="C51" s="461" t="str">
        <f t="shared" si="1"/>
        <v>الأحد</v>
      </c>
      <c r="D51" s="462">
        <v>0.4263888888888889</v>
      </c>
      <c r="E51" s="462">
        <v>0.7527777777777778</v>
      </c>
      <c r="F51" s="463">
        <v>650000.0</v>
      </c>
      <c r="G51" s="464">
        <f t="shared" si="2"/>
        <v>2765.957447</v>
      </c>
      <c r="H51" s="464">
        <f t="shared" si="7"/>
        <v>7.766666667</v>
      </c>
      <c r="I51" s="464">
        <f t="shared" si="3"/>
        <v>0.06666666667</v>
      </c>
      <c r="J51" s="464">
        <f t="shared" si="4"/>
        <v>0</v>
      </c>
      <c r="K51" s="465">
        <f t="shared" si="5"/>
        <v>21758.86525</v>
      </c>
      <c r="L51" s="466"/>
      <c r="M51" s="466"/>
      <c r="N51" s="465">
        <f t="shared" si="9"/>
        <v>3411.347518</v>
      </c>
      <c r="O51" s="465">
        <f t="shared" si="6"/>
        <v>18347.51773</v>
      </c>
      <c r="P51" s="467"/>
    </row>
    <row r="52" ht="26.25" customHeight="1">
      <c r="A52" s="459">
        <v>45929.0</v>
      </c>
      <c r="B52" s="460" t="s">
        <v>17</v>
      </c>
      <c r="C52" s="461" t="str">
        <f t="shared" si="1"/>
        <v>الاثنين</v>
      </c>
      <c r="D52" s="462">
        <v>0.42291666666666666</v>
      </c>
      <c r="E52" s="462">
        <v>0.8236111111111111</v>
      </c>
      <c r="F52" s="463">
        <v>650000.0</v>
      </c>
      <c r="G52" s="464">
        <f t="shared" si="2"/>
        <v>2765.957447</v>
      </c>
      <c r="H52" s="464">
        <f t="shared" si="7"/>
        <v>7.85</v>
      </c>
      <c r="I52" s="464">
        <f t="shared" si="3"/>
        <v>1.766666667</v>
      </c>
      <c r="J52" s="464">
        <f t="shared" si="4"/>
        <v>0</v>
      </c>
      <c r="K52" s="465">
        <f t="shared" si="5"/>
        <v>29042.55319</v>
      </c>
      <c r="L52" s="466"/>
      <c r="M52" s="466"/>
      <c r="N52" s="465">
        <f t="shared" si="9"/>
        <v>3180.851064</v>
      </c>
      <c r="O52" s="465">
        <f t="shared" si="6"/>
        <v>25861.70213</v>
      </c>
      <c r="P52" s="467"/>
    </row>
    <row r="53" ht="26.25" customHeight="1">
      <c r="A53" s="459">
        <v>45930.0</v>
      </c>
      <c r="B53" s="460" t="s">
        <v>17</v>
      </c>
      <c r="C53" s="461" t="str">
        <f t="shared" si="1"/>
        <v>الثلاثاء</v>
      </c>
      <c r="D53" s="462">
        <v>0.3993055555555556</v>
      </c>
      <c r="E53" s="462">
        <v>0.7854166666666667</v>
      </c>
      <c r="F53" s="463">
        <v>650000.0</v>
      </c>
      <c r="G53" s="464">
        <f t="shared" si="2"/>
        <v>2765.957447</v>
      </c>
      <c r="H53" s="464">
        <f t="shared" si="7"/>
        <v>8.416666667</v>
      </c>
      <c r="I53" s="464">
        <f t="shared" si="3"/>
        <v>0.85</v>
      </c>
      <c r="J53" s="464">
        <f t="shared" si="4"/>
        <v>0</v>
      </c>
      <c r="K53" s="465">
        <f t="shared" si="5"/>
        <v>26806.73759</v>
      </c>
      <c r="L53" s="466"/>
      <c r="M53" s="466"/>
      <c r="N53" s="465">
        <f t="shared" si="9"/>
        <v>1613.475177</v>
      </c>
      <c r="O53" s="465">
        <f t="shared" si="6"/>
        <v>25193.26241</v>
      </c>
      <c r="P53" s="467"/>
    </row>
    <row r="54" ht="26.25" customHeight="1">
      <c r="A54" s="459">
        <v>45901.0</v>
      </c>
      <c r="B54" s="460" t="s">
        <v>20</v>
      </c>
      <c r="C54" s="461" t="str">
        <f t="shared" si="1"/>
        <v>الاثنين</v>
      </c>
      <c r="D54" s="462">
        <v>0.43680555555555556</v>
      </c>
      <c r="E54" s="462">
        <v>0.75</v>
      </c>
      <c r="F54" s="463">
        <v>400000.0</v>
      </c>
      <c r="G54" s="464">
        <f t="shared" si="2"/>
        <v>1702.12766</v>
      </c>
      <c r="H54" s="464">
        <f t="shared" si="7"/>
        <v>7.516666667</v>
      </c>
      <c r="I54" s="464">
        <f t="shared" si="3"/>
        <v>0</v>
      </c>
      <c r="J54" s="464">
        <f t="shared" si="4"/>
        <v>0</v>
      </c>
      <c r="K54" s="465">
        <f t="shared" si="5"/>
        <v>12794.32624</v>
      </c>
      <c r="L54" s="466"/>
      <c r="M54" s="466"/>
      <c r="N54" s="465">
        <f t="shared" si="9"/>
        <v>2524.822695</v>
      </c>
      <c r="O54" s="465">
        <f t="shared" si="6"/>
        <v>10269.50355</v>
      </c>
      <c r="P54" s="467"/>
    </row>
    <row r="55" ht="26.25" customHeight="1">
      <c r="A55" s="459">
        <v>45902.0</v>
      </c>
      <c r="B55" s="460" t="s">
        <v>20</v>
      </c>
      <c r="C55" s="461" t="str">
        <f t="shared" si="1"/>
        <v>الثلاثاء</v>
      </c>
      <c r="D55" s="462">
        <v>0.35208333333333336</v>
      </c>
      <c r="E55" s="462">
        <v>0.75</v>
      </c>
      <c r="F55" s="463">
        <v>400000.0</v>
      </c>
      <c r="G55" s="464">
        <f t="shared" si="2"/>
        <v>1702.12766</v>
      </c>
      <c r="H55" s="464">
        <f t="shared" si="7"/>
        <v>9.55</v>
      </c>
      <c r="I55" s="464">
        <f t="shared" si="3"/>
        <v>0</v>
      </c>
      <c r="J55" s="464">
        <f t="shared" si="4"/>
        <v>0</v>
      </c>
      <c r="K55" s="465">
        <f t="shared" si="5"/>
        <v>16255.31915</v>
      </c>
      <c r="L55" s="466"/>
      <c r="M55" s="466"/>
      <c r="N55" s="465">
        <v>10000.0</v>
      </c>
      <c r="O55" s="465">
        <f t="shared" si="6"/>
        <v>6255.319149</v>
      </c>
      <c r="P55" s="468" t="s">
        <v>2478</v>
      </c>
    </row>
    <row r="56" ht="26.25" customHeight="1">
      <c r="A56" s="459">
        <v>45903.0</v>
      </c>
      <c r="B56" s="460" t="s">
        <v>20</v>
      </c>
      <c r="C56" s="461" t="str">
        <f t="shared" si="1"/>
        <v>الأربعاء</v>
      </c>
      <c r="D56" s="462">
        <v>0.2791666666666667</v>
      </c>
      <c r="E56" s="462">
        <v>0.75</v>
      </c>
      <c r="F56" s="463">
        <v>400000.0</v>
      </c>
      <c r="G56" s="464">
        <f t="shared" si="2"/>
        <v>1702.12766</v>
      </c>
      <c r="H56" s="464">
        <f t="shared" si="7"/>
        <v>11.3</v>
      </c>
      <c r="I56" s="464">
        <f t="shared" si="3"/>
        <v>0</v>
      </c>
      <c r="J56" s="464">
        <f t="shared" si="4"/>
        <v>0</v>
      </c>
      <c r="K56" s="465">
        <f t="shared" si="5"/>
        <v>19234.04255</v>
      </c>
      <c r="L56" s="465">
        <v>35000.0</v>
      </c>
      <c r="M56" s="466"/>
      <c r="N56" s="465">
        <v>11000.0</v>
      </c>
      <c r="O56" s="465">
        <f t="shared" si="6"/>
        <v>43234.04255</v>
      </c>
      <c r="P56" s="468" t="s">
        <v>2479</v>
      </c>
    </row>
    <row r="57" ht="26.25" customHeight="1">
      <c r="A57" s="459">
        <v>45904.0</v>
      </c>
      <c r="B57" s="460" t="s">
        <v>20</v>
      </c>
      <c r="C57" s="461" t="str">
        <f t="shared" si="1"/>
        <v>الخميس</v>
      </c>
      <c r="D57" s="462">
        <v>0.375</v>
      </c>
      <c r="E57" s="462">
        <v>0.46805555555555556</v>
      </c>
      <c r="F57" s="463">
        <v>400000.0</v>
      </c>
      <c r="G57" s="464">
        <f t="shared" si="2"/>
        <v>1702.12766</v>
      </c>
      <c r="H57" s="464">
        <f t="shared" si="7"/>
        <v>2.233333333</v>
      </c>
      <c r="I57" s="464">
        <f t="shared" si="3"/>
        <v>0</v>
      </c>
      <c r="J57" s="464">
        <f t="shared" si="4"/>
        <v>0</v>
      </c>
      <c r="K57" s="465">
        <f t="shared" si="5"/>
        <v>3801.41844</v>
      </c>
      <c r="L57" s="466"/>
      <c r="M57" s="465">
        <v>50000.0</v>
      </c>
      <c r="N57" s="465">
        <f t="shared" ref="N57:N85" si="10">IF(C57="الجمعة",0,IF(D57&gt;TIME(9,0,0),(D57-TIME(9,0,0))*24*60*(G57/60),0))</f>
        <v>0</v>
      </c>
      <c r="O57" s="465">
        <f t="shared" si="6"/>
        <v>-46198.58156</v>
      </c>
      <c r="P57" s="467"/>
    </row>
    <row r="58" ht="26.25" customHeight="1">
      <c r="A58" s="459">
        <v>45905.0</v>
      </c>
      <c r="B58" s="460" t="s">
        <v>20</v>
      </c>
      <c r="C58" s="461" t="str">
        <f t="shared" si="1"/>
        <v>الجمعة</v>
      </c>
      <c r="D58" s="462">
        <v>0.75</v>
      </c>
      <c r="E58" s="462">
        <v>0.9993055555555556</v>
      </c>
      <c r="F58" s="463">
        <v>400000.0</v>
      </c>
      <c r="G58" s="464">
        <f t="shared" si="2"/>
        <v>1702.12766</v>
      </c>
      <c r="H58" s="464">
        <f t="shared" si="7"/>
        <v>0</v>
      </c>
      <c r="I58" s="464">
        <f t="shared" si="3"/>
        <v>0</v>
      </c>
      <c r="J58" s="464">
        <f t="shared" si="4"/>
        <v>5.983333333</v>
      </c>
      <c r="K58" s="465">
        <f t="shared" si="5"/>
        <v>20368.79433</v>
      </c>
      <c r="L58" s="466"/>
      <c r="M58" s="465">
        <v>50000.0</v>
      </c>
      <c r="N58" s="465">
        <f t="shared" si="10"/>
        <v>0</v>
      </c>
      <c r="O58" s="465">
        <f t="shared" si="6"/>
        <v>-29631.20567</v>
      </c>
      <c r="P58" s="468" t="s">
        <v>2480</v>
      </c>
    </row>
    <row r="59" ht="26.25" customHeight="1">
      <c r="A59" s="459">
        <v>45906.0</v>
      </c>
      <c r="B59" s="460" t="s">
        <v>20</v>
      </c>
      <c r="C59" s="461" t="str">
        <f t="shared" si="1"/>
        <v>السبت</v>
      </c>
      <c r="D59" s="462">
        <v>0.4041666666666667</v>
      </c>
      <c r="E59" s="462">
        <v>0.7833333333333333</v>
      </c>
      <c r="F59" s="463">
        <v>400000.0</v>
      </c>
      <c r="G59" s="464">
        <f t="shared" si="2"/>
        <v>1702.12766</v>
      </c>
      <c r="H59" s="464">
        <f t="shared" si="7"/>
        <v>8.3</v>
      </c>
      <c r="I59" s="464">
        <f t="shared" si="3"/>
        <v>0.8</v>
      </c>
      <c r="J59" s="464">
        <f t="shared" si="4"/>
        <v>0</v>
      </c>
      <c r="K59" s="465">
        <f t="shared" si="5"/>
        <v>16170.21277</v>
      </c>
      <c r="L59" s="466"/>
      <c r="M59" s="466"/>
      <c r="N59" s="465">
        <f t="shared" si="10"/>
        <v>1191.489362</v>
      </c>
      <c r="O59" s="465">
        <f t="shared" si="6"/>
        <v>14978.7234</v>
      </c>
      <c r="P59" s="467"/>
    </row>
    <row r="60" ht="26.25" customHeight="1">
      <c r="A60" s="459">
        <v>45907.0</v>
      </c>
      <c r="B60" s="460" t="s">
        <v>20</v>
      </c>
      <c r="C60" s="461" t="str">
        <f t="shared" si="1"/>
        <v>الأحد</v>
      </c>
      <c r="D60" s="462">
        <v>0.38680555555555557</v>
      </c>
      <c r="E60" s="462">
        <v>0.9993055555555556</v>
      </c>
      <c r="F60" s="463">
        <v>400000.0</v>
      </c>
      <c r="G60" s="464">
        <f t="shared" si="2"/>
        <v>1702.12766</v>
      </c>
      <c r="H60" s="464">
        <f t="shared" si="7"/>
        <v>8.716666667</v>
      </c>
      <c r="I60" s="464">
        <f t="shared" si="3"/>
        <v>5.983333333</v>
      </c>
      <c r="J60" s="464">
        <f t="shared" si="4"/>
        <v>0</v>
      </c>
      <c r="K60" s="465">
        <f t="shared" si="5"/>
        <v>30113.47518</v>
      </c>
      <c r="L60" s="466"/>
      <c r="M60" s="466"/>
      <c r="N60" s="465">
        <f t="shared" si="10"/>
        <v>482.2695035</v>
      </c>
      <c r="O60" s="465">
        <f t="shared" si="6"/>
        <v>29631.20567</v>
      </c>
      <c r="P60" s="467"/>
    </row>
    <row r="61" ht="26.25" customHeight="1">
      <c r="A61" s="459">
        <v>45908.0</v>
      </c>
      <c r="B61" s="460" t="s">
        <v>20</v>
      </c>
      <c r="C61" s="461" t="str">
        <f t="shared" si="1"/>
        <v>الاثنين</v>
      </c>
      <c r="D61" s="462">
        <v>0.0</v>
      </c>
      <c r="E61" s="462">
        <v>0.7763888888888889</v>
      </c>
      <c r="F61" s="463">
        <v>400000.0</v>
      </c>
      <c r="G61" s="464">
        <f t="shared" si="2"/>
        <v>1702.12766</v>
      </c>
      <c r="H61" s="464">
        <f t="shared" si="7"/>
        <v>12</v>
      </c>
      <c r="I61" s="464">
        <f t="shared" si="3"/>
        <v>6.633333333</v>
      </c>
      <c r="J61" s="464">
        <f t="shared" si="4"/>
        <v>0</v>
      </c>
      <c r="K61" s="465">
        <f t="shared" si="5"/>
        <v>37361.70213</v>
      </c>
      <c r="L61" s="466"/>
      <c r="M61" s="466"/>
      <c r="N61" s="465">
        <f t="shared" si="10"/>
        <v>0</v>
      </c>
      <c r="O61" s="465">
        <f t="shared" si="6"/>
        <v>37361.70213</v>
      </c>
      <c r="P61" s="467"/>
    </row>
    <row r="62" ht="26.25" customHeight="1">
      <c r="A62" s="459">
        <v>45909.0</v>
      </c>
      <c r="B62" s="460" t="s">
        <v>20</v>
      </c>
      <c r="C62" s="461" t="str">
        <f t="shared" si="1"/>
        <v>الثلاثاء</v>
      </c>
      <c r="D62" s="462">
        <v>0.40902777777777777</v>
      </c>
      <c r="E62" s="462">
        <v>0.75</v>
      </c>
      <c r="F62" s="463">
        <v>400000.0</v>
      </c>
      <c r="G62" s="464">
        <f t="shared" si="2"/>
        <v>1702.12766</v>
      </c>
      <c r="H62" s="464">
        <f t="shared" si="7"/>
        <v>8.183333333</v>
      </c>
      <c r="I62" s="464">
        <f t="shared" si="3"/>
        <v>0</v>
      </c>
      <c r="J62" s="464">
        <f t="shared" si="4"/>
        <v>0</v>
      </c>
      <c r="K62" s="465">
        <f t="shared" si="5"/>
        <v>13929.07801</v>
      </c>
      <c r="L62" s="466"/>
      <c r="M62" s="466"/>
      <c r="N62" s="465">
        <f t="shared" si="10"/>
        <v>1390.070922</v>
      </c>
      <c r="O62" s="465">
        <f t="shared" si="6"/>
        <v>12539.00709</v>
      </c>
      <c r="P62" s="467"/>
    </row>
    <row r="63" ht="26.25" customHeight="1">
      <c r="A63" s="459">
        <v>45910.0</v>
      </c>
      <c r="B63" s="460" t="s">
        <v>20</v>
      </c>
      <c r="C63" s="461" t="str">
        <f t="shared" si="1"/>
        <v>الأربعاء</v>
      </c>
      <c r="D63" s="462">
        <v>0.4166666666666667</v>
      </c>
      <c r="E63" s="462">
        <v>0.9583333333333334</v>
      </c>
      <c r="F63" s="463">
        <v>400000.0</v>
      </c>
      <c r="G63" s="464">
        <f t="shared" si="2"/>
        <v>1702.12766</v>
      </c>
      <c r="H63" s="464">
        <f t="shared" si="7"/>
        <v>8</v>
      </c>
      <c r="I63" s="464">
        <f t="shared" si="3"/>
        <v>5</v>
      </c>
      <c r="J63" s="464">
        <f t="shared" si="4"/>
        <v>0</v>
      </c>
      <c r="K63" s="465">
        <f t="shared" si="5"/>
        <v>26382.97872</v>
      </c>
      <c r="L63" s="466"/>
      <c r="M63" s="466"/>
      <c r="N63" s="465">
        <f t="shared" si="10"/>
        <v>1702.12766</v>
      </c>
      <c r="O63" s="465">
        <f t="shared" si="6"/>
        <v>24680.85106</v>
      </c>
      <c r="P63" s="467"/>
    </row>
    <row r="64" ht="26.25" customHeight="1">
      <c r="A64" s="459">
        <v>45911.0</v>
      </c>
      <c r="B64" s="460" t="s">
        <v>20</v>
      </c>
      <c r="C64" s="461" t="str">
        <f t="shared" si="1"/>
        <v>الخميس</v>
      </c>
      <c r="D64" s="462">
        <v>0.4722222222222222</v>
      </c>
      <c r="E64" s="462">
        <v>0.9993055555555556</v>
      </c>
      <c r="F64" s="463">
        <v>400000.0</v>
      </c>
      <c r="G64" s="464">
        <f t="shared" si="2"/>
        <v>1702.12766</v>
      </c>
      <c r="H64" s="464">
        <f t="shared" si="7"/>
        <v>6.666666667</v>
      </c>
      <c r="I64" s="464">
        <f t="shared" si="3"/>
        <v>5.983333333</v>
      </c>
      <c r="J64" s="464">
        <f t="shared" si="4"/>
        <v>0</v>
      </c>
      <c r="K64" s="465">
        <f t="shared" si="5"/>
        <v>26624.11348</v>
      </c>
      <c r="L64" s="466"/>
      <c r="M64" s="465">
        <v>50000.0</v>
      </c>
      <c r="N64" s="465">
        <f t="shared" si="10"/>
        <v>3971.631206</v>
      </c>
      <c r="O64" s="465">
        <f t="shared" si="6"/>
        <v>-27347.51773</v>
      </c>
      <c r="P64" s="468" t="s">
        <v>19</v>
      </c>
    </row>
    <row r="65" ht="26.25" customHeight="1">
      <c r="A65" s="459">
        <v>45912.0</v>
      </c>
      <c r="B65" s="460" t="s">
        <v>20</v>
      </c>
      <c r="C65" s="461" t="str">
        <f t="shared" si="1"/>
        <v>الجمعة</v>
      </c>
      <c r="D65" s="462">
        <v>0.0</v>
      </c>
      <c r="E65" s="462">
        <v>0.75</v>
      </c>
      <c r="F65" s="463">
        <v>400000.0</v>
      </c>
      <c r="G65" s="464">
        <f t="shared" si="2"/>
        <v>1702.12766</v>
      </c>
      <c r="H65" s="464">
        <f t="shared" si="7"/>
        <v>0</v>
      </c>
      <c r="I65" s="464">
        <f t="shared" si="3"/>
        <v>0</v>
      </c>
      <c r="J65" s="464">
        <f t="shared" si="4"/>
        <v>18</v>
      </c>
      <c r="K65" s="465">
        <f t="shared" si="5"/>
        <v>61276.59574</v>
      </c>
      <c r="L65" s="466"/>
      <c r="M65" s="466"/>
      <c r="N65" s="465">
        <f t="shared" si="10"/>
        <v>0</v>
      </c>
      <c r="O65" s="465">
        <f t="shared" si="6"/>
        <v>61276.59574</v>
      </c>
      <c r="P65" s="467"/>
    </row>
    <row r="66" ht="26.25" customHeight="1">
      <c r="A66" s="459">
        <v>45914.0</v>
      </c>
      <c r="B66" s="460" t="s">
        <v>20</v>
      </c>
      <c r="C66" s="461" t="str">
        <f t="shared" si="1"/>
        <v>الأحد</v>
      </c>
      <c r="D66" s="462">
        <v>0.375</v>
      </c>
      <c r="E66" s="462">
        <v>0.7638888888888888</v>
      </c>
      <c r="F66" s="463">
        <v>400000.0</v>
      </c>
      <c r="G66" s="464">
        <f t="shared" si="2"/>
        <v>1702.12766</v>
      </c>
      <c r="H66" s="464">
        <f t="shared" si="7"/>
        <v>9</v>
      </c>
      <c r="I66" s="464">
        <f t="shared" si="3"/>
        <v>0.3333333333</v>
      </c>
      <c r="J66" s="464">
        <f t="shared" si="4"/>
        <v>0</v>
      </c>
      <c r="K66" s="465">
        <f t="shared" si="5"/>
        <v>16170.21277</v>
      </c>
      <c r="L66" s="466"/>
      <c r="M66" s="465">
        <v>130000.0</v>
      </c>
      <c r="N66" s="465">
        <f t="shared" si="10"/>
        <v>0</v>
      </c>
      <c r="O66" s="465">
        <f t="shared" si="6"/>
        <v>-113829.7872</v>
      </c>
      <c r="P66" s="467"/>
    </row>
    <row r="67" ht="26.25" customHeight="1">
      <c r="A67" s="459">
        <v>45915.0</v>
      </c>
      <c r="B67" s="460" t="s">
        <v>20</v>
      </c>
      <c r="C67" s="461" t="str">
        <f t="shared" si="1"/>
        <v>الاثنين</v>
      </c>
      <c r="D67" s="462">
        <v>0.375</v>
      </c>
      <c r="E67" s="462">
        <v>0.7618055555555555</v>
      </c>
      <c r="F67" s="463">
        <v>400000.0</v>
      </c>
      <c r="G67" s="464">
        <f t="shared" si="2"/>
        <v>1702.12766</v>
      </c>
      <c r="H67" s="464">
        <f t="shared" si="7"/>
        <v>9</v>
      </c>
      <c r="I67" s="464">
        <f t="shared" si="3"/>
        <v>0.2833333333</v>
      </c>
      <c r="J67" s="464">
        <f t="shared" si="4"/>
        <v>0</v>
      </c>
      <c r="K67" s="465">
        <f t="shared" si="5"/>
        <v>16042.55319</v>
      </c>
      <c r="L67" s="466"/>
      <c r="M67" s="466"/>
      <c r="N67" s="465">
        <f t="shared" si="10"/>
        <v>0</v>
      </c>
      <c r="O67" s="465">
        <f t="shared" si="6"/>
        <v>16042.55319</v>
      </c>
      <c r="P67" s="467"/>
    </row>
    <row r="68" ht="26.25" customHeight="1">
      <c r="A68" s="459">
        <v>45916.0</v>
      </c>
      <c r="B68" s="460" t="s">
        <v>20</v>
      </c>
      <c r="C68" s="461" t="str">
        <f t="shared" si="1"/>
        <v>الثلاثاء</v>
      </c>
      <c r="D68" s="462">
        <v>0.37777777777777777</v>
      </c>
      <c r="E68" s="462">
        <v>0.7666666666666667</v>
      </c>
      <c r="F68" s="463">
        <v>400000.0</v>
      </c>
      <c r="G68" s="464">
        <f t="shared" si="2"/>
        <v>1702.12766</v>
      </c>
      <c r="H68" s="464">
        <f t="shared" si="7"/>
        <v>8.933333333</v>
      </c>
      <c r="I68" s="464">
        <f t="shared" si="3"/>
        <v>0.4</v>
      </c>
      <c r="J68" s="464">
        <f t="shared" si="4"/>
        <v>0</v>
      </c>
      <c r="K68" s="465">
        <f t="shared" si="5"/>
        <v>16226.95035</v>
      </c>
      <c r="L68" s="466"/>
      <c r="M68" s="466"/>
      <c r="N68" s="465">
        <f t="shared" si="10"/>
        <v>113.4751773</v>
      </c>
      <c r="O68" s="465">
        <f t="shared" si="6"/>
        <v>16113.47518</v>
      </c>
      <c r="P68" s="467"/>
    </row>
    <row r="69" ht="26.25" customHeight="1">
      <c r="A69" s="459">
        <v>45917.0</v>
      </c>
      <c r="B69" s="460" t="s">
        <v>20</v>
      </c>
      <c r="C69" s="461" t="str">
        <f t="shared" si="1"/>
        <v>الأربعاء</v>
      </c>
      <c r="D69" s="462">
        <v>0.375</v>
      </c>
      <c r="E69" s="462">
        <v>0.75</v>
      </c>
      <c r="F69" s="463">
        <v>400000.0</v>
      </c>
      <c r="G69" s="464">
        <f t="shared" si="2"/>
        <v>1702.12766</v>
      </c>
      <c r="H69" s="464">
        <f t="shared" si="7"/>
        <v>9</v>
      </c>
      <c r="I69" s="464">
        <f t="shared" si="3"/>
        <v>0</v>
      </c>
      <c r="J69" s="464">
        <f t="shared" si="4"/>
        <v>0</v>
      </c>
      <c r="K69" s="465">
        <f t="shared" si="5"/>
        <v>15319.14894</v>
      </c>
      <c r="L69" s="466"/>
      <c r="M69" s="466"/>
      <c r="N69" s="465">
        <f t="shared" si="10"/>
        <v>0</v>
      </c>
      <c r="O69" s="465">
        <f t="shared" si="6"/>
        <v>15319.14894</v>
      </c>
      <c r="P69" s="467"/>
    </row>
    <row r="70" ht="26.25" customHeight="1">
      <c r="A70" s="459">
        <v>45918.0</v>
      </c>
      <c r="B70" s="460" t="s">
        <v>20</v>
      </c>
      <c r="C70" s="461" t="str">
        <f t="shared" si="1"/>
        <v>الخميس</v>
      </c>
      <c r="D70" s="462">
        <v>0.375</v>
      </c>
      <c r="E70" s="462">
        <v>0.5013888888888889</v>
      </c>
      <c r="F70" s="463">
        <v>400000.0</v>
      </c>
      <c r="G70" s="464">
        <f t="shared" si="2"/>
        <v>1702.12766</v>
      </c>
      <c r="H70" s="464">
        <f t="shared" si="7"/>
        <v>3.033333333</v>
      </c>
      <c r="I70" s="464">
        <f t="shared" si="3"/>
        <v>0</v>
      </c>
      <c r="J70" s="464">
        <f t="shared" si="4"/>
        <v>0</v>
      </c>
      <c r="K70" s="465">
        <f t="shared" si="5"/>
        <v>5163.120567</v>
      </c>
      <c r="L70" s="466"/>
      <c r="M70" s="465">
        <v>25000.0</v>
      </c>
      <c r="N70" s="465">
        <f t="shared" si="10"/>
        <v>0</v>
      </c>
      <c r="O70" s="465">
        <f t="shared" si="6"/>
        <v>-19836.87943</v>
      </c>
      <c r="P70" s="467"/>
    </row>
    <row r="71" ht="26.25" customHeight="1">
      <c r="A71" s="459">
        <v>45919.0</v>
      </c>
      <c r="B71" s="460" t="s">
        <v>20</v>
      </c>
      <c r="C71" s="461" t="str">
        <f t="shared" si="1"/>
        <v>الجمعة</v>
      </c>
      <c r="D71" s="462">
        <v>0.5729166666666666</v>
      </c>
      <c r="E71" s="462">
        <v>0.7763888888888889</v>
      </c>
      <c r="F71" s="463">
        <v>400000.0</v>
      </c>
      <c r="G71" s="464">
        <f t="shared" si="2"/>
        <v>1702.12766</v>
      </c>
      <c r="H71" s="464">
        <f t="shared" si="7"/>
        <v>0</v>
      </c>
      <c r="I71" s="464">
        <f t="shared" si="3"/>
        <v>0</v>
      </c>
      <c r="J71" s="464">
        <f t="shared" si="4"/>
        <v>4.883333333</v>
      </c>
      <c r="K71" s="465">
        <f t="shared" si="5"/>
        <v>16624.11348</v>
      </c>
      <c r="L71" s="466"/>
      <c r="M71" s="466"/>
      <c r="N71" s="465">
        <f t="shared" si="10"/>
        <v>0</v>
      </c>
      <c r="O71" s="465">
        <f t="shared" si="6"/>
        <v>16624.11348</v>
      </c>
      <c r="P71" s="467"/>
    </row>
    <row r="72" ht="26.25" customHeight="1">
      <c r="A72" s="459">
        <v>45920.0</v>
      </c>
      <c r="B72" s="460" t="s">
        <v>20</v>
      </c>
      <c r="C72" s="461" t="str">
        <f t="shared" si="1"/>
        <v>السبت</v>
      </c>
      <c r="D72" s="462">
        <v>0.38680555555555557</v>
      </c>
      <c r="E72" s="462">
        <v>0.7902777777777777</v>
      </c>
      <c r="F72" s="463">
        <v>400000.0</v>
      </c>
      <c r="G72" s="464">
        <f t="shared" si="2"/>
        <v>1702.12766</v>
      </c>
      <c r="H72" s="464">
        <f t="shared" si="7"/>
        <v>8.716666667</v>
      </c>
      <c r="I72" s="464">
        <f t="shared" si="3"/>
        <v>0.9666666667</v>
      </c>
      <c r="J72" s="464">
        <f t="shared" si="4"/>
        <v>0</v>
      </c>
      <c r="K72" s="465">
        <f t="shared" si="5"/>
        <v>17304.96454</v>
      </c>
      <c r="L72" s="466"/>
      <c r="M72" s="466"/>
      <c r="N72" s="465">
        <f t="shared" si="10"/>
        <v>482.2695035</v>
      </c>
      <c r="O72" s="465">
        <f t="shared" si="6"/>
        <v>16822.69504</v>
      </c>
      <c r="P72" s="467"/>
    </row>
    <row r="73" ht="26.25" customHeight="1">
      <c r="A73" s="459">
        <v>45921.0</v>
      </c>
      <c r="B73" s="460" t="s">
        <v>20</v>
      </c>
      <c r="C73" s="461" t="str">
        <f t="shared" si="1"/>
        <v>الأحد</v>
      </c>
      <c r="D73" s="462">
        <v>0.35833333333333334</v>
      </c>
      <c r="E73" s="462">
        <v>0.75</v>
      </c>
      <c r="F73" s="463">
        <v>400000.0</v>
      </c>
      <c r="G73" s="464">
        <f t="shared" si="2"/>
        <v>1702.12766</v>
      </c>
      <c r="H73" s="464">
        <f t="shared" si="7"/>
        <v>9.4</v>
      </c>
      <c r="I73" s="464">
        <f t="shared" si="3"/>
        <v>0</v>
      </c>
      <c r="J73" s="464">
        <f t="shared" si="4"/>
        <v>0</v>
      </c>
      <c r="K73" s="465">
        <f t="shared" si="5"/>
        <v>16000</v>
      </c>
      <c r="L73" s="466"/>
      <c r="M73" s="466"/>
      <c r="N73" s="465">
        <f t="shared" si="10"/>
        <v>0</v>
      </c>
      <c r="O73" s="465">
        <f t="shared" si="6"/>
        <v>16000</v>
      </c>
      <c r="P73" s="467"/>
    </row>
    <row r="74" ht="26.25" customHeight="1">
      <c r="A74" s="459">
        <v>45922.0</v>
      </c>
      <c r="B74" s="460" t="s">
        <v>20</v>
      </c>
      <c r="C74" s="461" t="str">
        <f t="shared" si="1"/>
        <v>الاثنين</v>
      </c>
      <c r="D74" s="462">
        <v>0.39166666666666666</v>
      </c>
      <c r="E74" s="462">
        <v>0.75</v>
      </c>
      <c r="F74" s="463">
        <v>400000.0</v>
      </c>
      <c r="G74" s="464">
        <f t="shared" si="2"/>
        <v>1702.12766</v>
      </c>
      <c r="H74" s="464">
        <f t="shared" si="7"/>
        <v>8.6</v>
      </c>
      <c r="I74" s="464">
        <f t="shared" si="3"/>
        <v>0</v>
      </c>
      <c r="J74" s="464">
        <f t="shared" si="4"/>
        <v>0</v>
      </c>
      <c r="K74" s="465">
        <f t="shared" si="5"/>
        <v>14638.29787</v>
      </c>
      <c r="L74" s="466"/>
      <c r="M74" s="466"/>
      <c r="N74" s="465">
        <f t="shared" si="10"/>
        <v>680.8510638</v>
      </c>
      <c r="O74" s="465">
        <f t="shared" si="6"/>
        <v>13957.44681</v>
      </c>
      <c r="P74" s="467"/>
    </row>
    <row r="75" ht="26.25" customHeight="1">
      <c r="A75" s="459">
        <v>45923.0</v>
      </c>
      <c r="B75" s="460" t="s">
        <v>20</v>
      </c>
      <c r="C75" s="461" t="str">
        <f t="shared" si="1"/>
        <v>الثلاثاء</v>
      </c>
      <c r="D75" s="462">
        <v>0.3861111111111111</v>
      </c>
      <c r="E75" s="462">
        <v>0.75</v>
      </c>
      <c r="F75" s="463">
        <v>400000.0</v>
      </c>
      <c r="G75" s="464">
        <f t="shared" si="2"/>
        <v>1702.12766</v>
      </c>
      <c r="H75" s="464">
        <f t="shared" si="7"/>
        <v>8.733333333</v>
      </c>
      <c r="I75" s="464">
        <f t="shared" si="3"/>
        <v>0</v>
      </c>
      <c r="J75" s="464">
        <f t="shared" si="4"/>
        <v>0</v>
      </c>
      <c r="K75" s="465">
        <f t="shared" si="5"/>
        <v>14865.24823</v>
      </c>
      <c r="L75" s="466"/>
      <c r="M75" s="466"/>
      <c r="N75" s="465">
        <f t="shared" si="10"/>
        <v>453.9007092</v>
      </c>
      <c r="O75" s="465">
        <f t="shared" si="6"/>
        <v>14411.34752</v>
      </c>
      <c r="P75" s="467"/>
    </row>
    <row r="76" ht="26.25" customHeight="1">
      <c r="A76" s="459">
        <v>45924.0</v>
      </c>
      <c r="B76" s="460" t="s">
        <v>20</v>
      </c>
      <c r="C76" s="461" t="str">
        <f t="shared" si="1"/>
        <v>الأربعاء</v>
      </c>
      <c r="D76" s="462">
        <v>0.38819444444444445</v>
      </c>
      <c r="E76" s="462">
        <v>0.75</v>
      </c>
      <c r="F76" s="463">
        <v>400000.0</v>
      </c>
      <c r="G76" s="464">
        <f t="shared" si="2"/>
        <v>1702.12766</v>
      </c>
      <c r="H76" s="464">
        <f t="shared" si="7"/>
        <v>8.683333333</v>
      </c>
      <c r="I76" s="464">
        <f t="shared" si="3"/>
        <v>0</v>
      </c>
      <c r="J76" s="464">
        <f t="shared" si="4"/>
        <v>0</v>
      </c>
      <c r="K76" s="465">
        <f t="shared" si="5"/>
        <v>14780.14184</v>
      </c>
      <c r="L76" s="466"/>
      <c r="M76" s="466"/>
      <c r="N76" s="465">
        <f t="shared" si="10"/>
        <v>539.0070922</v>
      </c>
      <c r="O76" s="465">
        <f t="shared" si="6"/>
        <v>14241.13475</v>
      </c>
      <c r="P76" s="467"/>
    </row>
    <row r="77" ht="26.25" customHeight="1">
      <c r="A77" s="459">
        <v>45925.0</v>
      </c>
      <c r="B77" s="460" t="s">
        <v>20</v>
      </c>
      <c r="C77" s="461" t="str">
        <f t="shared" si="1"/>
        <v>الخميس</v>
      </c>
      <c r="D77" s="462">
        <v>0.37777777777777777</v>
      </c>
      <c r="E77" s="462">
        <v>0.75</v>
      </c>
      <c r="F77" s="463">
        <v>400000.0</v>
      </c>
      <c r="G77" s="464">
        <f t="shared" si="2"/>
        <v>1702.12766</v>
      </c>
      <c r="H77" s="464">
        <f t="shared" si="7"/>
        <v>8.933333333</v>
      </c>
      <c r="I77" s="464">
        <f t="shared" si="3"/>
        <v>0</v>
      </c>
      <c r="J77" s="464">
        <f t="shared" si="4"/>
        <v>0</v>
      </c>
      <c r="K77" s="465">
        <f t="shared" si="5"/>
        <v>15205.67376</v>
      </c>
      <c r="L77" s="466"/>
      <c r="M77" s="465">
        <v>75000.0</v>
      </c>
      <c r="N77" s="465">
        <f t="shared" si="10"/>
        <v>113.4751773</v>
      </c>
      <c r="O77" s="465">
        <f t="shared" si="6"/>
        <v>-59907.80142</v>
      </c>
      <c r="P77" s="467"/>
    </row>
    <row r="78" ht="26.25" customHeight="1">
      <c r="A78" s="459">
        <v>45927.0</v>
      </c>
      <c r="B78" s="460" t="s">
        <v>20</v>
      </c>
      <c r="C78" s="461" t="str">
        <f t="shared" si="1"/>
        <v>السبت</v>
      </c>
      <c r="D78" s="462">
        <v>0.3958333333333333</v>
      </c>
      <c r="E78" s="462">
        <v>0.75</v>
      </c>
      <c r="F78" s="463">
        <v>400000.0</v>
      </c>
      <c r="G78" s="464">
        <f t="shared" si="2"/>
        <v>1702.12766</v>
      </c>
      <c r="H78" s="464">
        <f t="shared" si="7"/>
        <v>8.5</v>
      </c>
      <c r="I78" s="464">
        <f t="shared" si="3"/>
        <v>0</v>
      </c>
      <c r="J78" s="464">
        <f t="shared" si="4"/>
        <v>0</v>
      </c>
      <c r="K78" s="465">
        <f t="shared" si="5"/>
        <v>14468.08511</v>
      </c>
      <c r="L78" s="466"/>
      <c r="M78" s="465">
        <v>30000.0</v>
      </c>
      <c r="N78" s="465">
        <f t="shared" si="10"/>
        <v>851.0638298</v>
      </c>
      <c r="O78" s="465">
        <f t="shared" si="6"/>
        <v>-16382.97872</v>
      </c>
      <c r="P78" s="467"/>
    </row>
    <row r="79" ht="26.25" customHeight="1">
      <c r="A79" s="459">
        <v>45928.0</v>
      </c>
      <c r="B79" s="460" t="s">
        <v>20</v>
      </c>
      <c r="C79" s="461" t="str">
        <f t="shared" si="1"/>
        <v>الأحد</v>
      </c>
      <c r="D79" s="462">
        <v>0.3958333333333333</v>
      </c>
      <c r="E79" s="462">
        <v>0.93125</v>
      </c>
      <c r="F79" s="463">
        <v>400000.0</v>
      </c>
      <c r="G79" s="464">
        <f t="shared" si="2"/>
        <v>1702.12766</v>
      </c>
      <c r="H79" s="464">
        <f t="shared" si="7"/>
        <v>8.5</v>
      </c>
      <c r="I79" s="464">
        <f t="shared" si="3"/>
        <v>4.35</v>
      </c>
      <c r="J79" s="464">
        <f t="shared" si="4"/>
        <v>0</v>
      </c>
      <c r="K79" s="465">
        <f t="shared" si="5"/>
        <v>25574.46809</v>
      </c>
      <c r="L79" s="466"/>
      <c r="M79" s="466"/>
      <c r="N79" s="465">
        <f t="shared" si="10"/>
        <v>851.0638298</v>
      </c>
      <c r="O79" s="465">
        <f t="shared" si="6"/>
        <v>24723.40426</v>
      </c>
      <c r="P79" s="467"/>
    </row>
    <row r="80" ht="26.25" customHeight="1">
      <c r="A80" s="459">
        <v>45929.0</v>
      </c>
      <c r="B80" s="460" t="s">
        <v>20</v>
      </c>
      <c r="C80" s="461" t="str">
        <f t="shared" si="1"/>
        <v>الاثنين</v>
      </c>
      <c r="D80" s="462">
        <v>0.3951388888888889</v>
      </c>
      <c r="E80" s="462">
        <v>0.75</v>
      </c>
      <c r="F80" s="463">
        <v>400000.0</v>
      </c>
      <c r="G80" s="464">
        <f t="shared" si="2"/>
        <v>1702.12766</v>
      </c>
      <c r="H80" s="464">
        <f t="shared" si="7"/>
        <v>8.516666667</v>
      </c>
      <c r="I80" s="464">
        <f t="shared" si="3"/>
        <v>0</v>
      </c>
      <c r="J80" s="464">
        <f t="shared" si="4"/>
        <v>0</v>
      </c>
      <c r="K80" s="465">
        <f t="shared" si="5"/>
        <v>14496.4539</v>
      </c>
      <c r="L80" s="466"/>
      <c r="M80" s="466"/>
      <c r="N80" s="465">
        <f t="shared" si="10"/>
        <v>822.6950355</v>
      </c>
      <c r="O80" s="465">
        <f t="shared" si="6"/>
        <v>13673.75887</v>
      </c>
      <c r="P80" s="467"/>
    </row>
    <row r="81" ht="26.25" customHeight="1">
      <c r="A81" s="459">
        <v>45930.0</v>
      </c>
      <c r="B81" s="460" t="s">
        <v>20</v>
      </c>
      <c r="C81" s="461" t="str">
        <f t="shared" si="1"/>
        <v>الثلاثاء</v>
      </c>
      <c r="D81" s="462">
        <v>0.37777777777777777</v>
      </c>
      <c r="E81" s="462">
        <v>0.75</v>
      </c>
      <c r="F81" s="463">
        <v>400000.0</v>
      </c>
      <c r="G81" s="464">
        <f t="shared" si="2"/>
        <v>1702.12766</v>
      </c>
      <c r="H81" s="464">
        <f t="shared" si="7"/>
        <v>8.933333333</v>
      </c>
      <c r="I81" s="464">
        <f t="shared" si="3"/>
        <v>0</v>
      </c>
      <c r="J81" s="464">
        <f t="shared" si="4"/>
        <v>0</v>
      </c>
      <c r="K81" s="465">
        <f t="shared" si="5"/>
        <v>15205.67376</v>
      </c>
      <c r="L81" s="466"/>
      <c r="M81" s="466"/>
      <c r="N81" s="465">
        <f t="shared" si="10"/>
        <v>113.4751773</v>
      </c>
      <c r="O81" s="465">
        <f t="shared" si="6"/>
        <v>15092.19858</v>
      </c>
      <c r="P81" s="467"/>
    </row>
    <row r="82" ht="26.25" customHeight="1">
      <c r="A82" s="459">
        <v>45901.0</v>
      </c>
      <c r="B82" s="460" t="s">
        <v>21</v>
      </c>
      <c r="C82" s="461" t="str">
        <f t="shared" si="1"/>
        <v>الاثنين</v>
      </c>
      <c r="D82" s="462">
        <v>0.38819444444444445</v>
      </c>
      <c r="E82" s="462">
        <v>0.7777777777777778</v>
      </c>
      <c r="F82" s="463">
        <v>600000.0</v>
      </c>
      <c r="G82" s="464">
        <f t="shared" si="2"/>
        <v>2553.191489</v>
      </c>
      <c r="H82" s="464">
        <f t="shared" si="7"/>
        <v>8.683333333</v>
      </c>
      <c r="I82" s="464">
        <f t="shared" si="3"/>
        <v>0.6666666667</v>
      </c>
      <c r="J82" s="464">
        <f t="shared" si="4"/>
        <v>0</v>
      </c>
      <c r="K82" s="465">
        <f t="shared" si="5"/>
        <v>24723.40426</v>
      </c>
      <c r="L82" s="466"/>
      <c r="M82" s="466"/>
      <c r="N82" s="465">
        <f t="shared" si="10"/>
        <v>808.5106383</v>
      </c>
      <c r="O82" s="465">
        <f t="shared" si="6"/>
        <v>23914.89362</v>
      </c>
      <c r="P82" s="467"/>
    </row>
    <row r="83" ht="26.25" customHeight="1">
      <c r="A83" s="459">
        <v>45902.0</v>
      </c>
      <c r="B83" s="460" t="s">
        <v>21</v>
      </c>
      <c r="C83" s="461" t="str">
        <f t="shared" si="1"/>
        <v>الثلاثاء</v>
      </c>
      <c r="D83" s="462">
        <v>0.4375</v>
      </c>
      <c r="E83" s="462">
        <v>0.7701388888888889</v>
      </c>
      <c r="F83" s="463">
        <v>600000.0</v>
      </c>
      <c r="G83" s="464">
        <f t="shared" si="2"/>
        <v>2553.191489</v>
      </c>
      <c r="H83" s="464">
        <f t="shared" si="7"/>
        <v>7.5</v>
      </c>
      <c r="I83" s="464">
        <f t="shared" si="3"/>
        <v>0.4833333333</v>
      </c>
      <c r="J83" s="464">
        <f t="shared" si="4"/>
        <v>0</v>
      </c>
      <c r="K83" s="465">
        <f t="shared" si="5"/>
        <v>21000</v>
      </c>
      <c r="L83" s="465">
        <v>48000.0</v>
      </c>
      <c r="M83" s="466"/>
      <c r="N83" s="465">
        <f t="shared" si="10"/>
        <v>3829.787234</v>
      </c>
      <c r="O83" s="465">
        <f t="shared" si="6"/>
        <v>65170.21277</v>
      </c>
      <c r="P83" s="468" t="s">
        <v>2481</v>
      </c>
    </row>
    <row r="84" ht="26.25" customHeight="1">
      <c r="A84" s="459">
        <v>45903.0</v>
      </c>
      <c r="B84" s="460" t="s">
        <v>21</v>
      </c>
      <c r="C84" s="461" t="str">
        <f t="shared" si="1"/>
        <v>الأربعاء</v>
      </c>
      <c r="D84" s="462">
        <v>0.41041666666666665</v>
      </c>
      <c r="E84" s="462">
        <v>0.75</v>
      </c>
      <c r="F84" s="463">
        <v>600000.0</v>
      </c>
      <c r="G84" s="464">
        <f t="shared" si="2"/>
        <v>2553.191489</v>
      </c>
      <c r="H84" s="464">
        <f t="shared" si="7"/>
        <v>8.15</v>
      </c>
      <c r="I84" s="464">
        <f t="shared" si="3"/>
        <v>0</v>
      </c>
      <c r="J84" s="464">
        <f t="shared" si="4"/>
        <v>0</v>
      </c>
      <c r="K84" s="465">
        <f t="shared" si="5"/>
        <v>20808.51064</v>
      </c>
      <c r="L84" s="465">
        <v>45000.0</v>
      </c>
      <c r="M84" s="466"/>
      <c r="N84" s="465">
        <f t="shared" si="10"/>
        <v>2170.212766</v>
      </c>
      <c r="O84" s="465">
        <f t="shared" si="6"/>
        <v>63638.29787</v>
      </c>
      <c r="P84" s="468" t="s">
        <v>2482</v>
      </c>
    </row>
    <row r="85" ht="26.25" customHeight="1">
      <c r="A85" s="459">
        <v>45904.0</v>
      </c>
      <c r="B85" s="460" t="s">
        <v>21</v>
      </c>
      <c r="C85" s="461" t="str">
        <f t="shared" si="1"/>
        <v>الخميس</v>
      </c>
      <c r="D85" s="462">
        <v>0.4166666666666667</v>
      </c>
      <c r="E85" s="462">
        <v>0.75</v>
      </c>
      <c r="F85" s="463">
        <v>600000.0</v>
      </c>
      <c r="G85" s="464">
        <f t="shared" si="2"/>
        <v>2553.191489</v>
      </c>
      <c r="H85" s="464">
        <f t="shared" si="7"/>
        <v>8</v>
      </c>
      <c r="I85" s="464">
        <f t="shared" si="3"/>
        <v>0</v>
      </c>
      <c r="J85" s="464">
        <f t="shared" si="4"/>
        <v>0</v>
      </c>
      <c r="K85" s="465">
        <f t="shared" si="5"/>
        <v>20425.53191</v>
      </c>
      <c r="L85" s="465">
        <v>52000.0</v>
      </c>
      <c r="M85" s="466"/>
      <c r="N85" s="465">
        <f t="shared" si="10"/>
        <v>2553.191489</v>
      </c>
      <c r="O85" s="465">
        <f t="shared" si="6"/>
        <v>69872.34043</v>
      </c>
      <c r="P85" s="467"/>
    </row>
    <row r="86" ht="26.25" customHeight="1">
      <c r="A86" s="459">
        <v>45905.0</v>
      </c>
      <c r="B86" s="460" t="s">
        <v>21</v>
      </c>
      <c r="C86" s="461" t="str">
        <f t="shared" si="1"/>
        <v>الجمعة</v>
      </c>
      <c r="D86" s="462">
        <v>0.375</v>
      </c>
      <c r="E86" s="462">
        <v>0.7979166666666667</v>
      </c>
      <c r="F86" s="463">
        <v>600000.0</v>
      </c>
      <c r="G86" s="464">
        <f t="shared" si="2"/>
        <v>2553.191489</v>
      </c>
      <c r="H86" s="464">
        <f t="shared" si="7"/>
        <v>0</v>
      </c>
      <c r="I86" s="464">
        <f t="shared" si="3"/>
        <v>0</v>
      </c>
      <c r="J86" s="464">
        <f t="shared" si="4"/>
        <v>10.15</v>
      </c>
      <c r="K86" s="465">
        <f t="shared" si="5"/>
        <v>51829.78723</v>
      </c>
      <c r="L86" s="466"/>
      <c r="M86" s="466"/>
      <c r="N86" s="465">
        <v>245.0</v>
      </c>
      <c r="O86" s="465">
        <f t="shared" si="6"/>
        <v>51584.78723</v>
      </c>
      <c r="P86" s="467"/>
    </row>
    <row r="87" ht="26.25" customHeight="1">
      <c r="A87" s="459">
        <v>45906.0</v>
      </c>
      <c r="B87" s="460" t="s">
        <v>21</v>
      </c>
      <c r="C87" s="461" t="str">
        <f t="shared" si="1"/>
        <v>السبت</v>
      </c>
      <c r="D87" s="462">
        <v>0.38680555555555557</v>
      </c>
      <c r="E87" s="462">
        <v>0.7534722222222222</v>
      </c>
      <c r="F87" s="463">
        <v>600000.0</v>
      </c>
      <c r="G87" s="464">
        <f t="shared" si="2"/>
        <v>2553.191489</v>
      </c>
      <c r="H87" s="464">
        <f t="shared" si="7"/>
        <v>8.716666667</v>
      </c>
      <c r="I87" s="464">
        <f t="shared" si="3"/>
        <v>0.08333333333</v>
      </c>
      <c r="J87" s="464">
        <f t="shared" si="4"/>
        <v>0</v>
      </c>
      <c r="K87" s="465">
        <f t="shared" si="5"/>
        <v>22574.46809</v>
      </c>
      <c r="L87" s="466"/>
      <c r="M87" s="466"/>
      <c r="N87" s="465">
        <f t="shared" ref="N87:N121" si="11">IF(C87="الجمعة",0,IF(D87&gt;TIME(9,0,0),(D87-TIME(9,0,0))*24*60*(G87/60),0))</f>
        <v>723.4042553</v>
      </c>
      <c r="O87" s="465">
        <f t="shared" si="6"/>
        <v>21851.06383</v>
      </c>
      <c r="P87" s="467"/>
    </row>
    <row r="88" ht="26.25" customHeight="1">
      <c r="A88" s="459">
        <v>45907.0</v>
      </c>
      <c r="B88" s="460" t="s">
        <v>21</v>
      </c>
      <c r="C88" s="461" t="str">
        <f t="shared" si="1"/>
        <v>الأحد</v>
      </c>
      <c r="D88" s="462">
        <v>0.39166666666666666</v>
      </c>
      <c r="E88" s="462">
        <v>0.9604166666666667</v>
      </c>
      <c r="F88" s="463">
        <v>600000.0</v>
      </c>
      <c r="G88" s="464">
        <f t="shared" si="2"/>
        <v>2553.191489</v>
      </c>
      <c r="H88" s="464">
        <f t="shared" si="7"/>
        <v>8.6</v>
      </c>
      <c r="I88" s="464">
        <f t="shared" si="3"/>
        <v>5.05</v>
      </c>
      <c r="J88" s="464">
        <f t="shared" si="4"/>
        <v>0</v>
      </c>
      <c r="K88" s="465">
        <f t="shared" si="5"/>
        <v>41297.87234</v>
      </c>
      <c r="L88" s="466"/>
      <c r="M88" s="466"/>
      <c r="N88" s="465">
        <f t="shared" si="11"/>
        <v>1021.276596</v>
      </c>
      <c r="O88" s="465">
        <f t="shared" si="6"/>
        <v>40276.59574</v>
      </c>
      <c r="P88" s="467"/>
    </row>
    <row r="89" ht="26.25" customHeight="1">
      <c r="A89" s="459">
        <v>45908.0</v>
      </c>
      <c r="B89" s="460" t="s">
        <v>21</v>
      </c>
      <c r="C89" s="461" t="str">
        <f t="shared" si="1"/>
        <v>الاثنين</v>
      </c>
      <c r="D89" s="462">
        <v>0.4263888888888889</v>
      </c>
      <c r="E89" s="462">
        <v>0.76875</v>
      </c>
      <c r="F89" s="463">
        <v>600000.0</v>
      </c>
      <c r="G89" s="464">
        <f t="shared" si="2"/>
        <v>2553.191489</v>
      </c>
      <c r="H89" s="464">
        <f t="shared" si="7"/>
        <v>7.766666667</v>
      </c>
      <c r="I89" s="464">
        <f t="shared" si="3"/>
        <v>0.45</v>
      </c>
      <c r="J89" s="464">
        <f t="shared" si="4"/>
        <v>0</v>
      </c>
      <c r="K89" s="465">
        <f t="shared" si="5"/>
        <v>21553.19149</v>
      </c>
      <c r="L89" s="466"/>
      <c r="M89" s="466"/>
      <c r="N89" s="465">
        <f t="shared" si="11"/>
        <v>3148.93617</v>
      </c>
      <c r="O89" s="465">
        <f t="shared" si="6"/>
        <v>18404.25532</v>
      </c>
      <c r="P89" s="467"/>
    </row>
    <row r="90" ht="26.25" customHeight="1">
      <c r="A90" s="459">
        <v>45909.0</v>
      </c>
      <c r="B90" s="460" t="s">
        <v>21</v>
      </c>
      <c r="C90" s="461" t="str">
        <f t="shared" si="1"/>
        <v>الثلاثاء</v>
      </c>
      <c r="D90" s="462">
        <v>0.41041666666666665</v>
      </c>
      <c r="E90" s="462">
        <v>0.8229166666666666</v>
      </c>
      <c r="F90" s="463">
        <v>600000.0</v>
      </c>
      <c r="G90" s="464">
        <f t="shared" si="2"/>
        <v>2553.191489</v>
      </c>
      <c r="H90" s="464">
        <f t="shared" si="7"/>
        <v>8.15</v>
      </c>
      <c r="I90" s="464">
        <f t="shared" si="3"/>
        <v>1.75</v>
      </c>
      <c r="J90" s="464">
        <f t="shared" si="4"/>
        <v>0</v>
      </c>
      <c r="K90" s="465">
        <f t="shared" si="5"/>
        <v>27510.6383</v>
      </c>
      <c r="L90" s="466"/>
      <c r="M90" s="466"/>
      <c r="N90" s="465">
        <f t="shared" si="11"/>
        <v>2170.212766</v>
      </c>
      <c r="O90" s="465">
        <f t="shared" si="6"/>
        <v>25340.42553</v>
      </c>
      <c r="P90" s="467"/>
    </row>
    <row r="91" ht="26.25" customHeight="1">
      <c r="A91" s="459">
        <v>45910.0</v>
      </c>
      <c r="B91" s="460" t="s">
        <v>21</v>
      </c>
      <c r="C91" s="461" t="str">
        <f t="shared" si="1"/>
        <v>الأربعاء</v>
      </c>
      <c r="D91" s="462">
        <v>0.3923611111111111</v>
      </c>
      <c r="E91" s="462">
        <v>0.9194444444444444</v>
      </c>
      <c r="F91" s="463">
        <v>600000.0</v>
      </c>
      <c r="G91" s="464">
        <f t="shared" si="2"/>
        <v>2553.191489</v>
      </c>
      <c r="H91" s="464">
        <f t="shared" si="7"/>
        <v>8.583333333</v>
      </c>
      <c r="I91" s="464">
        <f t="shared" si="3"/>
        <v>4.066666667</v>
      </c>
      <c r="J91" s="464">
        <f t="shared" si="4"/>
        <v>0</v>
      </c>
      <c r="K91" s="465">
        <f t="shared" si="5"/>
        <v>37489.3617</v>
      </c>
      <c r="L91" s="466"/>
      <c r="M91" s="466"/>
      <c r="N91" s="465">
        <f t="shared" si="11"/>
        <v>1063.829787</v>
      </c>
      <c r="O91" s="465">
        <f t="shared" si="6"/>
        <v>36425.53191</v>
      </c>
      <c r="P91" s="467"/>
    </row>
    <row r="92" ht="26.25" customHeight="1">
      <c r="A92" s="459">
        <v>45911.0</v>
      </c>
      <c r="B92" s="460" t="s">
        <v>21</v>
      </c>
      <c r="C92" s="461" t="str">
        <f t="shared" si="1"/>
        <v>الخميس</v>
      </c>
      <c r="D92" s="462">
        <v>0.4263888888888889</v>
      </c>
      <c r="E92" s="462">
        <v>0.75</v>
      </c>
      <c r="F92" s="463">
        <v>600000.0</v>
      </c>
      <c r="G92" s="464">
        <f t="shared" si="2"/>
        <v>2553.191489</v>
      </c>
      <c r="H92" s="464">
        <f t="shared" si="7"/>
        <v>7.766666667</v>
      </c>
      <c r="I92" s="464">
        <f t="shared" si="3"/>
        <v>0</v>
      </c>
      <c r="J92" s="464">
        <f t="shared" si="4"/>
        <v>0</v>
      </c>
      <c r="K92" s="465">
        <f t="shared" si="5"/>
        <v>19829.78723</v>
      </c>
      <c r="L92" s="466"/>
      <c r="M92" s="466"/>
      <c r="N92" s="465">
        <f t="shared" si="11"/>
        <v>3148.93617</v>
      </c>
      <c r="O92" s="465">
        <f t="shared" si="6"/>
        <v>16680.85106</v>
      </c>
      <c r="P92" s="467"/>
    </row>
    <row r="93" ht="26.25" customHeight="1">
      <c r="A93" s="459">
        <v>45912.0</v>
      </c>
      <c r="B93" s="460" t="s">
        <v>21</v>
      </c>
      <c r="C93" s="461" t="str">
        <f t="shared" si="1"/>
        <v>الجمعة</v>
      </c>
      <c r="D93" s="462">
        <v>0.07152777777777777</v>
      </c>
      <c r="E93" s="462">
        <v>0.75</v>
      </c>
      <c r="F93" s="463">
        <v>600000.0</v>
      </c>
      <c r="G93" s="464">
        <f t="shared" si="2"/>
        <v>2553.191489</v>
      </c>
      <c r="H93" s="464">
        <f t="shared" si="7"/>
        <v>0</v>
      </c>
      <c r="I93" s="464">
        <f t="shared" si="3"/>
        <v>0</v>
      </c>
      <c r="J93" s="464">
        <f t="shared" si="4"/>
        <v>16.28333333</v>
      </c>
      <c r="K93" s="465">
        <f t="shared" si="5"/>
        <v>83148.93617</v>
      </c>
      <c r="L93" s="466"/>
      <c r="M93" s="466"/>
      <c r="N93" s="465">
        <f t="shared" si="11"/>
        <v>0</v>
      </c>
      <c r="O93" s="465">
        <f t="shared" si="6"/>
        <v>83148.93617</v>
      </c>
      <c r="P93" s="467"/>
    </row>
    <row r="94" ht="26.25" customHeight="1">
      <c r="A94" s="459">
        <v>45914.0</v>
      </c>
      <c r="B94" s="460" t="s">
        <v>21</v>
      </c>
      <c r="C94" s="461" t="str">
        <f t="shared" si="1"/>
        <v>الأحد</v>
      </c>
      <c r="D94" s="462">
        <v>0.4388888888888889</v>
      </c>
      <c r="E94" s="462">
        <v>0.7534722222222222</v>
      </c>
      <c r="F94" s="463">
        <v>600000.0</v>
      </c>
      <c r="G94" s="464">
        <f t="shared" si="2"/>
        <v>2553.191489</v>
      </c>
      <c r="H94" s="464">
        <f t="shared" si="7"/>
        <v>7.466666667</v>
      </c>
      <c r="I94" s="464">
        <f t="shared" si="3"/>
        <v>0.08333333333</v>
      </c>
      <c r="J94" s="464">
        <f t="shared" si="4"/>
        <v>0</v>
      </c>
      <c r="K94" s="465">
        <f t="shared" si="5"/>
        <v>19382.97872</v>
      </c>
      <c r="L94" s="466"/>
      <c r="M94" s="466"/>
      <c r="N94" s="465">
        <f t="shared" si="11"/>
        <v>3914.893617</v>
      </c>
      <c r="O94" s="465">
        <f t="shared" si="6"/>
        <v>15468.08511</v>
      </c>
      <c r="P94" s="467"/>
    </row>
    <row r="95" ht="26.25" customHeight="1">
      <c r="A95" s="459">
        <v>45915.0</v>
      </c>
      <c r="B95" s="460" t="s">
        <v>21</v>
      </c>
      <c r="C95" s="461" t="str">
        <f t="shared" si="1"/>
        <v>الاثنين</v>
      </c>
      <c r="D95" s="462">
        <v>0.3680555555555556</v>
      </c>
      <c r="E95" s="462">
        <v>0.75</v>
      </c>
      <c r="F95" s="463">
        <v>600000.0</v>
      </c>
      <c r="G95" s="464">
        <f t="shared" si="2"/>
        <v>2553.191489</v>
      </c>
      <c r="H95" s="464">
        <f t="shared" si="7"/>
        <v>9.166666667</v>
      </c>
      <c r="I95" s="464">
        <f t="shared" si="3"/>
        <v>0</v>
      </c>
      <c r="J95" s="464">
        <f t="shared" si="4"/>
        <v>0</v>
      </c>
      <c r="K95" s="465">
        <f t="shared" si="5"/>
        <v>23404.25532</v>
      </c>
      <c r="L95" s="466"/>
      <c r="M95" s="465">
        <v>18800.0</v>
      </c>
      <c r="N95" s="465">
        <f t="shared" si="11"/>
        <v>0</v>
      </c>
      <c r="O95" s="465">
        <f t="shared" si="6"/>
        <v>4604.255319</v>
      </c>
      <c r="P95" s="467"/>
    </row>
    <row r="96" ht="26.25" customHeight="1">
      <c r="A96" s="459">
        <v>45916.0</v>
      </c>
      <c r="B96" s="460" t="s">
        <v>21</v>
      </c>
      <c r="C96" s="461" t="str">
        <f t="shared" si="1"/>
        <v>الثلاثاء</v>
      </c>
      <c r="D96" s="462">
        <v>0.43333333333333335</v>
      </c>
      <c r="E96" s="462">
        <v>0.7638888888888888</v>
      </c>
      <c r="F96" s="463">
        <v>600000.0</v>
      </c>
      <c r="G96" s="464">
        <f t="shared" si="2"/>
        <v>2553.191489</v>
      </c>
      <c r="H96" s="464">
        <f t="shared" si="7"/>
        <v>7.6</v>
      </c>
      <c r="I96" s="464">
        <f t="shared" si="3"/>
        <v>0.3333333333</v>
      </c>
      <c r="J96" s="464">
        <f t="shared" si="4"/>
        <v>0</v>
      </c>
      <c r="K96" s="465">
        <f t="shared" si="5"/>
        <v>20680.85106</v>
      </c>
      <c r="L96" s="466"/>
      <c r="M96" s="466"/>
      <c r="N96" s="465">
        <f t="shared" si="11"/>
        <v>3574.468085</v>
      </c>
      <c r="O96" s="465">
        <f t="shared" si="6"/>
        <v>17106.38298</v>
      </c>
      <c r="P96" s="470"/>
    </row>
    <row r="97" ht="26.25" customHeight="1">
      <c r="A97" s="459">
        <v>45917.0</v>
      </c>
      <c r="B97" s="460" t="s">
        <v>21</v>
      </c>
      <c r="C97" s="461" t="str">
        <f t="shared" si="1"/>
        <v>الأربعاء</v>
      </c>
      <c r="D97" s="462">
        <v>0.37222222222222223</v>
      </c>
      <c r="E97" s="462">
        <v>0.75</v>
      </c>
      <c r="F97" s="463">
        <v>600000.0</v>
      </c>
      <c r="G97" s="464">
        <f t="shared" si="2"/>
        <v>2553.191489</v>
      </c>
      <c r="H97" s="464">
        <f t="shared" si="7"/>
        <v>9.066666667</v>
      </c>
      <c r="I97" s="464">
        <f t="shared" si="3"/>
        <v>0</v>
      </c>
      <c r="J97" s="464">
        <f t="shared" si="4"/>
        <v>0</v>
      </c>
      <c r="K97" s="465">
        <f t="shared" si="5"/>
        <v>23148.93617</v>
      </c>
      <c r="L97" s="466"/>
      <c r="M97" s="466"/>
      <c r="N97" s="465">
        <f t="shared" si="11"/>
        <v>0</v>
      </c>
      <c r="O97" s="465">
        <f t="shared" si="6"/>
        <v>23148.93617</v>
      </c>
      <c r="P97" s="467"/>
    </row>
    <row r="98" ht="26.25" customHeight="1">
      <c r="A98" s="459">
        <v>45918.0</v>
      </c>
      <c r="B98" s="460" t="s">
        <v>21</v>
      </c>
      <c r="C98" s="461" t="str">
        <f t="shared" si="1"/>
        <v>الخميس</v>
      </c>
      <c r="D98" s="462">
        <v>0.375</v>
      </c>
      <c r="E98" s="462">
        <v>0.8465277777777778</v>
      </c>
      <c r="F98" s="463">
        <v>600000.0</v>
      </c>
      <c r="G98" s="464">
        <f t="shared" si="2"/>
        <v>2553.191489</v>
      </c>
      <c r="H98" s="464">
        <f t="shared" si="7"/>
        <v>9</v>
      </c>
      <c r="I98" s="464">
        <f t="shared" si="3"/>
        <v>2.316666667</v>
      </c>
      <c r="J98" s="464">
        <f t="shared" si="4"/>
        <v>0</v>
      </c>
      <c r="K98" s="465">
        <f t="shared" si="5"/>
        <v>31851.06383</v>
      </c>
      <c r="L98" s="466"/>
      <c r="M98" s="466"/>
      <c r="N98" s="465">
        <f t="shared" si="11"/>
        <v>0</v>
      </c>
      <c r="O98" s="465">
        <f t="shared" si="6"/>
        <v>31851.06383</v>
      </c>
      <c r="P98" s="467"/>
    </row>
    <row r="99" ht="26.25" customHeight="1">
      <c r="A99" s="459">
        <v>45919.0</v>
      </c>
      <c r="B99" s="460" t="s">
        <v>21</v>
      </c>
      <c r="C99" s="461" t="str">
        <f t="shared" si="1"/>
        <v>الجمعة</v>
      </c>
      <c r="D99" s="462">
        <v>0.5479166666666667</v>
      </c>
      <c r="E99" s="462">
        <v>0.8256944444444444</v>
      </c>
      <c r="F99" s="463">
        <v>600000.0</v>
      </c>
      <c r="G99" s="464">
        <f t="shared" si="2"/>
        <v>2553.191489</v>
      </c>
      <c r="H99" s="464">
        <f t="shared" si="7"/>
        <v>0</v>
      </c>
      <c r="I99" s="464">
        <f t="shared" si="3"/>
        <v>0</v>
      </c>
      <c r="J99" s="464">
        <f t="shared" si="4"/>
        <v>6.666666667</v>
      </c>
      <c r="K99" s="465">
        <f t="shared" si="5"/>
        <v>34042.55319</v>
      </c>
      <c r="L99" s="466"/>
      <c r="M99" s="466"/>
      <c r="N99" s="465">
        <f t="shared" si="11"/>
        <v>0</v>
      </c>
      <c r="O99" s="465">
        <f t="shared" si="6"/>
        <v>34042.55319</v>
      </c>
      <c r="P99" s="467"/>
    </row>
    <row r="100" ht="26.25" customHeight="1">
      <c r="A100" s="459">
        <v>45920.0</v>
      </c>
      <c r="B100" s="460" t="s">
        <v>21</v>
      </c>
      <c r="C100" s="461" t="str">
        <f t="shared" si="1"/>
        <v>السبت</v>
      </c>
      <c r="D100" s="462">
        <v>0.375</v>
      </c>
      <c r="E100" s="462">
        <v>0.7479166666666667</v>
      </c>
      <c r="F100" s="463">
        <v>600000.0</v>
      </c>
      <c r="G100" s="464">
        <f t="shared" si="2"/>
        <v>2553.191489</v>
      </c>
      <c r="H100" s="464">
        <f t="shared" si="7"/>
        <v>8.95</v>
      </c>
      <c r="I100" s="464">
        <f t="shared" si="3"/>
        <v>0</v>
      </c>
      <c r="J100" s="464">
        <f t="shared" si="4"/>
        <v>0</v>
      </c>
      <c r="K100" s="465">
        <f t="shared" si="5"/>
        <v>22851.06383</v>
      </c>
      <c r="L100" s="466"/>
      <c r="M100" s="466"/>
      <c r="N100" s="465">
        <f t="shared" si="11"/>
        <v>0</v>
      </c>
      <c r="O100" s="465">
        <f t="shared" si="6"/>
        <v>22851.06383</v>
      </c>
      <c r="P100" s="467"/>
    </row>
    <row r="101" ht="26.25" customHeight="1">
      <c r="A101" s="459">
        <v>45921.0</v>
      </c>
      <c r="B101" s="460" t="s">
        <v>21</v>
      </c>
      <c r="C101" s="461" t="str">
        <f t="shared" si="1"/>
        <v>الأحد</v>
      </c>
      <c r="D101" s="462">
        <v>0.3701388888888889</v>
      </c>
      <c r="E101" s="462">
        <v>0.7541666666666667</v>
      </c>
      <c r="F101" s="463">
        <v>600000.0</v>
      </c>
      <c r="G101" s="464">
        <f t="shared" si="2"/>
        <v>2553.191489</v>
      </c>
      <c r="H101" s="464">
        <f t="shared" si="7"/>
        <v>9.116666667</v>
      </c>
      <c r="I101" s="464">
        <f t="shared" si="3"/>
        <v>0.1</v>
      </c>
      <c r="J101" s="464">
        <f t="shared" si="4"/>
        <v>0</v>
      </c>
      <c r="K101" s="465">
        <f t="shared" si="5"/>
        <v>23659.57447</v>
      </c>
      <c r="L101" s="466"/>
      <c r="M101" s="466"/>
      <c r="N101" s="465">
        <f t="shared" si="11"/>
        <v>0</v>
      </c>
      <c r="O101" s="465">
        <f t="shared" si="6"/>
        <v>23659.57447</v>
      </c>
      <c r="P101" s="467"/>
    </row>
    <row r="102" ht="26.25" customHeight="1">
      <c r="A102" s="459">
        <v>45922.0</v>
      </c>
      <c r="B102" s="460" t="s">
        <v>21</v>
      </c>
      <c r="C102" s="461" t="str">
        <f t="shared" si="1"/>
        <v>الاثنين</v>
      </c>
      <c r="D102" s="462">
        <v>0.3875</v>
      </c>
      <c r="E102" s="462">
        <v>0.7520833333333333</v>
      </c>
      <c r="F102" s="463">
        <v>600000.0</v>
      </c>
      <c r="G102" s="464">
        <f t="shared" si="2"/>
        <v>2553.191489</v>
      </c>
      <c r="H102" s="464">
        <f t="shared" si="7"/>
        <v>8.7</v>
      </c>
      <c r="I102" s="464">
        <f t="shared" si="3"/>
        <v>0.05</v>
      </c>
      <c r="J102" s="464">
        <f t="shared" si="4"/>
        <v>0</v>
      </c>
      <c r="K102" s="465">
        <f t="shared" si="5"/>
        <v>22404.25532</v>
      </c>
      <c r="L102" s="466"/>
      <c r="M102" s="466"/>
      <c r="N102" s="465">
        <f t="shared" si="11"/>
        <v>765.9574468</v>
      </c>
      <c r="O102" s="465">
        <f t="shared" si="6"/>
        <v>21638.29787</v>
      </c>
      <c r="P102" s="467"/>
    </row>
    <row r="103" ht="26.25" customHeight="1">
      <c r="A103" s="459">
        <v>45923.0</v>
      </c>
      <c r="B103" s="460" t="s">
        <v>21</v>
      </c>
      <c r="C103" s="461" t="str">
        <f t="shared" si="1"/>
        <v>الثلاثاء</v>
      </c>
      <c r="D103" s="462">
        <v>0.375</v>
      </c>
      <c r="E103" s="462">
        <v>0.7520833333333333</v>
      </c>
      <c r="F103" s="463">
        <v>600000.0</v>
      </c>
      <c r="G103" s="464">
        <f t="shared" si="2"/>
        <v>2553.191489</v>
      </c>
      <c r="H103" s="464">
        <f t="shared" si="7"/>
        <v>9</v>
      </c>
      <c r="I103" s="464">
        <f t="shared" si="3"/>
        <v>0.05</v>
      </c>
      <c r="J103" s="464">
        <f t="shared" si="4"/>
        <v>0</v>
      </c>
      <c r="K103" s="465">
        <f t="shared" si="5"/>
        <v>23170.21277</v>
      </c>
      <c r="L103" s="466"/>
      <c r="M103" s="466"/>
      <c r="N103" s="465">
        <f t="shared" si="11"/>
        <v>0</v>
      </c>
      <c r="O103" s="465">
        <f t="shared" si="6"/>
        <v>23170.21277</v>
      </c>
      <c r="P103" s="467"/>
    </row>
    <row r="104" ht="26.25" customHeight="1">
      <c r="A104" s="459">
        <v>45924.0</v>
      </c>
      <c r="B104" s="460" t="s">
        <v>21</v>
      </c>
      <c r="C104" s="461" t="str">
        <f t="shared" si="1"/>
        <v>الأربعاء</v>
      </c>
      <c r="D104" s="462">
        <v>0.375</v>
      </c>
      <c r="E104" s="462">
        <v>0.75</v>
      </c>
      <c r="F104" s="463">
        <v>600000.0</v>
      </c>
      <c r="G104" s="464">
        <f t="shared" si="2"/>
        <v>2553.191489</v>
      </c>
      <c r="H104" s="464">
        <f t="shared" si="7"/>
        <v>9</v>
      </c>
      <c r="I104" s="464">
        <f t="shared" si="3"/>
        <v>0</v>
      </c>
      <c r="J104" s="464">
        <f t="shared" si="4"/>
        <v>0</v>
      </c>
      <c r="K104" s="465">
        <f t="shared" si="5"/>
        <v>22978.7234</v>
      </c>
      <c r="L104" s="466"/>
      <c r="M104" s="466"/>
      <c r="N104" s="465">
        <f t="shared" si="11"/>
        <v>0</v>
      </c>
      <c r="O104" s="465">
        <f t="shared" si="6"/>
        <v>22978.7234</v>
      </c>
      <c r="P104" s="467"/>
    </row>
    <row r="105" ht="26.25" customHeight="1">
      <c r="A105" s="459">
        <v>45925.0</v>
      </c>
      <c r="B105" s="460" t="s">
        <v>21</v>
      </c>
      <c r="C105" s="461" t="str">
        <f t="shared" si="1"/>
        <v>الخميس</v>
      </c>
      <c r="D105" s="462">
        <v>0.375</v>
      </c>
      <c r="E105" s="462">
        <v>0.7840277777777778</v>
      </c>
      <c r="F105" s="463">
        <v>600000.0</v>
      </c>
      <c r="G105" s="464">
        <f t="shared" si="2"/>
        <v>2553.191489</v>
      </c>
      <c r="H105" s="464">
        <f t="shared" si="7"/>
        <v>9</v>
      </c>
      <c r="I105" s="464">
        <f t="shared" si="3"/>
        <v>0.8166666667</v>
      </c>
      <c r="J105" s="464">
        <f t="shared" si="4"/>
        <v>0</v>
      </c>
      <c r="K105" s="465">
        <f t="shared" si="5"/>
        <v>26106.38298</v>
      </c>
      <c r="L105" s="466"/>
      <c r="M105" s="466"/>
      <c r="N105" s="465">
        <f t="shared" si="11"/>
        <v>0</v>
      </c>
      <c r="O105" s="465">
        <f t="shared" si="6"/>
        <v>26106.38298</v>
      </c>
      <c r="P105" s="467"/>
    </row>
    <row r="106" ht="26.25" customHeight="1">
      <c r="A106" s="459">
        <v>45927.0</v>
      </c>
      <c r="B106" s="460" t="s">
        <v>21</v>
      </c>
      <c r="C106" s="461" t="str">
        <f t="shared" si="1"/>
        <v>السبت</v>
      </c>
      <c r="D106" s="462">
        <v>0.37777777777777777</v>
      </c>
      <c r="E106" s="462">
        <v>0.7604166666666666</v>
      </c>
      <c r="F106" s="463">
        <v>600000.0</v>
      </c>
      <c r="G106" s="464">
        <f t="shared" si="2"/>
        <v>2553.191489</v>
      </c>
      <c r="H106" s="464">
        <f t="shared" si="7"/>
        <v>8.933333333</v>
      </c>
      <c r="I106" s="464">
        <f t="shared" si="3"/>
        <v>0.25</v>
      </c>
      <c r="J106" s="464">
        <f t="shared" si="4"/>
        <v>0</v>
      </c>
      <c r="K106" s="465">
        <f t="shared" si="5"/>
        <v>23765.95745</v>
      </c>
      <c r="L106" s="466"/>
      <c r="M106" s="466"/>
      <c r="N106" s="465">
        <f t="shared" si="11"/>
        <v>170.212766</v>
      </c>
      <c r="O106" s="465">
        <f t="shared" si="6"/>
        <v>23595.74468</v>
      </c>
      <c r="P106" s="467"/>
    </row>
    <row r="107" ht="26.25" customHeight="1">
      <c r="A107" s="459">
        <v>45928.0</v>
      </c>
      <c r="B107" s="460" t="s">
        <v>21</v>
      </c>
      <c r="C107" s="461" t="str">
        <f t="shared" si="1"/>
        <v>الأحد</v>
      </c>
      <c r="D107" s="462">
        <v>0.37916666666666665</v>
      </c>
      <c r="E107" s="462">
        <v>0.7569444444444444</v>
      </c>
      <c r="F107" s="463">
        <v>600000.0</v>
      </c>
      <c r="G107" s="464">
        <f t="shared" si="2"/>
        <v>2553.191489</v>
      </c>
      <c r="H107" s="464">
        <f t="shared" si="7"/>
        <v>8.9</v>
      </c>
      <c r="I107" s="464">
        <f t="shared" si="3"/>
        <v>0.1666666667</v>
      </c>
      <c r="J107" s="464">
        <f t="shared" si="4"/>
        <v>0</v>
      </c>
      <c r="K107" s="465">
        <f t="shared" si="5"/>
        <v>23361.70213</v>
      </c>
      <c r="L107" s="466"/>
      <c r="M107" s="466"/>
      <c r="N107" s="465">
        <f t="shared" si="11"/>
        <v>255.3191489</v>
      </c>
      <c r="O107" s="465">
        <f t="shared" si="6"/>
        <v>23106.38298</v>
      </c>
      <c r="P107" s="467"/>
    </row>
    <row r="108" ht="26.25" customHeight="1">
      <c r="A108" s="459">
        <v>45929.0</v>
      </c>
      <c r="B108" s="460" t="s">
        <v>21</v>
      </c>
      <c r="C108" s="461" t="str">
        <f t="shared" si="1"/>
        <v>الاثنين</v>
      </c>
      <c r="D108" s="462">
        <v>0.39305555555555555</v>
      </c>
      <c r="E108" s="462">
        <v>0.7548611111111111</v>
      </c>
      <c r="F108" s="463">
        <v>600000.0</v>
      </c>
      <c r="G108" s="464">
        <f t="shared" si="2"/>
        <v>2553.191489</v>
      </c>
      <c r="H108" s="464">
        <f t="shared" si="7"/>
        <v>8.566666667</v>
      </c>
      <c r="I108" s="464">
        <f t="shared" si="3"/>
        <v>0.1166666667</v>
      </c>
      <c r="J108" s="464">
        <f t="shared" si="4"/>
        <v>0</v>
      </c>
      <c r="K108" s="465">
        <f t="shared" si="5"/>
        <v>22319.14894</v>
      </c>
      <c r="L108" s="466"/>
      <c r="M108" s="466"/>
      <c r="N108" s="465">
        <f t="shared" si="11"/>
        <v>1106.382979</v>
      </c>
      <c r="O108" s="465">
        <f t="shared" si="6"/>
        <v>21212.76596</v>
      </c>
      <c r="P108" s="467"/>
    </row>
    <row r="109" ht="26.25" customHeight="1">
      <c r="A109" s="459">
        <v>45930.0</v>
      </c>
      <c r="B109" s="460" t="s">
        <v>21</v>
      </c>
      <c r="C109" s="461" t="str">
        <f t="shared" si="1"/>
        <v>الثلاثاء</v>
      </c>
      <c r="D109" s="462">
        <v>0.3854166666666667</v>
      </c>
      <c r="E109" s="462">
        <v>0.7604166666666666</v>
      </c>
      <c r="F109" s="463">
        <v>600000.0</v>
      </c>
      <c r="G109" s="464">
        <f t="shared" si="2"/>
        <v>2553.191489</v>
      </c>
      <c r="H109" s="464">
        <f t="shared" si="7"/>
        <v>8.75</v>
      </c>
      <c r="I109" s="464">
        <f t="shared" si="3"/>
        <v>0.25</v>
      </c>
      <c r="J109" s="464">
        <f t="shared" si="4"/>
        <v>0</v>
      </c>
      <c r="K109" s="465">
        <f t="shared" si="5"/>
        <v>23297.87234</v>
      </c>
      <c r="L109" s="466"/>
      <c r="M109" s="466"/>
      <c r="N109" s="465">
        <f t="shared" si="11"/>
        <v>638.2978723</v>
      </c>
      <c r="O109" s="465">
        <f t="shared" si="6"/>
        <v>22659.57447</v>
      </c>
      <c r="P109" s="467"/>
    </row>
    <row r="110" ht="26.25" customHeight="1">
      <c r="A110" s="459">
        <v>45916.0</v>
      </c>
      <c r="B110" s="460" t="s">
        <v>24</v>
      </c>
      <c r="C110" s="461" t="str">
        <f t="shared" si="1"/>
        <v>الثلاثاء</v>
      </c>
      <c r="D110" s="462">
        <v>0.375</v>
      </c>
      <c r="E110" s="462">
        <v>0.75</v>
      </c>
      <c r="F110" s="463">
        <v>400000.0</v>
      </c>
      <c r="G110" s="464">
        <f t="shared" si="2"/>
        <v>1702.12766</v>
      </c>
      <c r="H110" s="464">
        <f t="shared" si="7"/>
        <v>9</v>
      </c>
      <c r="I110" s="464">
        <f t="shared" si="3"/>
        <v>0</v>
      </c>
      <c r="J110" s="464">
        <f t="shared" si="4"/>
        <v>0</v>
      </c>
      <c r="K110" s="465">
        <f t="shared" si="5"/>
        <v>15319.14894</v>
      </c>
      <c r="L110" s="466"/>
      <c r="M110" s="466"/>
      <c r="N110" s="465">
        <f t="shared" si="11"/>
        <v>0</v>
      </c>
      <c r="O110" s="465">
        <f t="shared" si="6"/>
        <v>15319.14894</v>
      </c>
      <c r="P110" s="467"/>
    </row>
    <row r="111" ht="26.25" customHeight="1">
      <c r="A111" s="459">
        <v>45918.0</v>
      </c>
      <c r="B111" s="460" t="s">
        <v>24</v>
      </c>
      <c r="C111" s="461" t="str">
        <f t="shared" si="1"/>
        <v>الخميس</v>
      </c>
      <c r="D111" s="462">
        <v>0.3763888888888889</v>
      </c>
      <c r="E111" s="462">
        <v>0.75</v>
      </c>
      <c r="F111" s="463">
        <v>400000.0</v>
      </c>
      <c r="G111" s="464">
        <f t="shared" si="2"/>
        <v>1702.12766</v>
      </c>
      <c r="H111" s="464">
        <f t="shared" si="7"/>
        <v>8.966666667</v>
      </c>
      <c r="I111" s="464">
        <f t="shared" si="3"/>
        <v>0</v>
      </c>
      <c r="J111" s="464">
        <f t="shared" si="4"/>
        <v>0</v>
      </c>
      <c r="K111" s="465">
        <f t="shared" si="5"/>
        <v>15262.41135</v>
      </c>
      <c r="L111" s="466"/>
      <c r="M111" s="466"/>
      <c r="N111" s="465">
        <f t="shared" si="11"/>
        <v>56.73758865</v>
      </c>
      <c r="O111" s="465">
        <f t="shared" si="6"/>
        <v>15205.67376</v>
      </c>
      <c r="P111" s="467"/>
    </row>
    <row r="112" ht="26.25" customHeight="1">
      <c r="A112" s="459">
        <v>45920.0</v>
      </c>
      <c r="B112" s="460" t="s">
        <v>24</v>
      </c>
      <c r="C112" s="461" t="str">
        <f t="shared" si="1"/>
        <v>السبت</v>
      </c>
      <c r="D112" s="462">
        <v>0.3854166666666667</v>
      </c>
      <c r="E112" s="462">
        <v>0.75</v>
      </c>
      <c r="F112" s="463">
        <v>400000.0</v>
      </c>
      <c r="G112" s="464">
        <f t="shared" si="2"/>
        <v>1702.12766</v>
      </c>
      <c r="H112" s="464">
        <f t="shared" si="7"/>
        <v>8.75</v>
      </c>
      <c r="I112" s="464">
        <f t="shared" si="3"/>
        <v>0</v>
      </c>
      <c r="J112" s="464">
        <f t="shared" si="4"/>
        <v>0</v>
      </c>
      <c r="K112" s="465">
        <f t="shared" si="5"/>
        <v>14893.61702</v>
      </c>
      <c r="L112" s="466"/>
      <c r="M112" s="466"/>
      <c r="N112" s="465">
        <f t="shared" si="11"/>
        <v>425.5319149</v>
      </c>
      <c r="O112" s="465">
        <f t="shared" si="6"/>
        <v>14468.08511</v>
      </c>
      <c r="P112" s="467"/>
    </row>
    <row r="113" ht="26.25" customHeight="1">
      <c r="A113" s="459">
        <v>45921.0</v>
      </c>
      <c r="B113" s="460" t="s">
        <v>24</v>
      </c>
      <c r="C113" s="461" t="str">
        <f t="shared" si="1"/>
        <v>الأحد</v>
      </c>
      <c r="D113" s="462">
        <v>0.37569444444444444</v>
      </c>
      <c r="E113" s="462">
        <v>0.75</v>
      </c>
      <c r="F113" s="463">
        <v>400000.0</v>
      </c>
      <c r="G113" s="464">
        <f t="shared" si="2"/>
        <v>1702.12766</v>
      </c>
      <c r="H113" s="464">
        <f t="shared" si="7"/>
        <v>8.983333333</v>
      </c>
      <c r="I113" s="464">
        <f t="shared" si="3"/>
        <v>0</v>
      </c>
      <c r="J113" s="464">
        <f t="shared" si="4"/>
        <v>0</v>
      </c>
      <c r="K113" s="465">
        <f t="shared" si="5"/>
        <v>15290.78014</v>
      </c>
      <c r="L113" s="466"/>
      <c r="M113" s="466"/>
      <c r="N113" s="465">
        <f t="shared" si="11"/>
        <v>28.36879433</v>
      </c>
      <c r="O113" s="465">
        <f t="shared" si="6"/>
        <v>15262.41135</v>
      </c>
      <c r="P113" s="467"/>
    </row>
    <row r="114" ht="26.25" customHeight="1">
      <c r="A114" s="459">
        <v>45922.0</v>
      </c>
      <c r="B114" s="460" t="s">
        <v>24</v>
      </c>
      <c r="C114" s="461" t="str">
        <f t="shared" si="1"/>
        <v>الاثنين</v>
      </c>
      <c r="D114" s="462">
        <v>0.37430555555555556</v>
      </c>
      <c r="E114" s="462">
        <v>0.75</v>
      </c>
      <c r="F114" s="463">
        <v>400000.0</v>
      </c>
      <c r="G114" s="464">
        <f t="shared" si="2"/>
        <v>1702.12766</v>
      </c>
      <c r="H114" s="464">
        <f t="shared" si="7"/>
        <v>9.016666667</v>
      </c>
      <c r="I114" s="464">
        <f t="shared" si="3"/>
        <v>0</v>
      </c>
      <c r="J114" s="464">
        <f t="shared" si="4"/>
        <v>0</v>
      </c>
      <c r="K114" s="465">
        <f t="shared" si="5"/>
        <v>15347.51773</v>
      </c>
      <c r="L114" s="466"/>
      <c r="M114" s="466"/>
      <c r="N114" s="465">
        <f t="shared" si="11"/>
        <v>0</v>
      </c>
      <c r="O114" s="465">
        <f t="shared" si="6"/>
        <v>15347.51773</v>
      </c>
      <c r="P114" s="467"/>
    </row>
    <row r="115" ht="26.25" customHeight="1">
      <c r="A115" s="459">
        <v>45923.0</v>
      </c>
      <c r="B115" s="460" t="s">
        <v>24</v>
      </c>
      <c r="C115" s="461" t="str">
        <f t="shared" si="1"/>
        <v>الثلاثاء</v>
      </c>
      <c r="D115" s="462">
        <v>0.3840277777777778</v>
      </c>
      <c r="E115" s="462">
        <v>0.75</v>
      </c>
      <c r="F115" s="463">
        <v>400000.0</v>
      </c>
      <c r="G115" s="464">
        <f t="shared" si="2"/>
        <v>1702.12766</v>
      </c>
      <c r="H115" s="464">
        <f t="shared" si="7"/>
        <v>8.783333333</v>
      </c>
      <c r="I115" s="464">
        <f t="shared" si="3"/>
        <v>0</v>
      </c>
      <c r="J115" s="464">
        <f t="shared" si="4"/>
        <v>0</v>
      </c>
      <c r="K115" s="465">
        <f t="shared" si="5"/>
        <v>14950.35461</v>
      </c>
      <c r="L115" s="466"/>
      <c r="M115" s="466"/>
      <c r="N115" s="465">
        <f t="shared" si="11"/>
        <v>368.7943262</v>
      </c>
      <c r="O115" s="465">
        <f t="shared" si="6"/>
        <v>14581.56028</v>
      </c>
      <c r="P115" s="467"/>
    </row>
    <row r="116" ht="26.25" customHeight="1">
      <c r="A116" s="459">
        <v>45924.0</v>
      </c>
      <c r="B116" s="460" t="s">
        <v>24</v>
      </c>
      <c r="C116" s="461" t="str">
        <f t="shared" si="1"/>
        <v>الأربعاء</v>
      </c>
      <c r="D116" s="462">
        <v>0.4166666666666667</v>
      </c>
      <c r="E116" s="462">
        <v>0.75</v>
      </c>
      <c r="F116" s="463">
        <v>400000.0</v>
      </c>
      <c r="G116" s="464">
        <f t="shared" si="2"/>
        <v>1702.12766</v>
      </c>
      <c r="H116" s="464">
        <f t="shared" si="7"/>
        <v>8</v>
      </c>
      <c r="I116" s="464">
        <f t="shared" si="3"/>
        <v>0</v>
      </c>
      <c r="J116" s="464">
        <f t="shared" si="4"/>
        <v>0</v>
      </c>
      <c r="K116" s="465">
        <f t="shared" si="5"/>
        <v>13617.02128</v>
      </c>
      <c r="L116" s="466"/>
      <c r="M116" s="465">
        <v>100000.0</v>
      </c>
      <c r="N116" s="465">
        <f t="shared" si="11"/>
        <v>1702.12766</v>
      </c>
      <c r="O116" s="465">
        <f t="shared" si="6"/>
        <v>-88085.10638</v>
      </c>
      <c r="P116" s="467"/>
    </row>
    <row r="117" ht="26.25" customHeight="1">
      <c r="A117" s="459">
        <v>45925.0</v>
      </c>
      <c r="B117" s="460" t="s">
        <v>24</v>
      </c>
      <c r="C117" s="461" t="str">
        <f t="shared" si="1"/>
        <v>الخميس</v>
      </c>
      <c r="D117" s="462">
        <v>0.375</v>
      </c>
      <c r="E117" s="462">
        <v>0.75</v>
      </c>
      <c r="F117" s="463">
        <v>400000.0</v>
      </c>
      <c r="G117" s="464">
        <f t="shared" si="2"/>
        <v>1702.12766</v>
      </c>
      <c r="H117" s="464">
        <f t="shared" si="7"/>
        <v>9</v>
      </c>
      <c r="I117" s="464">
        <f t="shared" si="3"/>
        <v>0</v>
      </c>
      <c r="J117" s="464">
        <f t="shared" si="4"/>
        <v>0</v>
      </c>
      <c r="K117" s="465">
        <f t="shared" si="5"/>
        <v>15319.14894</v>
      </c>
      <c r="L117" s="466"/>
      <c r="M117" s="466"/>
      <c r="N117" s="465">
        <f t="shared" si="11"/>
        <v>0</v>
      </c>
      <c r="O117" s="465">
        <f t="shared" si="6"/>
        <v>15319.14894</v>
      </c>
      <c r="P117" s="467"/>
    </row>
    <row r="118" ht="26.25" customHeight="1">
      <c r="A118" s="459">
        <v>45926.0</v>
      </c>
      <c r="B118" s="460" t="s">
        <v>24</v>
      </c>
      <c r="C118" s="461" t="str">
        <f t="shared" si="1"/>
        <v>الجمعة</v>
      </c>
      <c r="D118" s="471"/>
      <c r="E118" s="471"/>
      <c r="F118" s="463">
        <v>400000.0</v>
      </c>
      <c r="G118" s="464">
        <f t="shared" si="2"/>
        <v>1702.12766</v>
      </c>
      <c r="H118" s="464">
        <f t="shared" si="7"/>
        <v>0</v>
      </c>
      <c r="I118" s="464">
        <f t="shared" si="3"/>
        <v>0</v>
      </c>
      <c r="J118" s="464">
        <f t="shared" si="4"/>
        <v>0</v>
      </c>
      <c r="K118" s="465">
        <f t="shared" si="5"/>
        <v>0</v>
      </c>
      <c r="L118" s="466"/>
      <c r="M118" s="466"/>
      <c r="N118" s="465">
        <f t="shared" si="11"/>
        <v>0</v>
      </c>
      <c r="O118" s="465">
        <f t="shared" si="6"/>
        <v>0</v>
      </c>
      <c r="P118" s="467"/>
    </row>
    <row r="119" ht="26.25" customHeight="1">
      <c r="A119" s="459">
        <v>45927.0</v>
      </c>
      <c r="B119" s="460" t="s">
        <v>24</v>
      </c>
      <c r="C119" s="461" t="str">
        <f t="shared" si="1"/>
        <v>السبت</v>
      </c>
      <c r="D119" s="462">
        <v>0.37916666666666665</v>
      </c>
      <c r="E119" s="462">
        <v>0.75</v>
      </c>
      <c r="F119" s="463">
        <v>400000.0</v>
      </c>
      <c r="G119" s="464">
        <f t="shared" si="2"/>
        <v>1702.12766</v>
      </c>
      <c r="H119" s="464">
        <f t="shared" si="7"/>
        <v>8.9</v>
      </c>
      <c r="I119" s="464">
        <f t="shared" si="3"/>
        <v>0</v>
      </c>
      <c r="J119" s="464">
        <f t="shared" si="4"/>
        <v>0</v>
      </c>
      <c r="K119" s="465">
        <f t="shared" si="5"/>
        <v>15148.93617</v>
      </c>
      <c r="L119" s="466"/>
      <c r="M119" s="466"/>
      <c r="N119" s="465">
        <f t="shared" si="11"/>
        <v>170.212766</v>
      </c>
      <c r="O119" s="465">
        <f t="shared" si="6"/>
        <v>14978.7234</v>
      </c>
      <c r="P119" s="467"/>
    </row>
    <row r="120" ht="26.25" customHeight="1">
      <c r="A120" s="459">
        <v>45928.0</v>
      </c>
      <c r="B120" s="460" t="s">
        <v>24</v>
      </c>
      <c r="C120" s="461" t="str">
        <f t="shared" si="1"/>
        <v>الأحد</v>
      </c>
      <c r="D120" s="462">
        <v>0.3798611111111111</v>
      </c>
      <c r="E120" s="462">
        <v>0.75</v>
      </c>
      <c r="F120" s="463">
        <v>400000.0</v>
      </c>
      <c r="G120" s="464">
        <f t="shared" si="2"/>
        <v>1702.12766</v>
      </c>
      <c r="H120" s="464">
        <f t="shared" si="7"/>
        <v>8.883333333</v>
      </c>
      <c r="I120" s="464">
        <f t="shared" si="3"/>
        <v>0</v>
      </c>
      <c r="J120" s="464">
        <f t="shared" si="4"/>
        <v>0</v>
      </c>
      <c r="K120" s="465">
        <f t="shared" si="5"/>
        <v>15120.56738</v>
      </c>
      <c r="L120" s="466"/>
      <c r="M120" s="466"/>
      <c r="N120" s="465">
        <f t="shared" si="11"/>
        <v>198.5815603</v>
      </c>
      <c r="O120" s="465">
        <f t="shared" si="6"/>
        <v>14921.98582</v>
      </c>
      <c r="P120" s="470"/>
    </row>
    <row r="121" ht="26.25" customHeight="1">
      <c r="A121" s="459">
        <v>45929.0</v>
      </c>
      <c r="B121" s="460" t="s">
        <v>24</v>
      </c>
      <c r="C121" s="461" t="str">
        <f t="shared" si="1"/>
        <v>الاثنين</v>
      </c>
      <c r="D121" s="462">
        <v>0.38333333333333336</v>
      </c>
      <c r="E121" s="462">
        <v>0.75</v>
      </c>
      <c r="F121" s="463">
        <v>400000.0</v>
      </c>
      <c r="G121" s="464">
        <f t="shared" si="2"/>
        <v>1702.12766</v>
      </c>
      <c r="H121" s="464">
        <f t="shared" si="7"/>
        <v>8.8</v>
      </c>
      <c r="I121" s="464">
        <f t="shared" si="3"/>
        <v>0</v>
      </c>
      <c r="J121" s="464">
        <f t="shared" si="4"/>
        <v>0</v>
      </c>
      <c r="K121" s="465">
        <f t="shared" si="5"/>
        <v>14978.7234</v>
      </c>
      <c r="L121" s="466"/>
      <c r="M121" s="466"/>
      <c r="N121" s="465">
        <f t="shared" si="11"/>
        <v>340.4255319</v>
      </c>
      <c r="O121" s="465">
        <f t="shared" si="6"/>
        <v>14638.29787</v>
      </c>
      <c r="P121" s="470"/>
    </row>
    <row r="122" ht="26.25" customHeight="1">
      <c r="A122" s="459">
        <v>45930.0</v>
      </c>
      <c r="B122" s="460" t="s">
        <v>24</v>
      </c>
      <c r="C122" s="461" t="str">
        <f t="shared" si="1"/>
        <v>الثلاثاء</v>
      </c>
      <c r="D122" s="462">
        <v>0.5645833333333333</v>
      </c>
      <c r="E122" s="462">
        <v>0.75</v>
      </c>
      <c r="F122" s="463">
        <v>400000.0</v>
      </c>
      <c r="G122" s="464">
        <f t="shared" si="2"/>
        <v>1702.12766</v>
      </c>
      <c r="H122" s="464">
        <f t="shared" si="7"/>
        <v>4.45</v>
      </c>
      <c r="I122" s="464">
        <f t="shared" si="3"/>
        <v>0</v>
      </c>
      <c r="J122" s="464">
        <f t="shared" si="4"/>
        <v>0</v>
      </c>
      <c r="K122" s="465">
        <f t="shared" si="5"/>
        <v>7574.468085</v>
      </c>
      <c r="L122" s="466"/>
      <c r="M122" s="465">
        <v>110000.0</v>
      </c>
      <c r="N122" s="465">
        <v>0.0</v>
      </c>
      <c r="O122" s="465">
        <f t="shared" si="6"/>
        <v>-102425.5319</v>
      </c>
      <c r="P122" s="470"/>
    </row>
    <row r="123" ht="26.25" customHeight="1">
      <c r="A123" s="459">
        <v>45916.0</v>
      </c>
      <c r="B123" s="460" t="s">
        <v>2466</v>
      </c>
      <c r="C123" s="461" t="str">
        <f t="shared" si="1"/>
        <v>الثلاثاء</v>
      </c>
      <c r="D123" s="462">
        <v>0.375</v>
      </c>
      <c r="E123" s="462">
        <v>0.7798611111111111</v>
      </c>
      <c r="F123" s="463">
        <v>300000.0</v>
      </c>
      <c r="G123" s="464">
        <f t="shared" si="2"/>
        <v>1276.595745</v>
      </c>
      <c r="H123" s="464">
        <f t="shared" si="7"/>
        <v>9</v>
      </c>
      <c r="I123" s="464">
        <f t="shared" si="3"/>
        <v>0.7166666667</v>
      </c>
      <c r="J123" s="464">
        <f t="shared" si="4"/>
        <v>0</v>
      </c>
      <c r="K123" s="465">
        <f t="shared" si="5"/>
        <v>12861.70213</v>
      </c>
      <c r="L123" s="466"/>
      <c r="M123" s="466"/>
      <c r="N123" s="465">
        <f t="shared" ref="N123:N124" si="12">IF(C123="الجمعة",0,IF(D123&gt;TIME(9,0,0),(D123-TIME(9,0,0))*24*60*(G123/60),0))</f>
        <v>0</v>
      </c>
      <c r="O123" s="465">
        <f t="shared" si="6"/>
        <v>12861.70213</v>
      </c>
      <c r="P123" s="470"/>
    </row>
    <row r="124" ht="26.25" customHeight="1">
      <c r="A124" s="459">
        <v>45918.0</v>
      </c>
      <c r="B124" s="460" t="s">
        <v>2466</v>
      </c>
      <c r="C124" s="461" t="str">
        <f t="shared" si="1"/>
        <v>الخميس</v>
      </c>
      <c r="D124" s="462">
        <v>0.36666666666666664</v>
      </c>
      <c r="E124" s="462">
        <v>0.7583333333333333</v>
      </c>
      <c r="F124" s="463">
        <v>300000.0</v>
      </c>
      <c r="G124" s="464">
        <f t="shared" si="2"/>
        <v>1276.595745</v>
      </c>
      <c r="H124" s="464">
        <f t="shared" si="7"/>
        <v>9.2</v>
      </c>
      <c r="I124" s="464">
        <f t="shared" si="3"/>
        <v>0.2</v>
      </c>
      <c r="J124" s="464">
        <f t="shared" si="4"/>
        <v>0</v>
      </c>
      <c r="K124" s="465">
        <f t="shared" si="5"/>
        <v>12127.65957</v>
      </c>
      <c r="L124" s="466"/>
      <c r="M124" s="466"/>
      <c r="N124" s="465">
        <f t="shared" si="12"/>
        <v>0</v>
      </c>
      <c r="O124" s="465">
        <f t="shared" si="6"/>
        <v>12127.65957</v>
      </c>
      <c r="P124" s="467"/>
    </row>
    <row r="125" ht="26.25" customHeight="1">
      <c r="A125" s="459">
        <v>45923.0</v>
      </c>
      <c r="B125" s="460" t="s">
        <v>2466</v>
      </c>
      <c r="C125" s="461" t="str">
        <f t="shared" si="1"/>
        <v>الثلاثاء</v>
      </c>
      <c r="D125" s="462">
        <v>0.5847222222222223</v>
      </c>
      <c r="E125" s="462">
        <v>0.8048611111111111</v>
      </c>
      <c r="F125" s="463">
        <v>300000.0</v>
      </c>
      <c r="G125" s="464">
        <f t="shared" si="2"/>
        <v>1276.595745</v>
      </c>
      <c r="H125" s="464">
        <f t="shared" si="7"/>
        <v>3.966666667</v>
      </c>
      <c r="I125" s="464">
        <f t="shared" si="3"/>
        <v>1.316666667</v>
      </c>
      <c r="J125" s="464">
        <f t="shared" si="4"/>
        <v>0</v>
      </c>
      <c r="K125" s="465">
        <f t="shared" si="5"/>
        <v>7585.106383</v>
      </c>
      <c r="L125" s="466"/>
      <c r="M125" s="466"/>
      <c r="N125" s="465">
        <v>0.0</v>
      </c>
      <c r="O125" s="465">
        <f t="shared" si="6"/>
        <v>7585.106383</v>
      </c>
      <c r="P125" s="467"/>
    </row>
    <row r="126" ht="26.25" customHeight="1">
      <c r="A126" s="459">
        <v>45924.0</v>
      </c>
      <c r="B126" s="460" t="s">
        <v>2466</v>
      </c>
      <c r="C126" s="461" t="str">
        <f t="shared" si="1"/>
        <v>الأربعاء</v>
      </c>
      <c r="D126" s="462">
        <v>0.5756944444444444</v>
      </c>
      <c r="E126" s="462">
        <v>0.89375</v>
      </c>
      <c r="F126" s="463">
        <v>300000.0</v>
      </c>
      <c r="G126" s="464">
        <f t="shared" si="2"/>
        <v>1276.595745</v>
      </c>
      <c r="H126" s="464">
        <f t="shared" si="7"/>
        <v>4.183333333</v>
      </c>
      <c r="I126" s="464">
        <f t="shared" si="3"/>
        <v>3.45</v>
      </c>
      <c r="J126" s="464">
        <f t="shared" si="4"/>
        <v>0</v>
      </c>
      <c r="K126" s="465">
        <f t="shared" si="5"/>
        <v>11946.80851</v>
      </c>
      <c r="L126" s="466"/>
      <c r="M126" s="466"/>
      <c r="N126" s="465">
        <v>0.0</v>
      </c>
      <c r="O126" s="465">
        <f t="shared" si="6"/>
        <v>11946.80851</v>
      </c>
      <c r="P126" s="467"/>
    </row>
    <row r="127" ht="26.25" customHeight="1">
      <c r="A127" s="459">
        <v>45925.0</v>
      </c>
      <c r="B127" s="460" t="s">
        <v>2466</v>
      </c>
      <c r="C127" s="461" t="str">
        <f t="shared" si="1"/>
        <v>الخميس</v>
      </c>
      <c r="D127" s="462">
        <v>0.5736111111111111</v>
      </c>
      <c r="E127" s="462">
        <v>0.8909722222222223</v>
      </c>
      <c r="F127" s="463">
        <v>300000.0</v>
      </c>
      <c r="G127" s="464">
        <f t="shared" si="2"/>
        <v>1276.595745</v>
      </c>
      <c r="H127" s="464">
        <f t="shared" si="7"/>
        <v>4.233333333</v>
      </c>
      <c r="I127" s="464">
        <f t="shared" si="3"/>
        <v>3.383333333</v>
      </c>
      <c r="J127" s="464">
        <f t="shared" si="4"/>
        <v>0</v>
      </c>
      <c r="K127" s="465">
        <f t="shared" si="5"/>
        <v>11882.97872</v>
      </c>
      <c r="L127" s="466"/>
      <c r="M127" s="466"/>
      <c r="N127" s="465">
        <v>0.0</v>
      </c>
      <c r="O127" s="465">
        <f t="shared" si="6"/>
        <v>11882.97872</v>
      </c>
      <c r="P127" s="467"/>
    </row>
    <row r="128" ht="26.25" customHeight="1">
      <c r="A128" s="459">
        <v>45927.0</v>
      </c>
      <c r="B128" s="460" t="s">
        <v>2466</v>
      </c>
      <c r="C128" s="461" t="str">
        <f t="shared" si="1"/>
        <v>السبت</v>
      </c>
      <c r="D128" s="462">
        <v>0.5798611111111112</v>
      </c>
      <c r="E128" s="462">
        <v>0.8881944444444444</v>
      </c>
      <c r="F128" s="463">
        <v>300000.0</v>
      </c>
      <c r="G128" s="464">
        <f t="shared" si="2"/>
        <v>1276.595745</v>
      </c>
      <c r="H128" s="464">
        <f t="shared" si="7"/>
        <v>4.083333333</v>
      </c>
      <c r="I128" s="464">
        <f t="shared" si="3"/>
        <v>3.316666667</v>
      </c>
      <c r="J128" s="464">
        <f t="shared" si="4"/>
        <v>0</v>
      </c>
      <c r="K128" s="465">
        <f t="shared" si="5"/>
        <v>11563.82979</v>
      </c>
      <c r="L128" s="466"/>
      <c r="M128" s="466"/>
      <c r="N128" s="465">
        <v>0.0</v>
      </c>
      <c r="O128" s="465">
        <f t="shared" si="6"/>
        <v>11563.82979</v>
      </c>
      <c r="P128" s="467"/>
    </row>
    <row r="129" ht="26.25" customHeight="1">
      <c r="A129" s="459">
        <v>45928.0</v>
      </c>
      <c r="B129" s="460" t="s">
        <v>2466</v>
      </c>
      <c r="C129" s="461" t="str">
        <f t="shared" si="1"/>
        <v>الأحد</v>
      </c>
      <c r="D129" s="462">
        <v>0.5868055555555556</v>
      </c>
      <c r="E129" s="462">
        <v>0.8875</v>
      </c>
      <c r="F129" s="463">
        <v>300000.0</v>
      </c>
      <c r="G129" s="464">
        <f t="shared" si="2"/>
        <v>1276.595745</v>
      </c>
      <c r="H129" s="464">
        <f t="shared" si="7"/>
        <v>3.916666667</v>
      </c>
      <c r="I129" s="464">
        <f t="shared" si="3"/>
        <v>3.3</v>
      </c>
      <c r="J129" s="464">
        <f t="shared" si="4"/>
        <v>0</v>
      </c>
      <c r="K129" s="465">
        <f t="shared" si="5"/>
        <v>11319.14894</v>
      </c>
      <c r="L129" s="466"/>
      <c r="M129" s="466"/>
      <c r="N129" s="465">
        <v>0.0</v>
      </c>
      <c r="O129" s="465">
        <f t="shared" si="6"/>
        <v>11319.14894</v>
      </c>
      <c r="P129" s="467"/>
    </row>
    <row r="130" ht="26.25" customHeight="1">
      <c r="A130" s="459">
        <v>45929.0</v>
      </c>
      <c r="B130" s="460" t="s">
        <v>2466</v>
      </c>
      <c r="C130" s="461" t="str">
        <f t="shared" si="1"/>
        <v>الاثنين</v>
      </c>
      <c r="D130" s="462">
        <v>0.5875</v>
      </c>
      <c r="E130" s="462">
        <v>0.8791666666666667</v>
      </c>
      <c r="F130" s="463">
        <v>300000.0</v>
      </c>
      <c r="G130" s="464">
        <f t="shared" si="2"/>
        <v>1276.595745</v>
      </c>
      <c r="H130" s="464">
        <f t="shared" si="7"/>
        <v>3.9</v>
      </c>
      <c r="I130" s="464">
        <f t="shared" si="3"/>
        <v>3.1</v>
      </c>
      <c r="J130" s="464">
        <f t="shared" si="4"/>
        <v>0</v>
      </c>
      <c r="K130" s="465">
        <f t="shared" si="5"/>
        <v>10914.89362</v>
      </c>
      <c r="L130" s="466"/>
      <c r="M130" s="466"/>
      <c r="N130" s="465">
        <v>0.0</v>
      </c>
      <c r="O130" s="465">
        <f t="shared" si="6"/>
        <v>10914.89362</v>
      </c>
      <c r="P130" s="467"/>
    </row>
    <row r="131" ht="26.25" customHeight="1">
      <c r="A131" s="459">
        <v>45930.0</v>
      </c>
      <c r="B131" s="460" t="s">
        <v>2466</v>
      </c>
      <c r="C131" s="461" t="str">
        <f t="shared" si="1"/>
        <v>الثلاثاء</v>
      </c>
      <c r="D131" s="462">
        <v>0.5833333333333334</v>
      </c>
      <c r="E131" s="462">
        <v>0.7868055555555555</v>
      </c>
      <c r="F131" s="463">
        <v>300000.0</v>
      </c>
      <c r="G131" s="464">
        <f t="shared" si="2"/>
        <v>1276.595745</v>
      </c>
      <c r="H131" s="464">
        <f t="shared" si="7"/>
        <v>4</v>
      </c>
      <c r="I131" s="464">
        <f t="shared" si="3"/>
        <v>0.8833333333</v>
      </c>
      <c r="J131" s="464">
        <f t="shared" si="4"/>
        <v>0</v>
      </c>
      <c r="K131" s="465">
        <f t="shared" si="5"/>
        <v>6797.87234</v>
      </c>
      <c r="L131" s="466"/>
      <c r="M131" s="466"/>
      <c r="N131" s="465">
        <v>0.0</v>
      </c>
      <c r="O131" s="465">
        <f t="shared" si="6"/>
        <v>6797.87234</v>
      </c>
      <c r="P131" s="467"/>
    </row>
    <row r="132" ht="26.25" customHeight="1">
      <c r="A132" s="459">
        <v>45901.0</v>
      </c>
      <c r="B132" s="460" t="s">
        <v>26</v>
      </c>
      <c r="C132" s="461" t="str">
        <f t="shared" si="1"/>
        <v>الاثنين</v>
      </c>
      <c r="D132" s="462">
        <v>0.3333333333333333</v>
      </c>
      <c r="E132" s="462">
        <v>0.63125</v>
      </c>
      <c r="F132" s="463">
        <v>300000.0</v>
      </c>
      <c r="G132" s="464">
        <f t="shared" ref="G132:G154" si="13">F132/182</f>
        <v>1648.351648</v>
      </c>
      <c r="H132" s="464">
        <f t="shared" si="7"/>
        <v>7.15</v>
      </c>
      <c r="I132" s="464">
        <f t="shared" si="3"/>
        <v>0</v>
      </c>
      <c r="J132" s="464">
        <f t="shared" si="4"/>
        <v>0</v>
      </c>
      <c r="K132" s="465">
        <f t="shared" si="5"/>
        <v>11785.71429</v>
      </c>
      <c r="L132" s="466"/>
      <c r="M132" s="466"/>
      <c r="N132" s="465">
        <v>4000.0</v>
      </c>
      <c r="O132" s="465">
        <f t="shared" si="6"/>
        <v>7785.714286</v>
      </c>
      <c r="P132" s="468" t="s">
        <v>367</v>
      </c>
    </row>
    <row r="133" ht="26.25" customHeight="1">
      <c r="A133" s="459">
        <v>45902.0</v>
      </c>
      <c r="B133" s="460" t="s">
        <v>26</v>
      </c>
      <c r="C133" s="461" t="str">
        <f t="shared" si="1"/>
        <v>الثلاثاء</v>
      </c>
      <c r="D133" s="462">
        <v>0.3333333333333333</v>
      </c>
      <c r="E133" s="462">
        <v>0.6479166666666667</v>
      </c>
      <c r="F133" s="463">
        <v>300000.0</v>
      </c>
      <c r="G133" s="464">
        <f t="shared" si="13"/>
        <v>1648.351648</v>
      </c>
      <c r="H133" s="464">
        <f t="shared" si="7"/>
        <v>7.55</v>
      </c>
      <c r="I133" s="464">
        <f t="shared" si="3"/>
        <v>0</v>
      </c>
      <c r="J133" s="464">
        <f t="shared" si="4"/>
        <v>0</v>
      </c>
      <c r="K133" s="465">
        <f t="shared" si="5"/>
        <v>12445.05495</v>
      </c>
      <c r="L133" s="466"/>
      <c r="M133" s="466"/>
      <c r="N133" s="465">
        <f t="shared" ref="N133:N134" si="14">IF(C133="الجمعة",0,IF(D133&gt;TIME(9,0,0),(D133-TIME(9,0,0))*24*60*(G133/60),0))</f>
        <v>0</v>
      </c>
      <c r="O133" s="465">
        <f t="shared" si="6"/>
        <v>12445.05495</v>
      </c>
      <c r="P133" s="467"/>
    </row>
    <row r="134" ht="26.25" customHeight="1">
      <c r="A134" s="459">
        <v>45903.0</v>
      </c>
      <c r="B134" s="460" t="s">
        <v>26</v>
      </c>
      <c r="C134" s="461" t="str">
        <f t="shared" si="1"/>
        <v>الأربعاء</v>
      </c>
      <c r="D134" s="462">
        <v>0.3333333333333333</v>
      </c>
      <c r="E134" s="462">
        <v>0.6597222222222222</v>
      </c>
      <c r="F134" s="463">
        <v>300000.0</v>
      </c>
      <c r="G134" s="464">
        <f t="shared" si="13"/>
        <v>1648.351648</v>
      </c>
      <c r="H134" s="464">
        <f t="shared" si="7"/>
        <v>7.833333333</v>
      </c>
      <c r="I134" s="464">
        <f t="shared" si="3"/>
        <v>0</v>
      </c>
      <c r="J134" s="464">
        <f t="shared" si="4"/>
        <v>0</v>
      </c>
      <c r="K134" s="465">
        <f t="shared" si="5"/>
        <v>12912.08791</v>
      </c>
      <c r="L134" s="466"/>
      <c r="M134" s="466"/>
      <c r="N134" s="465">
        <f t="shared" si="14"/>
        <v>0</v>
      </c>
      <c r="O134" s="465">
        <f t="shared" si="6"/>
        <v>12912.08791</v>
      </c>
      <c r="P134" s="467"/>
    </row>
    <row r="135" ht="26.25" customHeight="1">
      <c r="A135" s="459">
        <v>45904.0</v>
      </c>
      <c r="B135" s="460" t="s">
        <v>26</v>
      </c>
      <c r="C135" s="461" t="str">
        <f t="shared" si="1"/>
        <v>الخميس</v>
      </c>
      <c r="D135" s="462">
        <v>0.6041666666666666</v>
      </c>
      <c r="E135" s="462">
        <v>0.9166666666666666</v>
      </c>
      <c r="F135" s="463">
        <v>300000.0</v>
      </c>
      <c r="G135" s="464">
        <f t="shared" si="13"/>
        <v>1648.351648</v>
      </c>
      <c r="H135" s="464">
        <f t="shared" si="7"/>
        <v>3.5</v>
      </c>
      <c r="I135" s="464">
        <f t="shared" si="3"/>
        <v>4</v>
      </c>
      <c r="J135" s="464">
        <f t="shared" si="4"/>
        <v>0</v>
      </c>
      <c r="K135" s="465">
        <f t="shared" si="5"/>
        <v>15659.34066</v>
      </c>
      <c r="L135" s="466"/>
      <c r="M135" s="466"/>
      <c r="N135" s="465">
        <v>0.0</v>
      </c>
      <c r="O135" s="465">
        <f t="shared" si="6"/>
        <v>15659.34066</v>
      </c>
      <c r="P135" s="467"/>
    </row>
    <row r="136" ht="26.25" customHeight="1">
      <c r="A136" s="459">
        <v>45905.0</v>
      </c>
      <c r="B136" s="460" t="s">
        <v>26</v>
      </c>
      <c r="C136" s="461" t="str">
        <f t="shared" si="1"/>
        <v>الجمعة</v>
      </c>
      <c r="D136" s="462">
        <v>0.49166666666666664</v>
      </c>
      <c r="E136" s="462">
        <v>0.7701388888888889</v>
      </c>
      <c r="F136" s="463">
        <v>300000.0</v>
      </c>
      <c r="G136" s="464">
        <f t="shared" si="13"/>
        <v>1648.351648</v>
      </c>
      <c r="H136" s="464">
        <f t="shared" si="7"/>
        <v>0</v>
      </c>
      <c r="I136" s="464">
        <f t="shared" si="3"/>
        <v>0</v>
      </c>
      <c r="J136" s="464">
        <f t="shared" si="4"/>
        <v>6.683333333</v>
      </c>
      <c r="K136" s="465">
        <f t="shared" si="5"/>
        <v>22032.96703</v>
      </c>
      <c r="L136" s="466"/>
      <c r="M136" s="466"/>
      <c r="N136" s="465">
        <f t="shared" ref="N136:N142" si="15">IF(C136="الجمعة",0,IF(D136&gt;TIME(9,0,0),(D136-TIME(9,0,0))*24*60*(G136/60),0))</f>
        <v>0</v>
      </c>
      <c r="O136" s="465">
        <f t="shared" si="6"/>
        <v>22032.96703</v>
      </c>
      <c r="P136" s="467"/>
    </row>
    <row r="137" ht="26.25" customHeight="1">
      <c r="A137" s="459">
        <v>45906.0</v>
      </c>
      <c r="B137" s="460" t="s">
        <v>26</v>
      </c>
      <c r="C137" s="461" t="str">
        <f t="shared" si="1"/>
        <v>السبت</v>
      </c>
      <c r="D137" s="462">
        <v>0.3333333333333333</v>
      </c>
      <c r="E137" s="462">
        <v>0.64375</v>
      </c>
      <c r="F137" s="463">
        <v>300000.0</v>
      </c>
      <c r="G137" s="464">
        <f t="shared" si="13"/>
        <v>1648.351648</v>
      </c>
      <c r="H137" s="464">
        <f t="shared" si="7"/>
        <v>7.45</v>
      </c>
      <c r="I137" s="464">
        <f t="shared" si="3"/>
        <v>0</v>
      </c>
      <c r="J137" s="464">
        <f t="shared" si="4"/>
        <v>0</v>
      </c>
      <c r="K137" s="465">
        <f t="shared" si="5"/>
        <v>12280.21978</v>
      </c>
      <c r="L137" s="466"/>
      <c r="M137" s="466"/>
      <c r="N137" s="465">
        <f t="shared" si="15"/>
        <v>0</v>
      </c>
      <c r="O137" s="465">
        <f t="shared" si="6"/>
        <v>12280.21978</v>
      </c>
      <c r="P137" s="467"/>
    </row>
    <row r="138" ht="26.25" customHeight="1">
      <c r="A138" s="459">
        <v>45907.0</v>
      </c>
      <c r="B138" s="460" t="s">
        <v>26</v>
      </c>
      <c r="C138" s="461" t="str">
        <f t="shared" si="1"/>
        <v>الأحد</v>
      </c>
      <c r="D138" s="462">
        <v>0.33194444444444443</v>
      </c>
      <c r="E138" s="462">
        <v>0.6277777777777778</v>
      </c>
      <c r="F138" s="463">
        <v>300000.0</v>
      </c>
      <c r="G138" s="464">
        <f t="shared" si="13"/>
        <v>1648.351648</v>
      </c>
      <c r="H138" s="464">
        <f t="shared" si="7"/>
        <v>7.1</v>
      </c>
      <c r="I138" s="464">
        <f t="shared" si="3"/>
        <v>0</v>
      </c>
      <c r="J138" s="464">
        <f t="shared" si="4"/>
        <v>0</v>
      </c>
      <c r="K138" s="465">
        <f t="shared" si="5"/>
        <v>11703.2967</v>
      </c>
      <c r="L138" s="466"/>
      <c r="M138" s="466"/>
      <c r="N138" s="465">
        <f t="shared" si="15"/>
        <v>0</v>
      </c>
      <c r="O138" s="465">
        <f t="shared" si="6"/>
        <v>11703.2967</v>
      </c>
      <c r="P138" s="470"/>
    </row>
    <row r="139" ht="26.25" customHeight="1">
      <c r="A139" s="459">
        <v>45908.0</v>
      </c>
      <c r="B139" s="460" t="s">
        <v>26</v>
      </c>
      <c r="C139" s="461" t="str">
        <f t="shared" si="1"/>
        <v>الاثنين</v>
      </c>
      <c r="D139" s="462">
        <v>0.3333333333333333</v>
      </c>
      <c r="E139" s="462">
        <v>0.6423611111111112</v>
      </c>
      <c r="F139" s="463">
        <v>300000.0</v>
      </c>
      <c r="G139" s="464">
        <f t="shared" si="13"/>
        <v>1648.351648</v>
      </c>
      <c r="H139" s="464">
        <f t="shared" si="7"/>
        <v>7.416666667</v>
      </c>
      <c r="I139" s="464">
        <f t="shared" si="3"/>
        <v>0</v>
      </c>
      <c r="J139" s="464">
        <f t="shared" si="4"/>
        <v>0</v>
      </c>
      <c r="K139" s="465">
        <f t="shared" si="5"/>
        <v>12225.27473</v>
      </c>
      <c r="L139" s="466"/>
      <c r="M139" s="466"/>
      <c r="N139" s="465">
        <f t="shared" si="15"/>
        <v>0</v>
      </c>
      <c r="O139" s="465">
        <f t="shared" si="6"/>
        <v>12225.27473</v>
      </c>
      <c r="P139" s="467"/>
    </row>
    <row r="140" ht="26.25" customHeight="1">
      <c r="A140" s="459">
        <v>45909.0</v>
      </c>
      <c r="B140" s="460" t="s">
        <v>26</v>
      </c>
      <c r="C140" s="461" t="str">
        <f t="shared" si="1"/>
        <v>الثلاثاء</v>
      </c>
      <c r="D140" s="462">
        <v>0.3284722222222222</v>
      </c>
      <c r="E140" s="462">
        <v>0.6347222222222222</v>
      </c>
      <c r="F140" s="463">
        <v>300000.0</v>
      </c>
      <c r="G140" s="464">
        <f t="shared" si="13"/>
        <v>1648.351648</v>
      </c>
      <c r="H140" s="464">
        <f t="shared" si="7"/>
        <v>7.35</v>
      </c>
      <c r="I140" s="464">
        <f t="shared" si="3"/>
        <v>0</v>
      </c>
      <c r="J140" s="464">
        <f t="shared" si="4"/>
        <v>0</v>
      </c>
      <c r="K140" s="465">
        <f t="shared" si="5"/>
        <v>12115.38462</v>
      </c>
      <c r="L140" s="466"/>
      <c r="M140" s="466"/>
      <c r="N140" s="465">
        <f t="shared" si="15"/>
        <v>0</v>
      </c>
      <c r="O140" s="465">
        <f t="shared" si="6"/>
        <v>12115.38462</v>
      </c>
      <c r="P140" s="467"/>
    </row>
    <row r="141" ht="26.25" customHeight="1">
      <c r="A141" s="459">
        <v>45910.0</v>
      </c>
      <c r="B141" s="460" t="s">
        <v>26</v>
      </c>
      <c r="C141" s="461" t="str">
        <f t="shared" si="1"/>
        <v>الأربعاء</v>
      </c>
      <c r="D141" s="462">
        <v>0.3333333333333333</v>
      </c>
      <c r="E141" s="462">
        <v>0.6354166666666666</v>
      </c>
      <c r="F141" s="463">
        <v>300000.0</v>
      </c>
      <c r="G141" s="464">
        <f t="shared" si="13"/>
        <v>1648.351648</v>
      </c>
      <c r="H141" s="464">
        <f t="shared" si="7"/>
        <v>7.25</v>
      </c>
      <c r="I141" s="464">
        <f t="shared" si="3"/>
        <v>0</v>
      </c>
      <c r="J141" s="464">
        <f t="shared" si="4"/>
        <v>0</v>
      </c>
      <c r="K141" s="465">
        <f t="shared" si="5"/>
        <v>11950.54945</v>
      </c>
      <c r="L141" s="466"/>
      <c r="M141" s="466"/>
      <c r="N141" s="465">
        <f t="shared" si="15"/>
        <v>0</v>
      </c>
      <c r="O141" s="465">
        <f t="shared" si="6"/>
        <v>11950.54945</v>
      </c>
      <c r="P141" s="467"/>
    </row>
    <row r="142" ht="26.25" customHeight="1">
      <c r="A142" s="459">
        <v>45913.0</v>
      </c>
      <c r="B142" s="460" t="s">
        <v>26</v>
      </c>
      <c r="C142" s="461" t="str">
        <f t="shared" si="1"/>
        <v>السبت</v>
      </c>
      <c r="D142" s="462">
        <v>0.3298611111111111</v>
      </c>
      <c r="E142" s="462">
        <v>0.6368055555555555</v>
      </c>
      <c r="F142" s="463">
        <v>300000.0</v>
      </c>
      <c r="G142" s="464">
        <f t="shared" si="13"/>
        <v>1648.351648</v>
      </c>
      <c r="H142" s="464">
        <f t="shared" si="7"/>
        <v>7.366666667</v>
      </c>
      <c r="I142" s="464">
        <f t="shared" si="3"/>
        <v>0</v>
      </c>
      <c r="J142" s="464">
        <f t="shared" si="4"/>
        <v>0</v>
      </c>
      <c r="K142" s="465">
        <f t="shared" si="5"/>
        <v>12142.85714</v>
      </c>
      <c r="L142" s="466"/>
      <c r="M142" s="466"/>
      <c r="N142" s="465">
        <f t="shared" si="15"/>
        <v>0</v>
      </c>
      <c r="O142" s="465">
        <f t="shared" si="6"/>
        <v>12142.85714</v>
      </c>
      <c r="P142" s="467"/>
    </row>
    <row r="143" ht="26.25" customHeight="1">
      <c r="A143" s="459">
        <v>45911.0</v>
      </c>
      <c r="B143" s="460" t="s">
        <v>26</v>
      </c>
      <c r="C143" s="461" t="str">
        <f t="shared" si="1"/>
        <v>الخميس</v>
      </c>
      <c r="D143" s="462">
        <v>0.5576388888888889</v>
      </c>
      <c r="E143" s="462">
        <v>0.7125</v>
      </c>
      <c r="F143" s="463">
        <v>300000.0</v>
      </c>
      <c r="G143" s="464">
        <f t="shared" si="13"/>
        <v>1648.351648</v>
      </c>
      <c r="H143" s="464">
        <f t="shared" si="7"/>
        <v>3.716666667</v>
      </c>
      <c r="I143" s="464">
        <f t="shared" si="3"/>
        <v>0</v>
      </c>
      <c r="J143" s="464">
        <f t="shared" si="4"/>
        <v>0</v>
      </c>
      <c r="K143" s="465">
        <f t="shared" si="5"/>
        <v>6126.373626</v>
      </c>
      <c r="L143" s="466"/>
      <c r="M143" s="466"/>
      <c r="N143" s="465">
        <v>0.0</v>
      </c>
      <c r="O143" s="465">
        <f t="shared" si="6"/>
        <v>6126.373626</v>
      </c>
      <c r="P143" s="467"/>
    </row>
    <row r="144" ht="26.25" customHeight="1">
      <c r="A144" s="459">
        <v>45914.0</v>
      </c>
      <c r="B144" s="460" t="s">
        <v>26</v>
      </c>
      <c r="C144" s="461" t="str">
        <f t="shared" si="1"/>
        <v>الأحد</v>
      </c>
      <c r="D144" s="462">
        <v>0.3333333333333333</v>
      </c>
      <c r="E144" s="462">
        <v>0.63125</v>
      </c>
      <c r="F144" s="463">
        <v>300000.0</v>
      </c>
      <c r="G144" s="464">
        <f t="shared" si="13"/>
        <v>1648.351648</v>
      </c>
      <c r="H144" s="464">
        <f t="shared" si="7"/>
        <v>7.15</v>
      </c>
      <c r="I144" s="464">
        <f t="shared" si="3"/>
        <v>0</v>
      </c>
      <c r="J144" s="464">
        <f t="shared" si="4"/>
        <v>0</v>
      </c>
      <c r="K144" s="465">
        <f t="shared" si="5"/>
        <v>11785.71429</v>
      </c>
      <c r="L144" s="466"/>
      <c r="M144" s="466"/>
      <c r="N144" s="465">
        <f t="shared" ref="N144:N154" si="16">IF(C144="الجمعة",0,IF(D144&gt;TIME(9,0,0),(D144-TIME(9,0,0))*24*60*(G144/60),0))</f>
        <v>0</v>
      </c>
      <c r="O144" s="465">
        <f t="shared" si="6"/>
        <v>11785.71429</v>
      </c>
      <c r="P144" s="470"/>
    </row>
    <row r="145" ht="26.25" customHeight="1">
      <c r="A145" s="459">
        <v>45915.0</v>
      </c>
      <c r="B145" s="460" t="s">
        <v>26</v>
      </c>
      <c r="C145" s="461" t="str">
        <f t="shared" si="1"/>
        <v>الاثنين</v>
      </c>
      <c r="D145" s="462">
        <v>0.3451388888888889</v>
      </c>
      <c r="E145" s="462">
        <v>0.6277777777777778</v>
      </c>
      <c r="F145" s="463">
        <v>300000.0</v>
      </c>
      <c r="G145" s="464">
        <f t="shared" si="13"/>
        <v>1648.351648</v>
      </c>
      <c r="H145" s="464">
        <f t="shared" si="7"/>
        <v>6.783333333</v>
      </c>
      <c r="I145" s="464">
        <f t="shared" si="3"/>
        <v>0</v>
      </c>
      <c r="J145" s="464">
        <f t="shared" si="4"/>
        <v>0</v>
      </c>
      <c r="K145" s="465">
        <f t="shared" si="5"/>
        <v>11181.31868</v>
      </c>
      <c r="L145" s="466"/>
      <c r="M145" s="466"/>
      <c r="N145" s="465">
        <f t="shared" si="16"/>
        <v>0</v>
      </c>
      <c r="O145" s="465">
        <f t="shared" si="6"/>
        <v>11181.31868</v>
      </c>
      <c r="P145" s="470"/>
    </row>
    <row r="146" ht="26.25" customHeight="1">
      <c r="A146" s="459">
        <v>45916.0</v>
      </c>
      <c r="B146" s="460" t="s">
        <v>26</v>
      </c>
      <c r="C146" s="461" t="str">
        <f t="shared" si="1"/>
        <v>الثلاثاء</v>
      </c>
      <c r="D146" s="462">
        <v>0.3451388888888889</v>
      </c>
      <c r="E146" s="462">
        <v>0.6409722222222223</v>
      </c>
      <c r="F146" s="463">
        <v>300000.0</v>
      </c>
      <c r="G146" s="464">
        <f t="shared" si="13"/>
        <v>1648.351648</v>
      </c>
      <c r="H146" s="464">
        <f t="shared" si="7"/>
        <v>7.1</v>
      </c>
      <c r="I146" s="464">
        <f t="shared" si="3"/>
        <v>0</v>
      </c>
      <c r="J146" s="464">
        <f t="shared" si="4"/>
        <v>0</v>
      </c>
      <c r="K146" s="465">
        <f t="shared" si="5"/>
        <v>11703.2967</v>
      </c>
      <c r="L146" s="466"/>
      <c r="M146" s="466"/>
      <c r="N146" s="465">
        <f t="shared" si="16"/>
        <v>0</v>
      </c>
      <c r="O146" s="465">
        <f t="shared" si="6"/>
        <v>11703.2967</v>
      </c>
      <c r="P146" s="470"/>
    </row>
    <row r="147" ht="26.25" customHeight="1">
      <c r="A147" s="459">
        <v>45917.0</v>
      </c>
      <c r="B147" s="460" t="s">
        <v>26</v>
      </c>
      <c r="C147" s="461" t="str">
        <f t="shared" si="1"/>
        <v>الأربعاء</v>
      </c>
      <c r="D147" s="462">
        <v>0.3333333333333333</v>
      </c>
      <c r="E147" s="462">
        <v>0.6340277777777777</v>
      </c>
      <c r="F147" s="463">
        <v>300000.0</v>
      </c>
      <c r="G147" s="464">
        <f t="shared" si="13"/>
        <v>1648.351648</v>
      </c>
      <c r="H147" s="464">
        <f t="shared" si="7"/>
        <v>7.216666667</v>
      </c>
      <c r="I147" s="464">
        <f t="shared" si="3"/>
        <v>0</v>
      </c>
      <c r="J147" s="464">
        <f t="shared" si="4"/>
        <v>0</v>
      </c>
      <c r="K147" s="465">
        <f t="shared" si="5"/>
        <v>11895.6044</v>
      </c>
      <c r="L147" s="466"/>
      <c r="M147" s="466"/>
      <c r="N147" s="465">
        <f t="shared" si="16"/>
        <v>0</v>
      </c>
      <c r="O147" s="465">
        <f t="shared" si="6"/>
        <v>11895.6044</v>
      </c>
      <c r="P147" s="467"/>
    </row>
    <row r="148" ht="26.25" customHeight="1">
      <c r="A148" s="459">
        <v>45918.0</v>
      </c>
      <c r="B148" s="460" t="s">
        <v>26</v>
      </c>
      <c r="C148" s="461" t="str">
        <f t="shared" si="1"/>
        <v>الخميس</v>
      </c>
      <c r="D148" s="462">
        <v>0.37777777777777777</v>
      </c>
      <c r="E148" s="462">
        <v>0.6486111111111111</v>
      </c>
      <c r="F148" s="463">
        <v>300000.0</v>
      </c>
      <c r="G148" s="464">
        <f t="shared" si="13"/>
        <v>1648.351648</v>
      </c>
      <c r="H148" s="464">
        <f t="shared" si="7"/>
        <v>6.5</v>
      </c>
      <c r="I148" s="464">
        <f t="shared" si="3"/>
        <v>0</v>
      </c>
      <c r="J148" s="464">
        <f t="shared" si="4"/>
        <v>0</v>
      </c>
      <c r="K148" s="465">
        <f t="shared" si="5"/>
        <v>10714.28571</v>
      </c>
      <c r="L148" s="466"/>
      <c r="M148" s="466"/>
      <c r="N148" s="465">
        <f t="shared" si="16"/>
        <v>109.8901099</v>
      </c>
      <c r="O148" s="465">
        <f t="shared" si="6"/>
        <v>10604.3956</v>
      </c>
      <c r="P148" s="470"/>
    </row>
    <row r="149" ht="26.25" customHeight="1">
      <c r="A149" s="459">
        <v>45920.0</v>
      </c>
      <c r="B149" s="460" t="s">
        <v>26</v>
      </c>
      <c r="C149" s="461" t="str">
        <f t="shared" si="1"/>
        <v>السبت</v>
      </c>
      <c r="D149" s="462">
        <v>0.3333333333333333</v>
      </c>
      <c r="E149" s="462">
        <v>0.6826388888888889</v>
      </c>
      <c r="F149" s="463">
        <v>300000.0</v>
      </c>
      <c r="G149" s="464">
        <f t="shared" si="13"/>
        <v>1648.351648</v>
      </c>
      <c r="H149" s="464">
        <f t="shared" si="7"/>
        <v>8.383333333</v>
      </c>
      <c r="I149" s="464">
        <f t="shared" si="3"/>
        <v>0</v>
      </c>
      <c r="J149" s="464">
        <f t="shared" si="4"/>
        <v>0</v>
      </c>
      <c r="K149" s="465">
        <f t="shared" si="5"/>
        <v>13818.68132</v>
      </c>
      <c r="L149" s="466"/>
      <c r="M149" s="466"/>
      <c r="N149" s="465">
        <f t="shared" si="16"/>
        <v>0</v>
      </c>
      <c r="O149" s="465">
        <f t="shared" si="6"/>
        <v>13818.68132</v>
      </c>
      <c r="P149" s="467"/>
    </row>
    <row r="150" ht="26.25" customHeight="1">
      <c r="A150" s="459">
        <v>45921.0</v>
      </c>
      <c r="B150" s="460" t="s">
        <v>26</v>
      </c>
      <c r="C150" s="461" t="str">
        <f t="shared" si="1"/>
        <v>الأحد</v>
      </c>
      <c r="D150" s="462">
        <v>0.3333333333333333</v>
      </c>
      <c r="E150" s="462">
        <v>0.6277777777777778</v>
      </c>
      <c r="F150" s="463">
        <v>300000.0</v>
      </c>
      <c r="G150" s="464">
        <f t="shared" si="13"/>
        <v>1648.351648</v>
      </c>
      <c r="H150" s="464">
        <f t="shared" si="7"/>
        <v>7.066666667</v>
      </c>
      <c r="I150" s="464">
        <f t="shared" si="3"/>
        <v>0</v>
      </c>
      <c r="J150" s="464">
        <f t="shared" si="4"/>
        <v>0</v>
      </c>
      <c r="K150" s="465">
        <f t="shared" si="5"/>
        <v>11648.35165</v>
      </c>
      <c r="L150" s="466"/>
      <c r="M150" s="466"/>
      <c r="N150" s="465">
        <f t="shared" si="16"/>
        <v>0</v>
      </c>
      <c r="O150" s="465">
        <f t="shared" si="6"/>
        <v>11648.35165</v>
      </c>
      <c r="P150" s="467"/>
    </row>
    <row r="151" ht="26.25" customHeight="1">
      <c r="A151" s="459">
        <v>45922.0</v>
      </c>
      <c r="B151" s="460" t="s">
        <v>26</v>
      </c>
      <c r="C151" s="461" t="str">
        <f t="shared" si="1"/>
        <v>الاثنين</v>
      </c>
      <c r="D151" s="462">
        <v>0.3451388888888889</v>
      </c>
      <c r="E151" s="462">
        <v>0.6277777777777778</v>
      </c>
      <c r="F151" s="463">
        <v>300000.0</v>
      </c>
      <c r="G151" s="464">
        <f t="shared" si="13"/>
        <v>1648.351648</v>
      </c>
      <c r="H151" s="464">
        <f t="shared" si="7"/>
        <v>6.783333333</v>
      </c>
      <c r="I151" s="464">
        <f t="shared" si="3"/>
        <v>0</v>
      </c>
      <c r="J151" s="464">
        <f t="shared" si="4"/>
        <v>0</v>
      </c>
      <c r="K151" s="465">
        <f t="shared" si="5"/>
        <v>11181.31868</v>
      </c>
      <c r="L151" s="466"/>
      <c r="M151" s="466"/>
      <c r="N151" s="465">
        <f t="shared" si="16"/>
        <v>0</v>
      </c>
      <c r="O151" s="465">
        <f t="shared" si="6"/>
        <v>11181.31868</v>
      </c>
      <c r="P151" s="470"/>
    </row>
    <row r="152" ht="26.25" customHeight="1">
      <c r="A152" s="459">
        <v>45923.0</v>
      </c>
      <c r="B152" s="460" t="s">
        <v>26</v>
      </c>
      <c r="C152" s="461" t="str">
        <f t="shared" si="1"/>
        <v>الثلاثاء</v>
      </c>
      <c r="D152" s="462">
        <v>0.3333333333333333</v>
      </c>
      <c r="E152" s="462">
        <v>0.6270833333333333</v>
      </c>
      <c r="F152" s="463">
        <v>300000.0</v>
      </c>
      <c r="G152" s="464">
        <f t="shared" si="13"/>
        <v>1648.351648</v>
      </c>
      <c r="H152" s="464">
        <f t="shared" si="7"/>
        <v>7.05</v>
      </c>
      <c r="I152" s="464">
        <f t="shared" si="3"/>
        <v>0</v>
      </c>
      <c r="J152" s="464">
        <f t="shared" si="4"/>
        <v>0</v>
      </c>
      <c r="K152" s="465">
        <f t="shared" si="5"/>
        <v>11620.87912</v>
      </c>
      <c r="L152" s="466"/>
      <c r="M152" s="466"/>
      <c r="N152" s="465">
        <f t="shared" si="16"/>
        <v>0</v>
      </c>
      <c r="O152" s="465">
        <f t="shared" si="6"/>
        <v>11620.87912</v>
      </c>
      <c r="P152" s="467"/>
    </row>
    <row r="153" ht="26.25" customHeight="1">
      <c r="A153" s="459">
        <v>45924.0</v>
      </c>
      <c r="B153" s="460" t="s">
        <v>26</v>
      </c>
      <c r="C153" s="461" t="str">
        <f t="shared" si="1"/>
        <v>الأربعاء</v>
      </c>
      <c r="D153" s="462">
        <v>0.35</v>
      </c>
      <c r="E153" s="462">
        <v>0.63125</v>
      </c>
      <c r="F153" s="463">
        <v>300000.0</v>
      </c>
      <c r="G153" s="464">
        <f t="shared" si="13"/>
        <v>1648.351648</v>
      </c>
      <c r="H153" s="464">
        <f t="shared" si="7"/>
        <v>6.75</v>
      </c>
      <c r="I153" s="464">
        <f t="shared" si="3"/>
        <v>0</v>
      </c>
      <c r="J153" s="464">
        <f t="shared" si="4"/>
        <v>0</v>
      </c>
      <c r="K153" s="465">
        <f t="shared" si="5"/>
        <v>11126.37363</v>
      </c>
      <c r="L153" s="466"/>
      <c r="M153" s="466"/>
      <c r="N153" s="465">
        <f t="shared" si="16"/>
        <v>0</v>
      </c>
      <c r="O153" s="465">
        <f t="shared" si="6"/>
        <v>11126.37363</v>
      </c>
      <c r="P153" s="467"/>
    </row>
    <row r="154" ht="26.25" customHeight="1">
      <c r="A154" s="459">
        <v>45930.0</v>
      </c>
      <c r="B154" s="460" t="s">
        <v>26</v>
      </c>
      <c r="C154" s="461" t="str">
        <f t="shared" si="1"/>
        <v>الثلاثاء</v>
      </c>
      <c r="D154" s="462">
        <v>0.34305555555555556</v>
      </c>
      <c r="E154" s="462">
        <v>0.7111111111111111</v>
      </c>
      <c r="F154" s="463">
        <v>300000.0</v>
      </c>
      <c r="G154" s="464">
        <f t="shared" si="13"/>
        <v>1648.351648</v>
      </c>
      <c r="H154" s="464">
        <f t="shared" si="7"/>
        <v>8.833333333</v>
      </c>
      <c r="I154" s="464">
        <f t="shared" si="3"/>
        <v>0</v>
      </c>
      <c r="J154" s="464">
        <f t="shared" si="4"/>
        <v>0</v>
      </c>
      <c r="K154" s="465">
        <f t="shared" si="5"/>
        <v>14560.43956</v>
      </c>
      <c r="L154" s="466"/>
      <c r="M154" s="466"/>
      <c r="N154" s="465">
        <f t="shared" si="16"/>
        <v>0</v>
      </c>
      <c r="O154" s="465">
        <f t="shared" si="6"/>
        <v>14560.43956</v>
      </c>
      <c r="P154" s="470"/>
    </row>
    <row r="155" ht="26.25" customHeight="1">
      <c r="A155" s="459">
        <v>45904.0</v>
      </c>
      <c r="B155" s="460" t="s">
        <v>27</v>
      </c>
      <c r="C155" s="461" t="str">
        <f t="shared" si="1"/>
        <v>الخميس</v>
      </c>
      <c r="D155" s="462">
        <v>0.375</v>
      </c>
      <c r="E155" s="462">
        <v>0.7916666666666666</v>
      </c>
      <c r="F155" s="463">
        <v>300000.0</v>
      </c>
      <c r="G155" s="464">
        <f t="shared" ref="G155:G238" si="17">F155/235</f>
        <v>1276.595745</v>
      </c>
      <c r="H155" s="464">
        <f t="shared" si="7"/>
        <v>9</v>
      </c>
      <c r="I155" s="464">
        <f t="shared" si="3"/>
        <v>1</v>
      </c>
      <c r="J155" s="464">
        <f t="shared" si="4"/>
        <v>0</v>
      </c>
      <c r="K155" s="465">
        <f t="shared" si="5"/>
        <v>13404.25532</v>
      </c>
      <c r="L155" s="466"/>
      <c r="M155" s="465">
        <v>10000.0</v>
      </c>
      <c r="N155" s="465">
        <v>0.0</v>
      </c>
      <c r="O155" s="465">
        <f t="shared" si="6"/>
        <v>3404.255319</v>
      </c>
      <c r="P155" s="470"/>
    </row>
    <row r="156" ht="26.25" customHeight="1">
      <c r="A156" s="459">
        <v>45905.0</v>
      </c>
      <c r="B156" s="460" t="s">
        <v>27</v>
      </c>
      <c r="C156" s="461" t="str">
        <f t="shared" si="1"/>
        <v>الجمعة</v>
      </c>
      <c r="D156" s="462">
        <v>0.3333333333333333</v>
      </c>
      <c r="E156" s="462">
        <v>0.8583333333333333</v>
      </c>
      <c r="F156" s="463">
        <v>300000.0</v>
      </c>
      <c r="G156" s="464">
        <f t="shared" si="17"/>
        <v>1276.595745</v>
      </c>
      <c r="H156" s="464">
        <f t="shared" si="7"/>
        <v>0</v>
      </c>
      <c r="I156" s="464">
        <f t="shared" si="3"/>
        <v>0</v>
      </c>
      <c r="J156" s="464">
        <f t="shared" si="4"/>
        <v>12.6</v>
      </c>
      <c r="K156" s="465">
        <f t="shared" si="5"/>
        <v>32170.21277</v>
      </c>
      <c r="L156" s="466"/>
      <c r="M156" s="466"/>
      <c r="N156" s="465">
        <f t="shared" ref="N156:N238" si="18">IF(C156="الجمعة",0,IF(D156&gt;TIME(9,0,0),(D156-TIME(9,0,0))*24*60*(G156/60),0))</f>
        <v>0</v>
      </c>
      <c r="O156" s="465">
        <f t="shared" si="6"/>
        <v>32170.21277</v>
      </c>
      <c r="P156" s="470"/>
    </row>
    <row r="157" ht="26.25" customHeight="1">
      <c r="A157" s="459">
        <v>45906.0</v>
      </c>
      <c r="B157" s="460" t="s">
        <v>27</v>
      </c>
      <c r="C157" s="461" t="str">
        <f t="shared" si="1"/>
        <v>السبت</v>
      </c>
      <c r="D157" s="462">
        <v>0.3701388888888889</v>
      </c>
      <c r="E157" s="462">
        <v>0.7708333333333334</v>
      </c>
      <c r="F157" s="463">
        <v>300000.0</v>
      </c>
      <c r="G157" s="464">
        <f t="shared" si="17"/>
        <v>1276.595745</v>
      </c>
      <c r="H157" s="464">
        <f t="shared" si="7"/>
        <v>9.116666667</v>
      </c>
      <c r="I157" s="464">
        <f t="shared" si="3"/>
        <v>0.5</v>
      </c>
      <c r="J157" s="464">
        <f t="shared" si="4"/>
        <v>0</v>
      </c>
      <c r="K157" s="465">
        <f t="shared" si="5"/>
        <v>12595.74468</v>
      </c>
      <c r="L157" s="466"/>
      <c r="M157" s="466"/>
      <c r="N157" s="465">
        <f t="shared" si="18"/>
        <v>0</v>
      </c>
      <c r="O157" s="465">
        <f t="shared" si="6"/>
        <v>12595.74468</v>
      </c>
      <c r="P157" s="470"/>
    </row>
    <row r="158" ht="26.25" customHeight="1">
      <c r="A158" s="459">
        <v>45907.0</v>
      </c>
      <c r="B158" s="460" t="s">
        <v>27</v>
      </c>
      <c r="C158" s="461" t="str">
        <f t="shared" si="1"/>
        <v>الأحد</v>
      </c>
      <c r="D158" s="462">
        <v>0.3333333333333333</v>
      </c>
      <c r="E158" s="462">
        <v>0.8333333333333334</v>
      </c>
      <c r="F158" s="463">
        <v>300000.0</v>
      </c>
      <c r="G158" s="464">
        <f t="shared" si="17"/>
        <v>1276.595745</v>
      </c>
      <c r="H158" s="464">
        <f t="shared" si="7"/>
        <v>10</v>
      </c>
      <c r="I158" s="464">
        <f t="shared" si="3"/>
        <v>2</v>
      </c>
      <c r="J158" s="464">
        <f t="shared" si="4"/>
        <v>0</v>
      </c>
      <c r="K158" s="465">
        <f t="shared" si="5"/>
        <v>16595.74468</v>
      </c>
      <c r="L158" s="466"/>
      <c r="M158" s="466"/>
      <c r="N158" s="465">
        <f t="shared" si="18"/>
        <v>0</v>
      </c>
      <c r="O158" s="465">
        <f t="shared" si="6"/>
        <v>16595.74468</v>
      </c>
      <c r="P158" s="470"/>
    </row>
    <row r="159" ht="26.25" customHeight="1">
      <c r="A159" s="459">
        <v>45908.0</v>
      </c>
      <c r="B159" s="460" t="s">
        <v>27</v>
      </c>
      <c r="C159" s="461" t="str">
        <f t="shared" si="1"/>
        <v>الاثنين</v>
      </c>
      <c r="D159" s="462">
        <v>0.375</v>
      </c>
      <c r="E159" s="462">
        <v>0.75</v>
      </c>
      <c r="F159" s="463">
        <v>300000.0</v>
      </c>
      <c r="G159" s="464">
        <f t="shared" si="17"/>
        <v>1276.595745</v>
      </c>
      <c r="H159" s="464">
        <f t="shared" si="7"/>
        <v>9</v>
      </c>
      <c r="I159" s="464">
        <f t="shared" si="3"/>
        <v>0</v>
      </c>
      <c r="J159" s="464">
        <f t="shared" si="4"/>
        <v>0</v>
      </c>
      <c r="K159" s="465">
        <f t="shared" si="5"/>
        <v>11489.3617</v>
      </c>
      <c r="L159" s="466"/>
      <c r="M159" s="466"/>
      <c r="N159" s="465">
        <f t="shared" si="18"/>
        <v>0</v>
      </c>
      <c r="O159" s="465">
        <f t="shared" si="6"/>
        <v>11489.3617</v>
      </c>
      <c r="P159" s="470"/>
    </row>
    <row r="160" ht="26.25" customHeight="1">
      <c r="A160" s="459">
        <v>45909.0</v>
      </c>
      <c r="B160" s="460" t="s">
        <v>27</v>
      </c>
      <c r="C160" s="461" t="str">
        <f t="shared" si="1"/>
        <v>الثلاثاء</v>
      </c>
      <c r="D160" s="462">
        <v>0.3729166666666667</v>
      </c>
      <c r="E160" s="462">
        <v>0.75</v>
      </c>
      <c r="F160" s="463">
        <v>300000.0</v>
      </c>
      <c r="G160" s="464">
        <f t="shared" si="17"/>
        <v>1276.595745</v>
      </c>
      <c r="H160" s="464">
        <f t="shared" si="7"/>
        <v>9.05</v>
      </c>
      <c r="I160" s="464">
        <f t="shared" si="3"/>
        <v>0</v>
      </c>
      <c r="J160" s="464">
        <f t="shared" si="4"/>
        <v>0</v>
      </c>
      <c r="K160" s="465">
        <f t="shared" si="5"/>
        <v>11553.19149</v>
      </c>
      <c r="L160" s="466"/>
      <c r="M160" s="466"/>
      <c r="N160" s="465">
        <f t="shared" si="18"/>
        <v>0</v>
      </c>
      <c r="O160" s="465">
        <f t="shared" si="6"/>
        <v>11553.19149</v>
      </c>
      <c r="P160" s="470"/>
    </row>
    <row r="161" ht="26.25" customHeight="1">
      <c r="A161" s="459">
        <v>45910.0</v>
      </c>
      <c r="B161" s="460" t="s">
        <v>27</v>
      </c>
      <c r="C161" s="461" t="str">
        <f t="shared" si="1"/>
        <v>الأربعاء</v>
      </c>
      <c r="D161" s="462">
        <v>0.3527777777777778</v>
      </c>
      <c r="E161" s="462">
        <v>0.75</v>
      </c>
      <c r="F161" s="463">
        <v>300000.0</v>
      </c>
      <c r="G161" s="464">
        <f t="shared" si="17"/>
        <v>1276.595745</v>
      </c>
      <c r="H161" s="464">
        <f t="shared" si="7"/>
        <v>9.533333333</v>
      </c>
      <c r="I161" s="464">
        <f t="shared" si="3"/>
        <v>0</v>
      </c>
      <c r="J161" s="464">
        <f t="shared" si="4"/>
        <v>0</v>
      </c>
      <c r="K161" s="465">
        <f t="shared" si="5"/>
        <v>12170.21277</v>
      </c>
      <c r="L161" s="466"/>
      <c r="M161" s="465">
        <v>25000.0</v>
      </c>
      <c r="N161" s="465">
        <f t="shared" si="18"/>
        <v>0</v>
      </c>
      <c r="O161" s="465">
        <f t="shared" si="6"/>
        <v>-12829.78723</v>
      </c>
      <c r="P161" s="467"/>
    </row>
    <row r="162" ht="26.25" customHeight="1">
      <c r="A162" s="459">
        <v>45911.0</v>
      </c>
      <c r="B162" s="469" t="s">
        <v>27</v>
      </c>
      <c r="C162" s="461" t="str">
        <f t="shared" si="1"/>
        <v>الخميس</v>
      </c>
      <c r="D162" s="462">
        <v>0.40555555555555556</v>
      </c>
      <c r="E162" s="462">
        <v>0.9993055555555556</v>
      </c>
      <c r="F162" s="463">
        <v>300000.0</v>
      </c>
      <c r="G162" s="464">
        <f t="shared" si="17"/>
        <v>1276.595745</v>
      </c>
      <c r="H162" s="464">
        <f t="shared" si="7"/>
        <v>8.266666667</v>
      </c>
      <c r="I162" s="464">
        <f t="shared" si="3"/>
        <v>5.983333333</v>
      </c>
      <c r="J162" s="464">
        <f t="shared" si="4"/>
        <v>0</v>
      </c>
      <c r="K162" s="465">
        <f t="shared" si="5"/>
        <v>22010.6383</v>
      </c>
      <c r="L162" s="466"/>
      <c r="M162" s="465">
        <v>30000.0</v>
      </c>
      <c r="N162" s="465">
        <f t="shared" si="18"/>
        <v>936.1702128</v>
      </c>
      <c r="O162" s="465">
        <f t="shared" si="6"/>
        <v>-8925.531915</v>
      </c>
      <c r="P162" s="467"/>
    </row>
    <row r="163" ht="26.25" customHeight="1">
      <c r="A163" s="459">
        <v>45912.0</v>
      </c>
      <c r="B163" s="469" t="s">
        <v>27</v>
      </c>
      <c r="C163" s="461" t="str">
        <f t="shared" si="1"/>
        <v>الجمعة</v>
      </c>
      <c r="D163" s="462">
        <v>0.0</v>
      </c>
      <c r="E163" s="462">
        <v>0.75</v>
      </c>
      <c r="F163" s="463">
        <v>300000.0</v>
      </c>
      <c r="G163" s="464">
        <f t="shared" si="17"/>
        <v>1276.595745</v>
      </c>
      <c r="H163" s="464">
        <f t="shared" si="7"/>
        <v>0</v>
      </c>
      <c r="I163" s="464">
        <f t="shared" si="3"/>
        <v>0</v>
      </c>
      <c r="J163" s="464">
        <f t="shared" si="4"/>
        <v>18</v>
      </c>
      <c r="K163" s="465">
        <f t="shared" si="5"/>
        <v>45957.44681</v>
      </c>
      <c r="L163" s="466"/>
      <c r="M163" s="466"/>
      <c r="N163" s="465">
        <f t="shared" si="18"/>
        <v>0</v>
      </c>
      <c r="O163" s="465">
        <f t="shared" si="6"/>
        <v>45957.44681</v>
      </c>
      <c r="P163" s="467"/>
    </row>
    <row r="164" ht="26.25" customHeight="1">
      <c r="A164" s="459">
        <v>45914.0</v>
      </c>
      <c r="B164" s="469" t="s">
        <v>27</v>
      </c>
      <c r="C164" s="461" t="str">
        <f t="shared" si="1"/>
        <v>الأحد</v>
      </c>
      <c r="D164" s="462">
        <v>0.36944444444444446</v>
      </c>
      <c r="E164" s="462">
        <v>0.675</v>
      </c>
      <c r="F164" s="463">
        <v>300000.0</v>
      </c>
      <c r="G164" s="464">
        <f t="shared" si="17"/>
        <v>1276.595745</v>
      </c>
      <c r="H164" s="464">
        <f t="shared" si="7"/>
        <v>7.333333333</v>
      </c>
      <c r="I164" s="464">
        <f t="shared" si="3"/>
        <v>0</v>
      </c>
      <c r="J164" s="464">
        <f t="shared" si="4"/>
        <v>0</v>
      </c>
      <c r="K164" s="465">
        <f t="shared" si="5"/>
        <v>9361.702128</v>
      </c>
      <c r="L164" s="466"/>
      <c r="M164" s="465">
        <v>35000.0</v>
      </c>
      <c r="N164" s="465">
        <f t="shared" si="18"/>
        <v>0</v>
      </c>
      <c r="O164" s="465">
        <f t="shared" si="6"/>
        <v>-25638.29787</v>
      </c>
      <c r="P164" s="467"/>
    </row>
    <row r="165" ht="26.25" customHeight="1">
      <c r="A165" s="459">
        <v>45915.0</v>
      </c>
      <c r="B165" s="469" t="s">
        <v>27</v>
      </c>
      <c r="C165" s="461" t="str">
        <f t="shared" si="1"/>
        <v>الاثنين</v>
      </c>
      <c r="D165" s="462">
        <v>0.3729166666666667</v>
      </c>
      <c r="E165" s="462">
        <v>0.7506944444444444</v>
      </c>
      <c r="F165" s="463">
        <v>300000.0</v>
      </c>
      <c r="G165" s="464">
        <f t="shared" si="17"/>
        <v>1276.595745</v>
      </c>
      <c r="H165" s="464">
        <f t="shared" si="7"/>
        <v>9.05</v>
      </c>
      <c r="I165" s="464">
        <f t="shared" si="3"/>
        <v>0.01666666667</v>
      </c>
      <c r="J165" s="464">
        <f t="shared" si="4"/>
        <v>0</v>
      </c>
      <c r="K165" s="465">
        <f t="shared" si="5"/>
        <v>11585.10638</v>
      </c>
      <c r="L165" s="466"/>
      <c r="M165" s="466"/>
      <c r="N165" s="465">
        <f t="shared" si="18"/>
        <v>0</v>
      </c>
      <c r="O165" s="465">
        <f t="shared" si="6"/>
        <v>11585.10638</v>
      </c>
      <c r="P165" s="467"/>
    </row>
    <row r="166" ht="26.25" customHeight="1">
      <c r="A166" s="459">
        <v>45916.0</v>
      </c>
      <c r="B166" s="469" t="s">
        <v>27</v>
      </c>
      <c r="C166" s="461" t="str">
        <f t="shared" si="1"/>
        <v>الثلاثاء</v>
      </c>
      <c r="D166" s="462">
        <v>0.3659722222222222</v>
      </c>
      <c r="E166" s="462">
        <v>0.75</v>
      </c>
      <c r="F166" s="463">
        <v>300000.0</v>
      </c>
      <c r="G166" s="464">
        <f t="shared" si="17"/>
        <v>1276.595745</v>
      </c>
      <c r="H166" s="464">
        <f t="shared" si="7"/>
        <v>9.216666667</v>
      </c>
      <c r="I166" s="464">
        <f t="shared" si="3"/>
        <v>0</v>
      </c>
      <c r="J166" s="464">
        <f t="shared" si="4"/>
        <v>0</v>
      </c>
      <c r="K166" s="465">
        <f t="shared" si="5"/>
        <v>11765.95745</v>
      </c>
      <c r="L166" s="466"/>
      <c r="M166" s="466"/>
      <c r="N166" s="465">
        <f t="shared" si="18"/>
        <v>0</v>
      </c>
      <c r="O166" s="465">
        <f t="shared" si="6"/>
        <v>11765.95745</v>
      </c>
      <c r="P166" s="467"/>
    </row>
    <row r="167" ht="26.25" customHeight="1">
      <c r="A167" s="459">
        <v>45917.0</v>
      </c>
      <c r="B167" s="469" t="s">
        <v>27</v>
      </c>
      <c r="C167" s="461" t="str">
        <f t="shared" si="1"/>
        <v>الأربعاء</v>
      </c>
      <c r="D167" s="462">
        <v>0.3715277777777778</v>
      </c>
      <c r="E167" s="462">
        <v>0.7645833333333333</v>
      </c>
      <c r="F167" s="463">
        <v>300000.0</v>
      </c>
      <c r="G167" s="464">
        <f t="shared" si="17"/>
        <v>1276.595745</v>
      </c>
      <c r="H167" s="464">
        <f t="shared" si="7"/>
        <v>9.083333333</v>
      </c>
      <c r="I167" s="464">
        <f t="shared" si="3"/>
        <v>0.35</v>
      </c>
      <c r="J167" s="464">
        <f t="shared" si="4"/>
        <v>0</v>
      </c>
      <c r="K167" s="465">
        <f t="shared" si="5"/>
        <v>12265.95745</v>
      </c>
      <c r="L167" s="466"/>
      <c r="M167" s="466"/>
      <c r="N167" s="465">
        <f t="shared" si="18"/>
        <v>0</v>
      </c>
      <c r="O167" s="465">
        <f t="shared" si="6"/>
        <v>12265.95745</v>
      </c>
      <c r="P167" s="467"/>
    </row>
    <row r="168" ht="26.25" customHeight="1">
      <c r="A168" s="459">
        <v>45918.0</v>
      </c>
      <c r="B168" s="469" t="s">
        <v>27</v>
      </c>
      <c r="C168" s="461" t="str">
        <f t="shared" si="1"/>
        <v>الخميس</v>
      </c>
      <c r="D168" s="462">
        <v>0.36666666666666664</v>
      </c>
      <c r="E168" s="462">
        <v>0.75</v>
      </c>
      <c r="F168" s="463">
        <v>300000.0</v>
      </c>
      <c r="G168" s="464">
        <f t="shared" si="17"/>
        <v>1276.595745</v>
      </c>
      <c r="H168" s="464">
        <f t="shared" si="7"/>
        <v>9.2</v>
      </c>
      <c r="I168" s="464">
        <f t="shared" si="3"/>
        <v>0</v>
      </c>
      <c r="J168" s="464">
        <f t="shared" si="4"/>
        <v>0</v>
      </c>
      <c r="K168" s="465">
        <f t="shared" si="5"/>
        <v>11744.68085</v>
      </c>
      <c r="L168" s="466"/>
      <c r="M168" s="466"/>
      <c r="N168" s="465">
        <f t="shared" si="18"/>
        <v>0</v>
      </c>
      <c r="O168" s="465">
        <f t="shared" si="6"/>
        <v>11744.68085</v>
      </c>
      <c r="P168" s="467"/>
    </row>
    <row r="169" ht="26.25" customHeight="1">
      <c r="A169" s="459">
        <v>45919.0</v>
      </c>
      <c r="B169" s="469" t="s">
        <v>27</v>
      </c>
      <c r="C169" s="461" t="str">
        <f t="shared" si="1"/>
        <v>الجمعة</v>
      </c>
      <c r="D169" s="462">
        <v>0.5034722222222222</v>
      </c>
      <c r="E169" s="462">
        <v>0.8284722222222223</v>
      </c>
      <c r="F169" s="463">
        <v>300000.0</v>
      </c>
      <c r="G169" s="464">
        <f t="shared" si="17"/>
        <v>1276.595745</v>
      </c>
      <c r="H169" s="464">
        <f t="shared" si="7"/>
        <v>0</v>
      </c>
      <c r="I169" s="464">
        <f t="shared" si="3"/>
        <v>0</v>
      </c>
      <c r="J169" s="464">
        <f t="shared" si="4"/>
        <v>7.8</v>
      </c>
      <c r="K169" s="465">
        <f t="shared" si="5"/>
        <v>19914.89362</v>
      </c>
      <c r="L169" s="466"/>
      <c r="M169" s="466"/>
      <c r="N169" s="465">
        <f t="shared" si="18"/>
        <v>0</v>
      </c>
      <c r="O169" s="465">
        <f t="shared" si="6"/>
        <v>19914.89362</v>
      </c>
      <c r="P169" s="467"/>
    </row>
    <row r="170" ht="26.25" customHeight="1">
      <c r="A170" s="459">
        <v>45921.0</v>
      </c>
      <c r="B170" s="469" t="s">
        <v>27</v>
      </c>
      <c r="C170" s="461" t="str">
        <f t="shared" si="1"/>
        <v>الأحد</v>
      </c>
      <c r="D170" s="462">
        <v>0.36041666666666666</v>
      </c>
      <c r="E170" s="462">
        <v>0.7555555555555555</v>
      </c>
      <c r="F170" s="463">
        <v>300000.0</v>
      </c>
      <c r="G170" s="464">
        <f t="shared" si="17"/>
        <v>1276.595745</v>
      </c>
      <c r="H170" s="464">
        <f t="shared" si="7"/>
        <v>9.35</v>
      </c>
      <c r="I170" s="464">
        <f t="shared" si="3"/>
        <v>0.1333333333</v>
      </c>
      <c r="J170" s="464">
        <f t="shared" si="4"/>
        <v>0</v>
      </c>
      <c r="K170" s="465">
        <f t="shared" si="5"/>
        <v>12191.48936</v>
      </c>
      <c r="L170" s="466"/>
      <c r="M170" s="466"/>
      <c r="N170" s="465">
        <f t="shared" si="18"/>
        <v>0</v>
      </c>
      <c r="O170" s="465">
        <f t="shared" si="6"/>
        <v>12191.48936</v>
      </c>
      <c r="P170" s="467"/>
    </row>
    <row r="171" ht="26.25" customHeight="1">
      <c r="A171" s="459">
        <v>45922.0</v>
      </c>
      <c r="B171" s="469" t="s">
        <v>27</v>
      </c>
      <c r="C171" s="461" t="str">
        <f t="shared" si="1"/>
        <v>الاثنين</v>
      </c>
      <c r="D171" s="462">
        <v>0.36180555555555555</v>
      </c>
      <c r="E171" s="462">
        <v>0.7527777777777778</v>
      </c>
      <c r="F171" s="463">
        <v>300000.0</v>
      </c>
      <c r="G171" s="464">
        <f t="shared" si="17"/>
        <v>1276.595745</v>
      </c>
      <c r="H171" s="464">
        <f t="shared" si="7"/>
        <v>9.316666667</v>
      </c>
      <c r="I171" s="464">
        <f t="shared" si="3"/>
        <v>0.06666666667</v>
      </c>
      <c r="J171" s="464">
        <f t="shared" si="4"/>
        <v>0</v>
      </c>
      <c r="K171" s="465">
        <f t="shared" si="5"/>
        <v>12021.2766</v>
      </c>
      <c r="L171" s="466"/>
      <c r="M171" s="466"/>
      <c r="N171" s="465">
        <f t="shared" si="18"/>
        <v>0</v>
      </c>
      <c r="O171" s="465">
        <f t="shared" si="6"/>
        <v>12021.2766</v>
      </c>
      <c r="P171" s="467"/>
    </row>
    <row r="172" ht="26.25" customHeight="1">
      <c r="A172" s="459">
        <v>45923.0</v>
      </c>
      <c r="B172" s="469" t="s">
        <v>27</v>
      </c>
      <c r="C172" s="461" t="str">
        <f t="shared" si="1"/>
        <v>الثلاثاء</v>
      </c>
      <c r="D172" s="462">
        <v>0.3659722222222222</v>
      </c>
      <c r="E172" s="462">
        <v>0.8006944444444445</v>
      </c>
      <c r="F172" s="463">
        <v>300000.0</v>
      </c>
      <c r="G172" s="464">
        <f t="shared" si="17"/>
        <v>1276.595745</v>
      </c>
      <c r="H172" s="464">
        <f t="shared" si="7"/>
        <v>9.216666667</v>
      </c>
      <c r="I172" s="464">
        <f t="shared" si="3"/>
        <v>1.216666667</v>
      </c>
      <c r="J172" s="464">
        <f t="shared" si="4"/>
        <v>0</v>
      </c>
      <c r="K172" s="465">
        <f t="shared" si="5"/>
        <v>14095.74468</v>
      </c>
      <c r="L172" s="466"/>
      <c r="M172" s="466"/>
      <c r="N172" s="465">
        <f t="shared" si="18"/>
        <v>0</v>
      </c>
      <c r="O172" s="465">
        <f t="shared" si="6"/>
        <v>14095.74468</v>
      </c>
      <c r="P172" s="467"/>
    </row>
    <row r="173" ht="26.25" customHeight="1">
      <c r="A173" s="459">
        <v>45924.0</v>
      </c>
      <c r="B173" s="460" t="s">
        <v>27</v>
      </c>
      <c r="C173" s="461" t="str">
        <f t="shared" si="1"/>
        <v>الأربعاء</v>
      </c>
      <c r="D173" s="462">
        <v>0.3729166666666667</v>
      </c>
      <c r="E173" s="462">
        <v>0.7472222222222222</v>
      </c>
      <c r="F173" s="463">
        <v>300000.0</v>
      </c>
      <c r="G173" s="464">
        <f t="shared" si="17"/>
        <v>1276.595745</v>
      </c>
      <c r="H173" s="464">
        <f t="shared" si="7"/>
        <v>8.983333333</v>
      </c>
      <c r="I173" s="464">
        <f t="shared" si="3"/>
        <v>0</v>
      </c>
      <c r="J173" s="464">
        <f t="shared" si="4"/>
        <v>0</v>
      </c>
      <c r="K173" s="465">
        <f t="shared" si="5"/>
        <v>11468.08511</v>
      </c>
      <c r="L173" s="466"/>
      <c r="M173" s="466"/>
      <c r="N173" s="465">
        <f t="shared" si="18"/>
        <v>0</v>
      </c>
      <c r="O173" s="465">
        <f t="shared" si="6"/>
        <v>11468.08511</v>
      </c>
      <c r="P173" s="467"/>
    </row>
    <row r="174" ht="26.25" customHeight="1">
      <c r="A174" s="459">
        <v>45925.0</v>
      </c>
      <c r="B174" s="460" t="s">
        <v>27</v>
      </c>
      <c r="C174" s="461" t="str">
        <f t="shared" si="1"/>
        <v>الخميس</v>
      </c>
      <c r="D174" s="462">
        <v>0.36666666666666664</v>
      </c>
      <c r="E174" s="462">
        <v>0.7868055555555555</v>
      </c>
      <c r="F174" s="463">
        <v>300000.0</v>
      </c>
      <c r="G174" s="464">
        <f t="shared" si="17"/>
        <v>1276.595745</v>
      </c>
      <c r="H174" s="464">
        <f t="shared" si="7"/>
        <v>9.2</v>
      </c>
      <c r="I174" s="464">
        <f t="shared" si="3"/>
        <v>0.8833333333</v>
      </c>
      <c r="J174" s="464">
        <f t="shared" si="4"/>
        <v>0</v>
      </c>
      <c r="K174" s="465">
        <f t="shared" si="5"/>
        <v>13436.17021</v>
      </c>
      <c r="L174" s="466"/>
      <c r="M174" s="466"/>
      <c r="N174" s="465">
        <f t="shared" si="18"/>
        <v>0</v>
      </c>
      <c r="O174" s="465">
        <f t="shared" si="6"/>
        <v>13436.17021</v>
      </c>
      <c r="P174" s="467"/>
    </row>
    <row r="175" ht="26.25" customHeight="1">
      <c r="A175" s="459">
        <v>45927.0</v>
      </c>
      <c r="B175" s="460" t="s">
        <v>27</v>
      </c>
      <c r="C175" s="461" t="str">
        <f t="shared" si="1"/>
        <v>السبت</v>
      </c>
      <c r="D175" s="462">
        <v>0.37777777777777777</v>
      </c>
      <c r="E175" s="462">
        <v>0.7604166666666666</v>
      </c>
      <c r="F175" s="463">
        <v>300000.0</v>
      </c>
      <c r="G175" s="464">
        <f t="shared" si="17"/>
        <v>1276.595745</v>
      </c>
      <c r="H175" s="464">
        <f t="shared" si="7"/>
        <v>8.933333333</v>
      </c>
      <c r="I175" s="464">
        <f t="shared" si="3"/>
        <v>0.25</v>
      </c>
      <c r="J175" s="464">
        <f t="shared" si="4"/>
        <v>0</v>
      </c>
      <c r="K175" s="465">
        <f t="shared" si="5"/>
        <v>11882.97872</v>
      </c>
      <c r="L175" s="466"/>
      <c r="M175" s="465">
        <v>25000.0</v>
      </c>
      <c r="N175" s="465">
        <f t="shared" si="18"/>
        <v>85.10638298</v>
      </c>
      <c r="O175" s="465">
        <f t="shared" si="6"/>
        <v>-13202.12766</v>
      </c>
      <c r="P175" s="467"/>
    </row>
    <row r="176" ht="26.25" customHeight="1">
      <c r="A176" s="459">
        <v>45928.0</v>
      </c>
      <c r="B176" s="460" t="s">
        <v>27</v>
      </c>
      <c r="C176" s="461" t="str">
        <f t="shared" si="1"/>
        <v>الأحد</v>
      </c>
      <c r="D176" s="462">
        <v>0.37916666666666665</v>
      </c>
      <c r="E176" s="462">
        <v>0.7569444444444444</v>
      </c>
      <c r="F176" s="463">
        <v>300000.0</v>
      </c>
      <c r="G176" s="464">
        <f t="shared" si="17"/>
        <v>1276.595745</v>
      </c>
      <c r="H176" s="464">
        <f t="shared" si="7"/>
        <v>8.9</v>
      </c>
      <c r="I176" s="464">
        <f t="shared" si="3"/>
        <v>0.1666666667</v>
      </c>
      <c r="J176" s="464">
        <f t="shared" si="4"/>
        <v>0</v>
      </c>
      <c r="K176" s="465">
        <f t="shared" si="5"/>
        <v>11680.85106</v>
      </c>
      <c r="L176" s="466"/>
      <c r="M176" s="465">
        <v>55000.0</v>
      </c>
      <c r="N176" s="465">
        <f t="shared" si="18"/>
        <v>127.6595745</v>
      </c>
      <c r="O176" s="465">
        <f t="shared" si="6"/>
        <v>-43446.80851</v>
      </c>
      <c r="P176" s="467"/>
    </row>
    <row r="177" ht="26.25" customHeight="1">
      <c r="A177" s="459">
        <v>45929.0</v>
      </c>
      <c r="B177" s="460" t="s">
        <v>27</v>
      </c>
      <c r="C177" s="461" t="str">
        <f t="shared" si="1"/>
        <v>الاثنين</v>
      </c>
      <c r="D177" s="462">
        <v>0.3770833333333333</v>
      </c>
      <c r="E177" s="462">
        <v>0.7548611111111111</v>
      </c>
      <c r="F177" s="463">
        <v>300000.0</v>
      </c>
      <c r="G177" s="464">
        <f t="shared" si="17"/>
        <v>1276.595745</v>
      </c>
      <c r="H177" s="464">
        <f t="shared" si="7"/>
        <v>8.95</v>
      </c>
      <c r="I177" s="464">
        <f t="shared" si="3"/>
        <v>0.1166666667</v>
      </c>
      <c r="J177" s="464">
        <f t="shared" si="4"/>
        <v>0</v>
      </c>
      <c r="K177" s="465">
        <f t="shared" si="5"/>
        <v>11648.93617</v>
      </c>
      <c r="L177" s="466"/>
      <c r="M177" s="466"/>
      <c r="N177" s="465">
        <f t="shared" si="18"/>
        <v>63.82978723</v>
      </c>
      <c r="O177" s="465">
        <f t="shared" si="6"/>
        <v>11585.10638</v>
      </c>
      <c r="P177" s="467"/>
    </row>
    <row r="178" ht="26.25" customHeight="1">
      <c r="A178" s="459">
        <v>45930.0</v>
      </c>
      <c r="B178" s="460" t="s">
        <v>27</v>
      </c>
      <c r="C178" s="461" t="str">
        <f t="shared" si="1"/>
        <v>الثلاثاء</v>
      </c>
      <c r="D178" s="462">
        <v>0.40694444444444444</v>
      </c>
      <c r="E178" s="462">
        <v>0.7590277777777777</v>
      </c>
      <c r="F178" s="463">
        <v>300000.0</v>
      </c>
      <c r="G178" s="464">
        <f t="shared" si="17"/>
        <v>1276.595745</v>
      </c>
      <c r="H178" s="464">
        <f t="shared" si="7"/>
        <v>8.233333333</v>
      </c>
      <c r="I178" s="464">
        <f t="shared" si="3"/>
        <v>0.2166666667</v>
      </c>
      <c r="J178" s="464">
        <f t="shared" si="4"/>
        <v>0</v>
      </c>
      <c r="K178" s="465">
        <f t="shared" si="5"/>
        <v>10925.53191</v>
      </c>
      <c r="L178" s="466"/>
      <c r="M178" s="466"/>
      <c r="N178" s="465">
        <f t="shared" si="18"/>
        <v>978.7234043</v>
      </c>
      <c r="O178" s="465">
        <f t="shared" si="6"/>
        <v>9946.808511</v>
      </c>
      <c r="P178" s="467"/>
    </row>
    <row r="179" ht="26.25" customHeight="1">
      <c r="A179" s="459">
        <v>45923.0</v>
      </c>
      <c r="B179" s="460" t="s">
        <v>2483</v>
      </c>
      <c r="C179" s="461" t="str">
        <f t="shared" si="1"/>
        <v>الثلاثاء</v>
      </c>
      <c r="D179" s="462">
        <v>0.375</v>
      </c>
      <c r="E179" s="462">
        <v>0.7590277777777777</v>
      </c>
      <c r="F179" s="463">
        <v>300000.0</v>
      </c>
      <c r="G179" s="464">
        <f t="shared" si="17"/>
        <v>1276.595745</v>
      </c>
      <c r="H179" s="464">
        <f t="shared" si="7"/>
        <v>9</v>
      </c>
      <c r="I179" s="464">
        <f t="shared" si="3"/>
        <v>0.2166666667</v>
      </c>
      <c r="J179" s="464">
        <f t="shared" si="4"/>
        <v>0</v>
      </c>
      <c r="K179" s="465">
        <f t="shared" si="5"/>
        <v>11904.25532</v>
      </c>
      <c r="L179" s="466"/>
      <c r="M179" s="466"/>
      <c r="N179" s="465">
        <f t="shared" si="18"/>
        <v>0</v>
      </c>
      <c r="O179" s="465">
        <f t="shared" si="6"/>
        <v>11904.25532</v>
      </c>
      <c r="P179" s="467"/>
    </row>
    <row r="180" ht="26.25" customHeight="1">
      <c r="A180" s="459">
        <v>45925.0</v>
      </c>
      <c r="B180" s="460" t="s">
        <v>2483</v>
      </c>
      <c r="C180" s="461" t="str">
        <f t="shared" si="1"/>
        <v>الخميس</v>
      </c>
      <c r="D180" s="462">
        <v>0.37777777777777777</v>
      </c>
      <c r="E180" s="462">
        <v>0.7625</v>
      </c>
      <c r="F180" s="463">
        <v>300000.0</v>
      </c>
      <c r="G180" s="464">
        <f t="shared" si="17"/>
        <v>1276.595745</v>
      </c>
      <c r="H180" s="464">
        <f t="shared" si="7"/>
        <v>8.933333333</v>
      </c>
      <c r="I180" s="464">
        <f t="shared" si="3"/>
        <v>0.3</v>
      </c>
      <c r="J180" s="464">
        <f t="shared" si="4"/>
        <v>0</v>
      </c>
      <c r="K180" s="465">
        <f t="shared" si="5"/>
        <v>11978.7234</v>
      </c>
      <c r="L180" s="466"/>
      <c r="M180" s="466"/>
      <c r="N180" s="465">
        <f t="shared" si="18"/>
        <v>85.10638298</v>
      </c>
      <c r="O180" s="465">
        <f t="shared" si="6"/>
        <v>11893.61702</v>
      </c>
      <c r="P180" s="467"/>
    </row>
    <row r="181" ht="26.25" customHeight="1">
      <c r="A181" s="459">
        <v>45927.0</v>
      </c>
      <c r="B181" s="460" t="s">
        <v>2483</v>
      </c>
      <c r="C181" s="461" t="str">
        <f t="shared" si="1"/>
        <v>السبت</v>
      </c>
      <c r="D181" s="462">
        <v>0.37777777777777777</v>
      </c>
      <c r="E181" s="462">
        <v>0.7604166666666666</v>
      </c>
      <c r="F181" s="463">
        <v>300000.0</v>
      </c>
      <c r="G181" s="464">
        <f t="shared" si="17"/>
        <v>1276.595745</v>
      </c>
      <c r="H181" s="464">
        <f t="shared" si="7"/>
        <v>8.933333333</v>
      </c>
      <c r="I181" s="464">
        <f t="shared" si="3"/>
        <v>0.25</v>
      </c>
      <c r="J181" s="464">
        <f t="shared" si="4"/>
        <v>0</v>
      </c>
      <c r="K181" s="465">
        <f t="shared" si="5"/>
        <v>11882.97872</v>
      </c>
      <c r="L181" s="466"/>
      <c r="M181" s="465">
        <v>10000.0</v>
      </c>
      <c r="N181" s="465">
        <f t="shared" si="18"/>
        <v>85.10638298</v>
      </c>
      <c r="O181" s="465">
        <f t="shared" si="6"/>
        <v>1797.87234</v>
      </c>
      <c r="P181" s="467"/>
    </row>
    <row r="182" ht="26.25" customHeight="1">
      <c r="A182" s="459">
        <v>45928.0</v>
      </c>
      <c r="B182" s="460" t="s">
        <v>2483</v>
      </c>
      <c r="C182" s="461" t="str">
        <f t="shared" si="1"/>
        <v>الأحد</v>
      </c>
      <c r="D182" s="462">
        <v>0.37916666666666665</v>
      </c>
      <c r="E182" s="462">
        <v>0.7569444444444444</v>
      </c>
      <c r="F182" s="463">
        <v>300000.0</v>
      </c>
      <c r="G182" s="464">
        <f t="shared" si="17"/>
        <v>1276.595745</v>
      </c>
      <c r="H182" s="464">
        <f t="shared" si="7"/>
        <v>8.9</v>
      </c>
      <c r="I182" s="464">
        <f t="shared" si="3"/>
        <v>0.1666666667</v>
      </c>
      <c r="J182" s="464">
        <f t="shared" si="4"/>
        <v>0</v>
      </c>
      <c r="K182" s="465">
        <f t="shared" si="5"/>
        <v>11680.85106</v>
      </c>
      <c r="L182" s="466"/>
      <c r="M182" s="465">
        <v>25000.0</v>
      </c>
      <c r="N182" s="465">
        <f t="shared" si="18"/>
        <v>127.6595745</v>
      </c>
      <c r="O182" s="465">
        <f t="shared" si="6"/>
        <v>-13446.80851</v>
      </c>
      <c r="P182" s="467"/>
    </row>
    <row r="183" ht="26.25" customHeight="1">
      <c r="A183" s="459">
        <v>45930.0</v>
      </c>
      <c r="B183" s="460" t="s">
        <v>2483</v>
      </c>
      <c r="C183" s="461" t="str">
        <f t="shared" si="1"/>
        <v>الثلاثاء</v>
      </c>
      <c r="D183" s="462">
        <v>0.40694444444444444</v>
      </c>
      <c r="E183" s="462">
        <v>0.7576388888888889</v>
      </c>
      <c r="F183" s="463">
        <v>300000.0</v>
      </c>
      <c r="G183" s="464">
        <f t="shared" si="17"/>
        <v>1276.595745</v>
      </c>
      <c r="H183" s="464">
        <f t="shared" si="7"/>
        <v>8.233333333</v>
      </c>
      <c r="I183" s="464">
        <f t="shared" si="3"/>
        <v>0.1833333333</v>
      </c>
      <c r="J183" s="464">
        <f t="shared" si="4"/>
        <v>0</v>
      </c>
      <c r="K183" s="465">
        <f t="shared" si="5"/>
        <v>10861.70213</v>
      </c>
      <c r="L183" s="466"/>
      <c r="M183" s="465">
        <v>25000.0</v>
      </c>
      <c r="N183" s="465">
        <f t="shared" si="18"/>
        <v>978.7234043</v>
      </c>
      <c r="O183" s="465">
        <f t="shared" si="6"/>
        <v>-15117.02128</v>
      </c>
      <c r="P183" s="467"/>
    </row>
    <row r="184" ht="26.25" customHeight="1">
      <c r="A184" s="459">
        <v>45901.0</v>
      </c>
      <c r="B184" s="460" t="s">
        <v>30</v>
      </c>
      <c r="C184" s="461" t="str">
        <f t="shared" si="1"/>
        <v>الاثنين</v>
      </c>
      <c r="D184" s="462">
        <v>0.375</v>
      </c>
      <c r="E184" s="462">
        <v>0.875</v>
      </c>
      <c r="F184" s="463">
        <v>400000.0</v>
      </c>
      <c r="G184" s="464">
        <f t="shared" si="17"/>
        <v>1702.12766</v>
      </c>
      <c r="H184" s="464">
        <f t="shared" si="7"/>
        <v>9</v>
      </c>
      <c r="I184" s="464">
        <f t="shared" si="3"/>
        <v>3</v>
      </c>
      <c r="J184" s="464">
        <f t="shared" si="4"/>
        <v>0</v>
      </c>
      <c r="K184" s="465">
        <f t="shared" si="5"/>
        <v>22978.7234</v>
      </c>
      <c r="L184" s="466"/>
      <c r="M184" s="466"/>
      <c r="N184" s="465">
        <f t="shared" si="18"/>
        <v>0</v>
      </c>
      <c r="O184" s="465">
        <f t="shared" si="6"/>
        <v>22978.7234</v>
      </c>
      <c r="P184" s="467"/>
    </row>
    <row r="185" ht="26.25" customHeight="1">
      <c r="A185" s="459">
        <v>45902.0</v>
      </c>
      <c r="B185" s="460" t="s">
        <v>30</v>
      </c>
      <c r="C185" s="461" t="str">
        <f t="shared" si="1"/>
        <v>الثلاثاء</v>
      </c>
      <c r="D185" s="462">
        <v>0.375</v>
      </c>
      <c r="E185" s="462">
        <v>0.75</v>
      </c>
      <c r="F185" s="463">
        <v>400000.0</v>
      </c>
      <c r="G185" s="464">
        <f t="shared" si="17"/>
        <v>1702.12766</v>
      </c>
      <c r="H185" s="464">
        <f t="shared" si="7"/>
        <v>9</v>
      </c>
      <c r="I185" s="464">
        <f t="shared" si="3"/>
        <v>0</v>
      </c>
      <c r="J185" s="464">
        <f t="shared" si="4"/>
        <v>0</v>
      </c>
      <c r="K185" s="465">
        <f t="shared" si="5"/>
        <v>15319.14894</v>
      </c>
      <c r="L185" s="466"/>
      <c r="M185" s="466"/>
      <c r="N185" s="465">
        <f t="shared" si="18"/>
        <v>0</v>
      </c>
      <c r="O185" s="465">
        <f t="shared" si="6"/>
        <v>15319.14894</v>
      </c>
      <c r="P185" s="467"/>
    </row>
    <row r="186" ht="26.25" customHeight="1">
      <c r="A186" s="459">
        <v>45903.0</v>
      </c>
      <c r="B186" s="460" t="s">
        <v>30</v>
      </c>
      <c r="C186" s="461" t="str">
        <f t="shared" si="1"/>
        <v>الأربعاء</v>
      </c>
      <c r="D186" s="462">
        <v>0.3902777777777778</v>
      </c>
      <c r="E186" s="462">
        <v>0.7791666666666667</v>
      </c>
      <c r="F186" s="463">
        <v>400000.0</v>
      </c>
      <c r="G186" s="464">
        <f t="shared" si="17"/>
        <v>1702.12766</v>
      </c>
      <c r="H186" s="464">
        <f t="shared" si="7"/>
        <v>8.633333333</v>
      </c>
      <c r="I186" s="464">
        <f t="shared" si="3"/>
        <v>0.7</v>
      </c>
      <c r="J186" s="464">
        <f t="shared" si="4"/>
        <v>0</v>
      </c>
      <c r="K186" s="465">
        <f t="shared" si="5"/>
        <v>16482.2695</v>
      </c>
      <c r="L186" s="466"/>
      <c r="M186" s="466"/>
      <c r="N186" s="465">
        <f t="shared" si="18"/>
        <v>624.1134752</v>
      </c>
      <c r="O186" s="465">
        <f t="shared" si="6"/>
        <v>15858.15603</v>
      </c>
      <c r="P186" s="467"/>
    </row>
    <row r="187" ht="26.25" customHeight="1">
      <c r="A187" s="459">
        <v>45904.0</v>
      </c>
      <c r="B187" s="460" t="s">
        <v>30</v>
      </c>
      <c r="C187" s="461" t="str">
        <f t="shared" si="1"/>
        <v>الخميس</v>
      </c>
      <c r="D187" s="462">
        <v>0.375</v>
      </c>
      <c r="E187" s="462">
        <v>0.7541666666666667</v>
      </c>
      <c r="F187" s="463">
        <v>400000.0</v>
      </c>
      <c r="G187" s="464">
        <f t="shared" si="17"/>
        <v>1702.12766</v>
      </c>
      <c r="H187" s="464">
        <f t="shared" si="7"/>
        <v>9</v>
      </c>
      <c r="I187" s="464">
        <f t="shared" si="3"/>
        <v>0.1</v>
      </c>
      <c r="J187" s="464">
        <f t="shared" si="4"/>
        <v>0</v>
      </c>
      <c r="K187" s="465">
        <f t="shared" si="5"/>
        <v>15574.46809</v>
      </c>
      <c r="L187" s="465">
        <v>35000.0</v>
      </c>
      <c r="M187" s="466"/>
      <c r="N187" s="465">
        <f t="shared" si="18"/>
        <v>0</v>
      </c>
      <c r="O187" s="465">
        <f t="shared" si="6"/>
        <v>50574.46809</v>
      </c>
      <c r="P187" s="467"/>
    </row>
    <row r="188" ht="26.25" customHeight="1">
      <c r="A188" s="459">
        <v>45906.0</v>
      </c>
      <c r="B188" s="460" t="s">
        <v>30</v>
      </c>
      <c r="C188" s="461" t="str">
        <f t="shared" si="1"/>
        <v>السبت</v>
      </c>
      <c r="D188" s="462">
        <v>0.38819444444444445</v>
      </c>
      <c r="E188" s="462">
        <v>0.8618055555555556</v>
      </c>
      <c r="F188" s="463">
        <v>400000.0</v>
      </c>
      <c r="G188" s="464">
        <f t="shared" si="17"/>
        <v>1702.12766</v>
      </c>
      <c r="H188" s="464">
        <f t="shared" si="7"/>
        <v>8.683333333</v>
      </c>
      <c r="I188" s="464">
        <f t="shared" si="3"/>
        <v>2.683333333</v>
      </c>
      <c r="J188" s="464">
        <f t="shared" si="4"/>
        <v>0</v>
      </c>
      <c r="K188" s="465">
        <f t="shared" si="5"/>
        <v>21631.20567</v>
      </c>
      <c r="L188" s="466"/>
      <c r="M188" s="466"/>
      <c r="N188" s="465">
        <f t="shared" si="18"/>
        <v>539.0070922</v>
      </c>
      <c r="O188" s="465">
        <f t="shared" si="6"/>
        <v>21092.19858</v>
      </c>
      <c r="P188" s="467"/>
    </row>
    <row r="189" ht="26.25" customHeight="1">
      <c r="A189" s="459">
        <v>45907.0</v>
      </c>
      <c r="B189" s="460" t="s">
        <v>30</v>
      </c>
      <c r="C189" s="461" t="str">
        <f t="shared" si="1"/>
        <v>الأحد</v>
      </c>
      <c r="D189" s="462">
        <v>0.4097222222222222</v>
      </c>
      <c r="E189" s="462">
        <v>0.7333333333333333</v>
      </c>
      <c r="F189" s="463">
        <v>400000.0</v>
      </c>
      <c r="G189" s="464">
        <f t="shared" si="17"/>
        <v>1702.12766</v>
      </c>
      <c r="H189" s="464">
        <f t="shared" si="7"/>
        <v>7.766666667</v>
      </c>
      <c r="I189" s="464">
        <f t="shared" si="3"/>
        <v>0</v>
      </c>
      <c r="J189" s="464">
        <f t="shared" si="4"/>
        <v>0</v>
      </c>
      <c r="K189" s="465">
        <f t="shared" si="5"/>
        <v>13219.85816</v>
      </c>
      <c r="L189" s="466"/>
      <c r="M189" s="466"/>
      <c r="N189" s="465">
        <f t="shared" si="18"/>
        <v>1418.439716</v>
      </c>
      <c r="O189" s="465">
        <f t="shared" si="6"/>
        <v>11801.41844</v>
      </c>
      <c r="P189" s="467"/>
    </row>
    <row r="190" ht="26.25" customHeight="1">
      <c r="A190" s="459">
        <v>45908.0</v>
      </c>
      <c r="B190" s="460" t="s">
        <v>30</v>
      </c>
      <c r="C190" s="461" t="str">
        <f t="shared" si="1"/>
        <v>الاثنين</v>
      </c>
      <c r="D190" s="462">
        <v>0.375</v>
      </c>
      <c r="E190" s="462">
        <v>0.75</v>
      </c>
      <c r="F190" s="463">
        <v>400000.0</v>
      </c>
      <c r="G190" s="464">
        <f t="shared" si="17"/>
        <v>1702.12766</v>
      </c>
      <c r="H190" s="464">
        <f t="shared" si="7"/>
        <v>9</v>
      </c>
      <c r="I190" s="464">
        <f t="shared" si="3"/>
        <v>0</v>
      </c>
      <c r="J190" s="464">
        <f t="shared" si="4"/>
        <v>0</v>
      </c>
      <c r="K190" s="465">
        <f t="shared" si="5"/>
        <v>15319.14894</v>
      </c>
      <c r="L190" s="466"/>
      <c r="M190" s="466"/>
      <c r="N190" s="465">
        <f t="shared" si="18"/>
        <v>0</v>
      </c>
      <c r="O190" s="465">
        <f t="shared" si="6"/>
        <v>15319.14894</v>
      </c>
      <c r="P190" s="467"/>
    </row>
    <row r="191" ht="26.25" customHeight="1">
      <c r="A191" s="459">
        <v>45909.0</v>
      </c>
      <c r="B191" s="460" t="s">
        <v>30</v>
      </c>
      <c r="C191" s="461" t="str">
        <f t="shared" si="1"/>
        <v>الثلاثاء</v>
      </c>
      <c r="D191" s="462">
        <v>0.3729166666666667</v>
      </c>
      <c r="E191" s="462">
        <v>0.9097222222222222</v>
      </c>
      <c r="F191" s="463">
        <v>400000.0</v>
      </c>
      <c r="G191" s="464">
        <f t="shared" si="17"/>
        <v>1702.12766</v>
      </c>
      <c r="H191" s="464">
        <f t="shared" si="7"/>
        <v>9.05</v>
      </c>
      <c r="I191" s="464">
        <f t="shared" si="3"/>
        <v>3.833333333</v>
      </c>
      <c r="J191" s="464">
        <f t="shared" si="4"/>
        <v>0</v>
      </c>
      <c r="K191" s="465">
        <f t="shared" si="5"/>
        <v>25191.48936</v>
      </c>
      <c r="L191" s="466"/>
      <c r="M191" s="466"/>
      <c r="N191" s="465">
        <f t="shared" si="18"/>
        <v>0</v>
      </c>
      <c r="O191" s="465">
        <f t="shared" si="6"/>
        <v>25191.48936</v>
      </c>
      <c r="P191" s="467"/>
    </row>
    <row r="192" ht="26.25" customHeight="1">
      <c r="A192" s="459">
        <v>45910.0</v>
      </c>
      <c r="B192" s="460" t="s">
        <v>30</v>
      </c>
      <c r="C192" s="461" t="str">
        <f t="shared" si="1"/>
        <v>الأربعاء</v>
      </c>
      <c r="D192" s="462">
        <v>0.39375</v>
      </c>
      <c r="E192" s="462">
        <v>0.9993055555555556</v>
      </c>
      <c r="F192" s="463">
        <v>400000.0</v>
      </c>
      <c r="G192" s="464">
        <f t="shared" si="17"/>
        <v>1702.12766</v>
      </c>
      <c r="H192" s="464">
        <f t="shared" si="7"/>
        <v>8.55</v>
      </c>
      <c r="I192" s="464">
        <f t="shared" si="3"/>
        <v>5.983333333</v>
      </c>
      <c r="J192" s="464">
        <f t="shared" si="4"/>
        <v>0</v>
      </c>
      <c r="K192" s="465">
        <f t="shared" si="5"/>
        <v>29829.78723</v>
      </c>
      <c r="L192" s="466"/>
      <c r="M192" s="465">
        <v>5000.0</v>
      </c>
      <c r="N192" s="465">
        <f t="shared" si="18"/>
        <v>765.9574468</v>
      </c>
      <c r="O192" s="465">
        <f t="shared" si="6"/>
        <v>24063.82979</v>
      </c>
      <c r="P192" s="467"/>
    </row>
    <row r="193" ht="26.25" customHeight="1">
      <c r="A193" s="459">
        <v>45911.0</v>
      </c>
      <c r="B193" s="460" t="s">
        <v>30</v>
      </c>
      <c r="C193" s="461" t="str">
        <f t="shared" si="1"/>
        <v>الخميس</v>
      </c>
      <c r="D193" s="462">
        <v>0.48055555555555557</v>
      </c>
      <c r="E193" s="462">
        <v>0.9993055555555556</v>
      </c>
      <c r="F193" s="463">
        <v>400000.0</v>
      </c>
      <c r="G193" s="464">
        <f t="shared" si="17"/>
        <v>1702.12766</v>
      </c>
      <c r="H193" s="464">
        <f t="shared" si="7"/>
        <v>6.466666667</v>
      </c>
      <c r="I193" s="464">
        <f t="shared" si="3"/>
        <v>5.983333333</v>
      </c>
      <c r="J193" s="464">
        <f t="shared" si="4"/>
        <v>0</v>
      </c>
      <c r="K193" s="465">
        <f t="shared" si="5"/>
        <v>26283.68794</v>
      </c>
      <c r="L193" s="466"/>
      <c r="M193" s="465">
        <v>200000.0</v>
      </c>
      <c r="N193" s="465">
        <f t="shared" si="18"/>
        <v>4312.056738</v>
      </c>
      <c r="O193" s="465">
        <f t="shared" si="6"/>
        <v>-178028.3688</v>
      </c>
      <c r="P193" s="467"/>
    </row>
    <row r="194" ht="26.25" customHeight="1">
      <c r="A194" s="459">
        <v>45912.0</v>
      </c>
      <c r="B194" s="460" t="s">
        <v>30</v>
      </c>
      <c r="C194" s="461" t="str">
        <f t="shared" si="1"/>
        <v>الجمعة</v>
      </c>
      <c r="D194" s="462">
        <v>0.14583333333333334</v>
      </c>
      <c r="E194" s="462">
        <v>0.7916666666666666</v>
      </c>
      <c r="F194" s="463">
        <v>400000.0</v>
      </c>
      <c r="G194" s="464">
        <f t="shared" si="17"/>
        <v>1702.12766</v>
      </c>
      <c r="H194" s="464">
        <f t="shared" si="7"/>
        <v>0</v>
      </c>
      <c r="I194" s="464">
        <f t="shared" si="3"/>
        <v>0</v>
      </c>
      <c r="J194" s="464">
        <f t="shared" si="4"/>
        <v>15.5</v>
      </c>
      <c r="K194" s="465">
        <f t="shared" si="5"/>
        <v>52765.95745</v>
      </c>
      <c r="L194" s="466"/>
      <c r="M194" s="466"/>
      <c r="N194" s="465">
        <f t="shared" si="18"/>
        <v>0</v>
      </c>
      <c r="O194" s="465">
        <f t="shared" si="6"/>
        <v>52765.95745</v>
      </c>
      <c r="P194" s="467"/>
    </row>
    <row r="195" ht="26.25" customHeight="1">
      <c r="A195" s="459">
        <v>45915.0</v>
      </c>
      <c r="B195" s="460" t="s">
        <v>30</v>
      </c>
      <c r="C195" s="461" t="str">
        <f t="shared" si="1"/>
        <v>الاثنين</v>
      </c>
      <c r="D195" s="462">
        <v>0.375</v>
      </c>
      <c r="E195" s="462">
        <v>0.9333333333333333</v>
      </c>
      <c r="F195" s="463">
        <v>400000.0</v>
      </c>
      <c r="G195" s="464">
        <f t="shared" si="17"/>
        <v>1702.12766</v>
      </c>
      <c r="H195" s="464">
        <f t="shared" si="7"/>
        <v>9</v>
      </c>
      <c r="I195" s="464">
        <f t="shared" si="3"/>
        <v>4.4</v>
      </c>
      <c r="J195" s="464">
        <f t="shared" si="4"/>
        <v>0</v>
      </c>
      <c r="K195" s="465">
        <f t="shared" si="5"/>
        <v>26553.19149</v>
      </c>
      <c r="L195" s="466"/>
      <c r="M195" s="466"/>
      <c r="N195" s="465">
        <f t="shared" si="18"/>
        <v>0</v>
      </c>
      <c r="O195" s="465">
        <f t="shared" si="6"/>
        <v>26553.19149</v>
      </c>
      <c r="P195" s="467"/>
    </row>
    <row r="196" ht="26.25" customHeight="1">
      <c r="A196" s="459">
        <v>45916.0</v>
      </c>
      <c r="B196" s="460" t="s">
        <v>30</v>
      </c>
      <c r="C196" s="461" t="str">
        <f t="shared" si="1"/>
        <v>الثلاثاء</v>
      </c>
      <c r="D196" s="462">
        <v>0.36527777777777776</v>
      </c>
      <c r="E196" s="462">
        <v>0.8902777777777777</v>
      </c>
      <c r="F196" s="463">
        <v>400000.0</v>
      </c>
      <c r="G196" s="464">
        <f t="shared" si="17"/>
        <v>1702.12766</v>
      </c>
      <c r="H196" s="464">
        <f t="shared" si="7"/>
        <v>9.233333333</v>
      </c>
      <c r="I196" s="464">
        <f t="shared" si="3"/>
        <v>3.366666667</v>
      </c>
      <c r="J196" s="464">
        <f t="shared" si="4"/>
        <v>0</v>
      </c>
      <c r="K196" s="465">
        <f t="shared" si="5"/>
        <v>24312.05674</v>
      </c>
      <c r="L196" s="466"/>
      <c r="M196" s="466"/>
      <c r="N196" s="465">
        <f t="shared" si="18"/>
        <v>0</v>
      </c>
      <c r="O196" s="465">
        <f t="shared" si="6"/>
        <v>24312.05674</v>
      </c>
      <c r="P196" s="467"/>
    </row>
    <row r="197" ht="26.25" customHeight="1">
      <c r="A197" s="459">
        <v>45917.0</v>
      </c>
      <c r="B197" s="460" t="s">
        <v>30</v>
      </c>
      <c r="C197" s="461" t="str">
        <f t="shared" si="1"/>
        <v>الأربعاء</v>
      </c>
      <c r="D197" s="462">
        <v>0.3729166666666667</v>
      </c>
      <c r="E197" s="462">
        <v>0.04791666666666667</v>
      </c>
      <c r="F197" s="463">
        <v>400000.0</v>
      </c>
      <c r="G197" s="464">
        <f t="shared" si="17"/>
        <v>1702.12766</v>
      </c>
      <c r="H197" s="464">
        <f t="shared" si="7"/>
        <v>0</v>
      </c>
      <c r="I197" s="464">
        <f t="shared" si="3"/>
        <v>16.2</v>
      </c>
      <c r="J197" s="464">
        <f t="shared" si="4"/>
        <v>0</v>
      </c>
      <c r="K197" s="465">
        <f t="shared" si="5"/>
        <v>41361.70213</v>
      </c>
      <c r="L197" s="466"/>
      <c r="M197" s="466"/>
      <c r="N197" s="465">
        <f t="shared" si="18"/>
        <v>0</v>
      </c>
      <c r="O197" s="465">
        <f t="shared" si="6"/>
        <v>41361.70213</v>
      </c>
      <c r="P197" s="467"/>
    </row>
    <row r="198" ht="26.25" customHeight="1">
      <c r="A198" s="459">
        <v>45919.0</v>
      </c>
      <c r="B198" s="460" t="s">
        <v>30</v>
      </c>
      <c r="C198" s="461" t="str">
        <f t="shared" si="1"/>
        <v>الجمعة</v>
      </c>
      <c r="D198" s="462">
        <v>0.5576388888888889</v>
      </c>
      <c r="E198" s="462">
        <v>0.8375</v>
      </c>
      <c r="F198" s="463">
        <v>400000.0</v>
      </c>
      <c r="G198" s="464">
        <f t="shared" si="17"/>
        <v>1702.12766</v>
      </c>
      <c r="H198" s="464">
        <f t="shared" si="7"/>
        <v>0</v>
      </c>
      <c r="I198" s="464">
        <f t="shared" si="3"/>
        <v>0</v>
      </c>
      <c r="J198" s="464">
        <f t="shared" si="4"/>
        <v>6.716666667</v>
      </c>
      <c r="K198" s="465">
        <f t="shared" si="5"/>
        <v>22865.24823</v>
      </c>
      <c r="L198" s="466"/>
      <c r="M198" s="466"/>
      <c r="N198" s="465">
        <f t="shared" si="18"/>
        <v>0</v>
      </c>
      <c r="O198" s="465">
        <f t="shared" si="6"/>
        <v>22865.24823</v>
      </c>
      <c r="P198" s="467"/>
    </row>
    <row r="199" ht="26.25" customHeight="1">
      <c r="A199" s="459">
        <v>45920.0</v>
      </c>
      <c r="B199" s="460" t="s">
        <v>30</v>
      </c>
      <c r="C199" s="461" t="str">
        <f t="shared" si="1"/>
        <v>السبت</v>
      </c>
      <c r="D199" s="462">
        <v>0.375</v>
      </c>
      <c r="E199" s="462">
        <v>0.75</v>
      </c>
      <c r="F199" s="463">
        <v>400000.0</v>
      </c>
      <c r="G199" s="464">
        <f t="shared" si="17"/>
        <v>1702.12766</v>
      </c>
      <c r="H199" s="464">
        <f t="shared" si="7"/>
        <v>9</v>
      </c>
      <c r="I199" s="464">
        <f t="shared" si="3"/>
        <v>0</v>
      </c>
      <c r="J199" s="464">
        <f t="shared" si="4"/>
        <v>0</v>
      </c>
      <c r="K199" s="465">
        <f t="shared" si="5"/>
        <v>15319.14894</v>
      </c>
      <c r="L199" s="466"/>
      <c r="M199" s="466"/>
      <c r="N199" s="465">
        <f t="shared" si="18"/>
        <v>0</v>
      </c>
      <c r="O199" s="465">
        <f t="shared" si="6"/>
        <v>15319.14894</v>
      </c>
      <c r="P199" s="467"/>
    </row>
    <row r="200" ht="26.25" customHeight="1">
      <c r="A200" s="459">
        <v>45921.0</v>
      </c>
      <c r="B200" s="460" t="s">
        <v>30</v>
      </c>
      <c r="C200" s="461" t="str">
        <f t="shared" si="1"/>
        <v>الأحد</v>
      </c>
      <c r="D200" s="462">
        <v>0.40625</v>
      </c>
      <c r="E200" s="462">
        <v>0.7541666666666667</v>
      </c>
      <c r="F200" s="463">
        <v>400000.0</v>
      </c>
      <c r="G200" s="464">
        <f t="shared" si="17"/>
        <v>1702.12766</v>
      </c>
      <c r="H200" s="464">
        <f t="shared" si="7"/>
        <v>8.25</v>
      </c>
      <c r="I200" s="464">
        <f t="shared" si="3"/>
        <v>0.1</v>
      </c>
      <c r="J200" s="464">
        <f t="shared" si="4"/>
        <v>0</v>
      </c>
      <c r="K200" s="465">
        <f t="shared" si="5"/>
        <v>14297.87234</v>
      </c>
      <c r="L200" s="466"/>
      <c r="M200" s="466"/>
      <c r="N200" s="465">
        <f t="shared" si="18"/>
        <v>1276.595745</v>
      </c>
      <c r="O200" s="465">
        <f t="shared" si="6"/>
        <v>13021.2766</v>
      </c>
      <c r="P200" s="468" t="s">
        <v>19</v>
      </c>
    </row>
    <row r="201" ht="26.25" customHeight="1">
      <c r="A201" s="459">
        <v>45922.0</v>
      </c>
      <c r="B201" s="460" t="s">
        <v>30</v>
      </c>
      <c r="C201" s="461" t="str">
        <f t="shared" si="1"/>
        <v>الاثنين</v>
      </c>
      <c r="D201" s="462">
        <v>0.39375</v>
      </c>
      <c r="E201" s="462">
        <v>0.7493055555555556</v>
      </c>
      <c r="F201" s="463">
        <v>400000.0</v>
      </c>
      <c r="G201" s="464">
        <f t="shared" si="17"/>
        <v>1702.12766</v>
      </c>
      <c r="H201" s="464">
        <f t="shared" si="7"/>
        <v>8.533333333</v>
      </c>
      <c r="I201" s="464">
        <f t="shared" si="3"/>
        <v>0</v>
      </c>
      <c r="J201" s="464">
        <f t="shared" si="4"/>
        <v>0</v>
      </c>
      <c r="K201" s="465">
        <f t="shared" si="5"/>
        <v>14524.8227</v>
      </c>
      <c r="L201" s="466"/>
      <c r="M201" s="466"/>
      <c r="N201" s="465">
        <f t="shared" si="18"/>
        <v>765.9574468</v>
      </c>
      <c r="O201" s="465">
        <f t="shared" si="6"/>
        <v>13758.86525</v>
      </c>
      <c r="P201" s="467"/>
    </row>
    <row r="202" ht="26.25" customHeight="1">
      <c r="A202" s="459">
        <v>45923.0</v>
      </c>
      <c r="B202" s="460" t="s">
        <v>30</v>
      </c>
      <c r="C202" s="461" t="str">
        <f t="shared" si="1"/>
        <v>الثلاثاء</v>
      </c>
      <c r="D202" s="462">
        <v>0.44930555555555557</v>
      </c>
      <c r="E202" s="462">
        <v>0.8048611111111111</v>
      </c>
      <c r="F202" s="463">
        <v>400000.0</v>
      </c>
      <c r="G202" s="464">
        <f t="shared" si="17"/>
        <v>1702.12766</v>
      </c>
      <c r="H202" s="464">
        <f t="shared" si="7"/>
        <v>7.216666667</v>
      </c>
      <c r="I202" s="464">
        <f t="shared" si="3"/>
        <v>1.316666667</v>
      </c>
      <c r="J202" s="464">
        <f t="shared" si="4"/>
        <v>0</v>
      </c>
      <c r="K202" s="465">
        <f t="shared" si="5"/>
        <v>15645.39007</v>
      </c>
      <c r="L202" s="466"/>
      <c r="M202" s="465">
        <v>15000.0</v>
      </c>
      <c r="N202" s="465">
        <f t="shared" si="18"/>
        <v>3035.460993</v>
      </c>
      <c r="O202" s="465">
        <f t="shared" si="6"/>
        <v>-2390.070922</v>
      </c>
      <c r="P202" s="467"/>
    </row>
    <row r="203" ht="26.25" customHeight="1">
      <c r="A203" s="459">
        <v>45924.0</v>
      </c>
      <c r="B203" s="460" t="s">
        <v>30</v>
      </c>
      <c r="C203" s="461" t="str">
        <f t="shared" si="1"/>
        <v>الأربعاء</v>
      </c>
      <c r="D203" s="462">
        <v>0.3875</v>
      </c>
      <c r="E203" s="462">
        <v>0.75</v>
      </c>
      <c r="F203" s="463">
        <v>400000.0</v>
      </c>
      <c r="G203" s="464">
        <f t="shared" si="17"/>
        <v>1702.12766</v>
      </c>
      <c r="H203" s="464">
        <f t="shared" si="7"/>
        <v>8.7</v>
      </c>
      <c r="I203" s="464">
        <f t="shared" si="3"/>
        <v>0</v>
      </c>
      <c r="J203" s="464">
        <f t="shared" si="4"/>
        <v>0</v>
      </c>
      <c r="K203" s="465">
        <f t="shared" si="5"/>
        <v>14808.51064</v>
      </c>
      <c r="L203" s="466"/>
      <c r="M203" s="466"/>
      <c r="N203" s="465">
        <f t="shared" si="18"/>
        <v>510.6382979</v>
      </c>
      <c r="O203" s="465">
        <f t="shared" si="6"/>
        <v>14297.87234</v>
      </c>
      <c r="P203" s="467"/>
    </row>
    <row r="204" ht="26.25" customHeight="1">
      <c r="A204" s="459">
        <v>45925.0</v>
      </c>
      <c r="B204" s="460" t="s">
        <v>30</v>
      </c>
      <c r="C204" s="461" t="str">
        <f t="shared" si="1"/>
        <v>الخميس</v>
      </c>
      <c r="D204" s="462">
        <v>0.4166666666666667</v>
      </c>
      <c r="E204" s="462">
        <v>0.7597222222222222</v>
      </c>
      <c r="F204" s="463">
        <v>400000.0</v>
      </c>
      <c r="G204" s="464">
        <f t="shared" si="17"/>
        <v>1702.12766</v>
      </c>
      <c r="H204" s="464">
        <f t="shared" si="7"/>
        <v>8</v>
      </c>
      <c r="I204" s="464">
        <f t="shared" si="3"/>
        <v>0.2333333333</v>
      </c>
      <c r="J204" s="464">
        <f t="shared" si="4"/>
        <v>0</v>
      </c>
      <c r="K204" s="465">
        <f t="shared" si="5"/>
        <v>14212.76596</v>
      </c>
      <c r="L204" s="466"/>
      <c r="M204" s="465">
        <v>25000.0</v>
      </c>
      <c r="N204" s="465">
        <f t="shared" si="18"/>
        <v>1702.12766</v>
      </c>
      <c r="O204" s="465">
        <f t="shared" si="6"/>
        <v>-12489.3617</v>
      </c>
      <c r="P204" s="467"/>
    </row>
    <row r="205" ht="26.25" customHeight="1">
      <c r="A205" s="459">
        <v>45927.0</v>
      </c>
      <c r="B205" s="460" t="s">
        <v>30</v>
      </c>
      <c r="C205" s="461" t="str">
        <f t="shared" si="1"/>
        <v>السبت</v>
      </c>
      <c r="D205" s="462">
        <v>0.4166666666666667</v>
      </c>
      <c r="E205" s="462">
        <v>0.7541666666666667</v>
      </c>
      <c r="F205" s="463">
        <v>400000.0</v>
      </c>
      <c r="G205" s="464">
        <f t="shared" si="17"/>
        <v>1702.12766</v>
      </c>
      <c r="H205" s="464">
        <f t="shared" si="7"/>
        <v>8</v>
      </c>
      <c r="I205" s="464">
        <f t="shared" si="3"/>
        <v>0.1</v>
      </c>
      <c r="J205" s="464">
        <f t="shared" si="4"/>
        <v>0</v>
      </c>
      <c r="K205" s="465">
        <f t="shared" si="5"/>
        <v>13872.34043</v>
      </c>
      <c r="L205" s="466"/>
      <c r="M205" s="465">
        <v>85000.0</v>
      </c>
      <c r="N205" s="465">
        <f t="shared" si="18"/>
        <v>1702.12766</v>
      </c>
      <c r="O205" s="465">
        <f t="shared" si="6"/>
        <v>-72829.78723</v>
      </c>
      <c r="P205" s="467"/>
    </row>
    <row r="206" ht="26.25" customHeight="1">
      <c r="A206" s="459">
        <v>45901.0</v>
      </c>
      <c r="B206" s="460" t="s">
        <v>31</v>
      </c>
      <c r="C206" s="461" t="str">
        <f t="shared" si="1"/>
        <v>الاثنين</v>
      </c>
      <c r="D206" s="462">
        <v>0.39375</v>
      </c>
      <c r="E206" s="462">
        <v>0.7409722222222223</v>
      </c>
      <c r="F206" s="463">
        <v>700000.0</v>
      </c>
      <c r="G206" s="464">
        <f t="shared" si="17"/>
        <v>2978.723404</v>
      </c>
      <c r="H206" s="464">
        <f t="shared" si="7"/>
        <v>8.333333333</v>
      </c>
      <c r="I206" s="464">
        <f t="shared" si="3"/>
        <v>0</v>
      </c>
      <c r="J206" s="464">
        <f t="shared" si="4"/>
        <v>0</v>
      </c>
      <c r="K206" s="465">
        <f t="shared" si="5"/>
        <v>24822.69504</v>
      </c>
      <c r="L206" s="466"/>
      <c r="M206" s="466"/>
      <c r="N206" s="465">
        <f t="shared" si="18"/>
        <v>1340.425532</v>
      </c>
      <c r="O206" s="465">
        <f t="shared" si="6"/>
        <v>23482.2695</v>
      </c>
      <c r="P206" s="467"/>
    </row>
    <row r="207" ht="26.25" customHeight="1">
      <c r="A207" s="459">
        <v>45902.0</v>
      </c>
      <c r="B207" s="460" t="s">
        <v>31</v>
      </c>
      <c r="C207" s="461" t="str">
        <f t="shared" si="1"/>
        <v>الثلاثاء</v>
      </c>
      <c r="D207" s="462">
        <v>0.42083333333333334</v>
      </c>
      <c r="E207" s="462">
        <v>0.6520833333333333</v>
      </c>
      <c r="F207" s="463">
        <v>700000.0</v>
      </c>
      <c r="G207" s="464">
        <f t="shared" si="17"/>
        <v>2978.723404</v>
      </c>
      <c r="H207" s="464">
        <f t="shared" si="7"/>
        <v>5.55</v>
      </c>
      <c r="I207" s="464">
        <f t="shared" si="3"/>
        <v>0</v>
      </c>
      <c r="J207" s="464">
        <f t="shared" si="4"/>
        <v>0</v>
      </c>
      <c r="K207" s="465">
        <f t="shared" si="5"/>
        <v>16531.91489</v>
      </c>
      <c r="L207" s="466"/>
      <c r="M207" s="466"/>
      <c r="N207" s="465">
        <f t="shared" si="18"/>
        <v>3276.595745</v>
      </c>
      <c r="O207" s="465">
        <f t="shared" si="6"/>
        <v>13255.31915</v>
      </c>
      <c r="P207" s="468" t="s">
        <v>2484</v>
      </c>
    </row>
    <row r="208" ht="26.25" customHeight="1">
      <c r="A208" s="459">
        <v>45903.0</v>
      </c>
      <c r="B208" s="460" t="s">
        <v>31</v>
      </c>
      <c r="C208" s="461" t="str">
        <f t="shared" si="1"/>
        <v>الأربعاء</v>
      </c>
      <c r="D208" s="462">
        <v>0.4097222222222222</v>
      </c>
      <c r="E208" s="462">
        <v>0.75</v>
      </c>
      <c r="F208" s="463">
        <v>700000.0</v>
      </c>
      <c r="G208" s="464">
        <f t="shared" si="17"/>
        <v>2978.723404</v>
      </c>
      <c r="H208" s="464">
        <f t="shared" si="7"/>
        <v>8.166666667</v>
      </c>
      <c r="I208" s="464">
        <f t="shared" si="3"/>
        <v>0</v>
      </c>
      <c r="J208" s="464">
        <f t="shared" si="4"/>
        <v>0</v>
      </c>
      <c r="K208" s="465">
        <f t="shared" si="5"/>
        <v>24326.24113</v>
      </c>
      <c r="L208" s="466"/>
      <c r="M208" s="466"/>
      <c r="N208" s="465">
        <f t="shared" si="18"/>
        <v>2482.269504</v>
      </c>
      <c r="O208" s="465">
        <f t="shared" si="6"/>
        <v>21843.97163</v>
      </c>
      <c r="P208" s="467"/>
    </row>
    <row r="209" ht="26.25" customHeight="1">
      <c r="A209" s="459">
        <v>45904.0</v>
      </c>
      <c r="B209" s="460" t="s">
        <v>31</v>
      </c>
      <c r="C209" s="461" t="str">
        <f t="shared" si="1"/>
        <v>الخميس</v>
      </c>
      <c r="D209" s="462">
        <v>0.4409722222222222</v>
      </c>
      <c r="E209" s="462">
        <v>0.75</v>
      </c>
      <c r="F209" s="463">
        <v>700000.0</v>
      </c>
      <c r="G209" s="464">
        <f t="shared" si="17"/>
        <v>2978.723404</v>
      </c>
      <c r="H209" s="464">
        <f t="shared" si="7"/>
        <v>7.416666667</v>
      </c>
      <c r="I209" s="464">
        <f t="shared" si="3"/>
        <v>0</v>
      </c>
      <c r="J209" s="464">
        <f t="shared" si="4"/>
        <v>0</v>
      </c>
      <c r="K209" s="465">
        <f t="shared" si="5"/>
        <v>22092.19858</v>
      </c>
      <c r="L209" s="466"/>
      <c r="M209" s="466"/>
      <c r="N209" s="465">
        <f t="shared" si="18"/>
        <v>4716.312057</v>
      </c>
      <c r="O209" s="465">
        <f t="shared" si="6"/>
        <v>17375.88652</v>
      </c>
      <c r="P209" s="467"/>
    </row>
    <row r="210" ht="26.25" customHeight="1">
      <c r="A210" s="459">
        <v>45906.0</v>
      </c>
      <c r="B210" s="460" t="s">
        <v>31</v>
      </c>
      <c r="C210" s="461" t="str">
        <f t="shared" si="1"/>
        <v>السبت</v>
      </c>
      <c r="D210" s="462">
        <v>0.46597222222222223</v>
      </c>
      <c r="E210" s="462">
        <v>0.75</v>
      </c>
      <c r="F210" s="463">
        <v>700000.0</v>
      </c>
      <c r="G210" s="464">
        <f t="shared" si="17"/>
        <v>2978.723404</v>
      </c>
      <c r="H210" s="464">
        <f t="shared" si="7"/>
        <v>6.816666667</v>
      </c>
      <c r="I210" s="464">
        <f t="shared" si="3"/>
        <v>0</v>
      </c>
      <c r="J210" s="464">
        <f t="shared" si="4"/>
        <v>0</v>
      </c>
      <c r="K210" s="465">
        <f t="shared" si="5"/>
        <v>20304.96454</v>
      </c>
      <c r="L210" s="466"/>
      <c r="M210" s="466"/>
      <c r="N210" s="465">
        <f t="shared" si="18"/>
        <v>6503.546099</v>
      </c>
      <c r="O210" s="465">
        <f t="shared" si="6"/>
        <v>13801.41844</v>
      </c>
      <c r="P210" s="467"/>
    </row>
    <row r="211" ht="26.25" customHeight="1">
      <c r="A211" s="459">
        <v>45907.0</v>
      </c>
      <c r="B211" s="460" t="s">
        <v>31</v>
      </c>
      <c r="C211" s="461" t="str">
        <f t="shared" si="1"/>
        <v>الأحد</v>
      </c>
      <c r="D211" s="462">
        <v>0.43680555555555556</v>
      </c>
      <c r="E211" s="462">
        <v>0.8083333333333333</v>
      </c>
      <c r="F211" s="463">
        <v>700000.0</v>
      </c>
      <c r="G211" s="464">
        <f t="shared" si="17"/>
        <v>2978.723404</v>
      </c>
      <c r="H211" s="464">
        <f t="shared" si="7"/>
        <v>7.516666667</v>
      </c>
      <c r="I211" s="464">
        <f t="shared" si="3"/>
        <v>1.4</v>
      </c>
      <c r="J211" s="464">
        <f t="shared" si="4"/>
        <v>0</v>
      </c>
      <c r="K211" s="465">
        <f t="shared" si="5"/>
        <v>28645.39007</v>
      </c>
      <c r="L211" s="466"/>
      <c r="M211" s="466"/>
      <c r="N211" s="465">
        <f t="shared" si="18"/>
        <v>4418.439716</v>
      </c>
      <c r="O211" s="465">
        <f t="shared" si="6"/>
        <v>24226.95035</v>
      </c>
      <c r="P211" s="467"/>
    </row>
    <row r="212" ht="26.25" customHeight="1">
      <c r="A212" s="459">
        <v>45908.0</v>
      </c>
      <c r="B212" s="460" t="s">
        <v>31</v>
      </c>
      <c r="C212" s="461" t="str">
        <f t="shared" si="1"/>
        <v>الاثنين</v>
      </c>
      <c r="D212" s="462">
        <v>0.40902777777777777</v>
      </c>
      <c r="E212" s="462">
        <v>0.7784722222222222</v>
      </c>
      <c r="F212" s="463">
        <v>700000.0</v>
      </c>
      <c r="G212" s="464">
        <f t="shared" si="17"/>
        <v>2978.723404</v>
      </c>
      <c r="H212" s="464">
        <f t="shared" si="7"/>
        <v>8.183333333</v>
      </c>
      <c r="I212" s="464">
        <f t="shared" si="3"/>
        <v>0.6833333333</v>
      </c>
      <c r="J212" s="464">
        <f t="shared" si="4"/>
        <v>0</v>
      </c>
      <c r="K212" s="465">
        <f t="shared" si="5"/>
        <v>27429.07801</v>
      </c>
      <c r="L212" s="466"/>
      <c r="M212" s="466"/>
      <c r="N212" s="465">
        <f t="shared" si="18"/>
        <v>2432.624113</v>
      </c>
      <c r="O212" s="465">
        <f t="shared" si="6"/>
        <v>24996.4539</v>
      </c>
      <c r="P212" s="467"/>
    </row>
    <row r="213" ht="26.25" customHeight="1">
      <c r="A213" s="459">
        <v>45909.0</v>
      </c>
      <c r="B213" s="460" t="s">
        <v>31</v>
      </c>
      <c r="C213" s="461" t="str">
        <f t="shared" si="1"/>
        <v>الثلاثاء</v>
      </c>
      <c r="D213" s="462">
        <v>0.4354166666666667</v>
      </c>
      <c r="E213" s="462">
        <v>0.75</v>
      </c>
      <c r="F213" s="463">
        <v>700000.0</v>
      </c>
      <c r="G213" s="464">
        <f t="shared" si="17"/>
        <v>2978.723404</v>
      </c>
      <c r="H213" s="464">
        <f t="shared" si="7"/>
        <v>7.55</v>
      </c>
      <c r="I213" s="464">
        <f t="shared" si="3"/>
        <v>0</v>
      </c>
      <c r="J213" s="464">
        <f t="shared" si="4"/>
        <v>0</v>
      </c>
      <c r="K213" s="465">
        <f t="shared" si="5"/>
        <v>22489.3617</v>
      </c>
      <c r="L213" s="466"/>
      <c r="M213" s="466"/>
      <c r="N213" s="465">
        <f t="shared" si="18"/>
        <v>4319.148936</v>
      </c>
      <c r="O213" s="465">
        <f t="shared" si="6"/>
        <v>18170.21277</v>
      </c>
      <c r="P213" s="467"/>
    </row>
    <row r="214" ht="26.25" customHeight="1">
      <c r="A214" s="459">
        <v>45910.0</v>
      </c>
      <c r="B214" s="460" t="s">
        <v>31</v>
      </c>
      <c r="C214" s="461" t="str">
        <f t="shared" si="1"/>
        <v>الأربعاء</v>
      </c>
      <c r="D214" s="462">
        <v>0.375</v>
      </c>
      <c r="E214" s="462">
        <v>0.75</v>
      </c>
      <c r="F214" s="463">
        <v>700000.0</v>
      </c>
      <c r="G214" s="464">
        <f t="shared" si="17"/>
        <v>2978.723404</v>
      </c>
      <c r="H214" s="464">
        <f t="shared" si="7"/>
        <v>9</v>
      </c>
      <c r="I214" s="464">
        <f t="shared" si="3"/>
        <v>0</v>
      </c>
      <c r="J214" s="464">
        <f t="shared" si="4"/>
        <v>0</v>
      </c>
      <c r="K214" s="465">
        <f t="shared" si="5"/>
        <v>26808.51064</v>
      </c>
      <c r="L214" s="466"/>
      <c r="M214" s="466"/>
      <c r="N214" s="465">
        <f t="shared" si="18"/>
        <v>0</v>
      </c>
      <c r="O214" s="465">
        <f t="shared" si="6"/>
        <v>26808.51064</v>
      </c>
      <c r="P214" s="467"/>
    </row>
    <row r="215" ht="26.25" customHeight="1">
      <c r="A215" s="459">
        <v>45911.0</v>
      </c>
      <c r="B215" s="460" t="s">
        <v>31</v>
      </c>
      <c r="C215" s="461" t="str">
        <f t="shared" si="1"/>
        <v>الخميس</v>
      </c>
      <c r="D215" s="462">
        <v>0.375</v>
      </c>
      <c r="E215" s="462">
        <v>0.75</v>
      </c>
      <c r="F215" s="463">
        <v>700000.0</v>
      </c>
      <c r="G215" s="464">
        <f t="shared" si="17"/>
        <v>2978.723404</v>
      </c>
      <c r="H215" s="464">
        <f t="shared" si="7"/>
        <v>9</v>
      </c>
      <c r="I215" s="464">
        <f t="shared" si="3"/>
        <v>0</v>
      </c>
      <c r="J215" s="464">
        <f t="shared" si="4"/>
        <v>0</v>
      </c>
      <c r="K215" s="465">
        <f t="shared" si="5"/>
        <v>26808.51064</v>
      </c>
      <c r="L215" s="466"/>
      <c r="M215" s="466"/>
      <c r="N215" s="465">
        <f t="shared" si="18"/>
        <v>0</v>
      </c>
      <c r="O215" s="465">
        <f t="shared" si="6"/>
        <v>26808.51064</v>
      </c>
      <c r="P215" s="467"/>
    </row>
    <row r="216" ht="26.25" customHeight="1">
      <c r="A216" s="459">
        <v>45912.0</v>
      </c>
      <c r="B216" s="460" t="s">
        <v>31</v>
      </c>
      <c r="C216" s="461" t="str">
        <f t="shared" si="1"/>
        <v>الجمعة</v>
      </c>
      <c r="D216" s="462">
        <v>0.375</v>
      </c>
      <c r="E216" s="462">
        <v>0.75</v>
      </c>
      <c r="F216" s="463">
        <v>700000.0</v>
      </c>
      <c r="G216" s="464">
        <f t="shared" si="17"/>
        <v>2978.723404</v>
      </c>
      <c r="H216" s="464">
        <f t="shared" si="7"/>
        <v>0</v>
      </c>
      <c r="I216" s="464">
        <f t="shared" si="3"/>
        <v>0</v>
      </c>
      <c r="J216" s="464">
        <f t="shared" si="4"/>
        <v>9</v>
      </c>
      <c r="K216" s="465">
        <f t="shared" si="5"/>
        <v>53617.02128</v>
      </c>
      <c r="L216" s="466"/>
      <c r="M216" s="466"/>
      <c r="N216" s="465">
        <f t="shared" si="18"/>
        <v>0</v>
      </c>
      <c r="O216" s="465">
        <f t="shared" si="6"/>
        <v>53617.02128</v>
      </c>
      <c r="P216" s="467"/>
    </row>
    <row r="217" ht="26.25" customHeight="1">
      <c r="A217" s="459">
        <v>45914.0</v>
      </c>
      <c r="B217" s="460" t="s">
        <v>31</v>
      </c>
      <c r="C217" s="461" t="str">
        <f t="shared" si="1"/>
        <v>الأحد</v>
      </c>
      <c r="D217" s="462">
        <v>0.3263888888888889</v>
      </c>
      <c r="E217" s="462">
        <v>0.75</v>
      </c>
      <c r="F217" s="463">
        <v>700000.0</v>
      </c>
      <c r="G217" s="464">
        <f t="shared" si="17"/>
        <v>2978.723404</v>
      </c>
      <c r="H217" s="464">
        <f t="shared" si="7"/>
        <v>10.16666667</v>
      </c>
      <c r="I217" s="464">
        <f t="shared" si="3"/>
        <v>0</v>
      </c>
      <c r="J217" s="464">
        <f t="shared" si="4"/>
        <v>0</v>
      </c>
      <c r="K217" s="465">
        <f t="shared" si="5"/>
        <v>30283.68794</v>
      </c>
      <c r="L217" s="466"/>
      <c r="M217" s="466"/>
      <c r="N217" s="465">
        <f t="shared" si="18"/>
        <v>0</v>
      </c>
      <c r="O217" s="465">
        <f t="shared" si="6"/>
        <v>30283.68794</v>
      </c>
      <c r="P217" s="468" t="s">
        <v>2485</v>
      </c>
    </row>
    <row r="218" ht="26.25" customHeight="1">
      <c r="A218" s="459">
        <v>45915.0</v>
      </c>
      <c r="B218" s="460" t="s">
        <v>31</v>
      </c>
      <c r="C218" s="461" t="str">
        <f t="shared" si="1"/>
        <v>الاثنين</v>
      </c>
      <c r="D218" s="462">
        <v>0.3416666666666667</v>
      </c>
      <c r="E218" s="462">
        <v>0.7583333333333333</v>
      </c>
      <c r="F218" s="463">
        <v>700000.0</v>
      </c>
      <c r="G218" s="464">
        <f t="shared" si="17"/>
        <v>2978.723404</v>
      </c>
      <c r="H218" s="464">
        <f t="shared" si="7"/>
        <v>9.8</v>
      </c>
      <c r="I218" s="464">
        <f t="shared" si="3"/>
        <v>0.2</v>
      </c>
      <c r="J218" s="464">
        <f t="shared" si="4"/>
        <v>0</v>
      </c>
      <c r="K218" s="465">
        <f t="shared" si="5"/>
        <v>30085.10638</v>
      </c>
      <c r="L218" s="466"/>
      <c r="M218" s="466"/>
      <c r="N218" s="465">
        <f t="shared" si="18"/>
        <v>0</v>
      </c>
      <c r="O218" s="465">
        <f t="shared" si="6"/>
        <v>30085.10638</v>
      </c>
      <c r="P218" s="467"/>
    </row>
    <row r="219" ht="26.25" customHeight="1">
      <c r="A219" s="459">
        <v>45916.0</v>
      </c>
      <c r="B219" s="460" t="s">
        <v>31</v>
      </c>
      <c r="C219" s="461" t="str">
        <f t="shared" si="1"/>
        <v>الثلاثاء</v>
      </c>
      <c r="D219" s="462">
        <v>0.3416666666666667</v>
      </c>
      <c r="E219" s="462">
        <v>0.7166666666666667</v>
      </c>
      <c r="F219" s="463">
        <v>700000.0</v>
      </c>
      <c r="G219" s="464">
        <f t="shared" si="17"/>
        <v>2978.723404</v>
      </c>
      <c r="H219" s="464">
        <f t="shared" si="7"/>
        <v>9</v>
      </c>
      <c r="I219" s="464">
        <f t="shared" si="3"/>
        <v>0</v>
      </c>
      <c r="J219" s="464">
        <f t="shared" si="4"/>
        <v>0</v>
      </c>
      <c r="K219" s="465">
        <f t="shared" si="5"/>
        <v>26808.51064</v>
      </c>
      <c r="L219" s="466"/>
      <c r="M219" s="466"/>
      <c r="N219" s="465">
        <f t="shared" si="18"/>
        <v>0</v>
      </c>
      <c r="O219" s="465">
        <f t="shared" si="6"/>
        <v>26808.51064</v>
      </c>
      <c r="P219" s="467"/>
    </row>
    <row r="220" ht="26.25" customHeight="1">
      <c r="A220" s="459">
        <v>45917.0</v>
      </c>
      <c r="B220" s="472" t="s">
        <v>31</v>
      </c>
      <c r="C220" s="461" t="str">
        <f t="shared" si="1"/>
        <v>الأربعاء</v>
      </c>
      <c r="D220" s="462">
        <v>0.34444444444444444</v>
      </c>
      <c r="E220" s="462">
        <v>0.75</v>
      </c>
      <c r="F220" s="463">
        <v>700000.0</v>
      </c>
      <c r="G220" s="464">
        <f t="shared" si="17"/>
        <v>2978.723404</v>
      </c>
      <c r="H220" s="464">
        <f t="shared" si="7"/>
        <v>9.733333333</v>
      </c>
      <c r="I220" s="464">
        <f t="shared" si="3"/>
        <v>0</v>
      </c>
      <c r="J220" s="464">
        <f t="shared" si="4"/>
        <v>0</v>
      </c>
      <c r="K220" s="465">
        <f t="shared" si="5"/>
        <v>28992.9078</v>
      </c>
      <c r="L220" s="466"/>
      <c r="M220" s="466"/>
      <c r="N220" s="465">
        <f t="shared" si="18"/>
        <v>0</v>
      </c>
      <c r="O220" s="465">
        <f t="shared" si="6"/>
        <v>28992.9078</v>
      </c>
      <c r="P220" s="467"/>
    </row>
    <row r="221" ht="26.25" customHeight="1">
      <c r="A221" s="459">
        <v>45918.0</v>
      </c>
      <c r="B221" s="472" t="s">
        <v>31</v>
      </c>
      <c r="C221" s="461" t="str">
        <f t="shared" si="1"/>
        <v>الخميس</v>
      </c>
      <c r="D221" s="462">
        <v>0.44305555555555554</v>
      </c>
      <c r="E221" s="462">
        <v>0.75</v>
      </c>
      <c r="F221" s="463">
        <v>700000.0</v>
      </c>
      <c r="G221" s="464">
        <f t="shared" si="17"/>
        <v>2978.723404</v>
      </c>
      <c r="H221" s="464">
        <f t="shared" si="7"/>
        <v>7.366666667</v>
      </c>
      <c r="I221" s="464">
        <f t="shared" si="3"/>
        <v>0</v>
      </c>
      <c r="J221" s="464">
        <f t="shared" si="4"/>
        <v>0</v>
      </c>
      <c r="K221" s="465">
        <f t="shared" si="5"/>
        <v>21943.26241</v>
      </c>
      <c r="L221" s="466"/>
      <c r="M221" s="466"/>
      <c r="N221" s="465">
        <f t="shared" si="18"/>
        <v>4865.248227</v>
      </c>
      <c r="O221" s="465">
        <f t="shared" si="6"/>
        <v>17078.01418</v>
      </c>
      <c r="P221" s="467"/>
    </row>
    <row r="222" ht="26.25" customHeight="1">
      <c r="A222" s="459">
        <v>45919.0</v>
      </c>
      <c r="B222" s="472" t="s">
        <v>31</v>
      </c>
      <c r="C222" s="461" t="str">
        <f t="shared" si="1"/>
        <v>الجمعة</v>
      </c>
      <c r="D222" s="462">
        <v>0.48194444444444445</v>
      </c>
      <c r="E222" s="462">
        <v>0.75</v>
      </c>
      <c r="F222" s="463">
        <v>700000.0</v>
      </c>
      <c r="G222" s="464">
        <f t="shared" si="17"/>
        <v>2978.723404</v>
      </c>
      <c r="H222" s="464">
        <f t="shared" si="7"/>
        <v>0</v>
      </c>
      <c r="I222" s="464">
        <f t="shared" si="3"/>
        <v>0</v>
      </c>
      <c r="J222" s="464">
        <f t="shared" si="4"/>
        <v>6.433333333</v>
      </c>
      <c r="K222" s="465">
        <f t="shared" si="5"/>
        <v>38326.24113</v>
      </c>
      <c r="L222" s="466"/>
      <c r="M222" s="466"/>
      <c r="N222" s="465">
        <f t="shared" si="18"/>
        <v>0</v>
      </c>
      <c r="O222" s="465">
        <f t="shared" si="6"/>
        <v>38326.24113</v>
      </c>
      <c r="P222" s="467"/>
    </row>
    <row r="223" ht="26.25" customHeight="1">
      <c r="A223" s="459">
        <v>45920.0</v>
      </c>
      <c r="B223" s="472" t="s">
        <v>31</v>
      </c>
      <c r="C223" s="461" t="str">
        <f t="shared" si="1"/>
        <v>السبت</v>
      </c>
      <c r="D223" s="462">
        <v>0.2902777777777778</v>
      </c>
      <c r="E223" s="462">
        <v>0.75</v>
      </c>
      <c r="F223" s="463">
        <v>700000.0</v>
      </c>
      <c r="G223" s="464">
        <f t="shared" si="17"/>
        <v>2978.723404</v>
      </c>
      <c r="H223" s="464">
        <f t="shared" si="7"/>
        <v>11.03333333</v>
      </c>
      <c r="I223" s="464">
        <f t="shared" si="3"/>
        <v>0</v>
      </c>
      <c r="J223" s="464">
        <f t="shared" si="4"/>
        <v>0</v>
      </c>
      <c r="K223" s="465">
        <f t="shared" si="5"/>
        <v>32865.24823</v>
      </c>
      <c r="L223" s="466"/>
      <c r="M223" s="466"/>
      <c r="N223" s="465">
        <f t="shared" si="18"/>
        <v>0</v>
      </c>
      <c r="O223" s="465">
        <f t="shared" si="6"/>
        <v>32865.24823</v>
      </c>
      <c r="P223" s="467"/>
    </row>
    <row r="224" ht="26.25" customHeight="1">
      <c r="A224" s="459">
        <v>45921.0</v>
      </c>
      <c r="B224" s="472" t="s">
        <v>31</v>
      </c>
      <c r="C224" s="461" t="str">
        <f t="shared" si="1"/>
        <v>الأحد</v>
      </c>
      <c r="D224" s="462">
        <v>0.4166666666666667</v>
      </c>
      <c r="E224" s="462">
        <v>0.5</v>
      </c>
      <c r="F224" s="463">
        <v>700000.0</v>
      </c>
      <c r="G224" s="464">
        <f t="shared" si="17"/>
        <v>2978.723404</v>
      </c>
      <c r="H224" s="464">
        <f t="shared" si="7"/>
        <v>2</v>
      </c>
      <c r="I224" s="464">
        <f t="shared" si="3"/>
        <v>0</v>
      </c>
      <c r="J224" s="464">
        <f t="shared" si="4"/>
        <v>0</v>
      </c>
      <c r="K224" s="465">
        <f t="shared" si="5"/>
        <v>5957.446809</v>
      </c>
      <c r="L224" s="466"/>
      <c r="M224" s="466"/>
      <c r="N224" s="465">
        <f t="shared" si="18"/>
        <v>2978.723404</v>
      </c>
      <c r="O224" s="465">
        <f t="shared" si="6"/>
        <v>2978.723404</v>
      </c>
      <c r="P224" s="467"/>
    </row>
    <row r="225" ht="26.25" customHeight="1">
      <c r="A225" s="459">
        <v>45929.0</v>
      </c>
      <c r="B225" s="472" t="s">
        <v>31</v>
      </c>
      <c r="C225" s="461" t="str">
        <f t="shared" si="1"/>
        <v>الاثنين</v>
      </c>
      <c r="D225" s="462">
        <v>0.3770833333333333</v>
      </c>
      <c r="E225" s="462">
        <v>0.6666666666666666</v>
      </c>
      <c r="F225" s="463">
        <v>700000.0</v>
      </c>
      <c r="G225" s="464">
        <f t="shared" si="17"/>
        <v>2978.723404</v>
      </c>
      <c r="H225" s="464">
        <f t="shared" si="7"/>
        <v>6.95</v>
      </c>
      <c r="I225" s="464">
        <f t="shared" si="3"/>
        <v>0</v>
      </c>
      <c r="J225" s="464">
        <f t="shared" si="4"/>
        <v>0</v>
      </c>
      <c r="K225" s="465">
        <f t="shared" si="5"/>
        <v>20702.12766</v>
      </c>
      <c r="L225" s="466"/>
      <c r="M225" s="466"/>
      <c r="N225" s="465">
        <f t="shared" si="18"/>
        <v>148.9361702</v>
      </c>
      <c r="O225" s="465">
        <f t="shared" si="6"/>
        <v>20553.19149</v>
      </c>
      <c r="P225" s="467"/>
    </row>
    <row r="226" ht="26.25" customHeight="1">
      <c r="A226" s="459">
        <v>45930.0</v>
      </c>
      <c r="B226" s="472" t="s">
        <v>31</v>
      </c>
      <c r="C226" s="461" t="str">
        <f t="shared" si="1"/>
        <v>الثلاثاء</v>
      </c>
      <c r="D226" s="462">
        <v>0.3798611111111111</v>
      </c>
      <c r="E226" s="462">
        <v>0.7020833333333333</v>
      </c>
      <c r="F226" s="463">
        <v>700000.0</v>
      </c>
      <c r="G226" s="464">
        <f t="shared" si="17"/>
        <v>2978.723404</v>
      </c>
      <c r="H226" s="464">
        <f t="shared" si="7"/>
        <v>7.733333333</v>
      </c>
      <c r="I226" s="464">
        <f t="shared" si="3"/>
        <v>0</v>
      </c>
      <c r="J226" s="464">
        <f t="shared" si="4"/>
        <v>0</v>
      </c>
      <c r="K226" s="465">
        <f t="shared" si="5"/>
        <v>23035.46099</v>
      </c>
      <c r="L226" s="466"/>
      <c r="M226" s="466"/>
      <c r="N226" s="465">
        <f t="shared" si="18"/>
        <v>347.5177305</v>
      </c>
      <c r="O226" s="465">
        <f t="shared" si="6"/>
        <v>22687.94326</v>
      </c>
      <c r="P226" s="467"/>
    </row>
    <row r="227" ht="26.25" customHeight="1">
      <c r="A227" s="459">
        <v>45901.0</v>
      </c>
      <c r="B227" s="472" t="s">
        <v>2207</v>
      </c>
      <c r="C227" s="461" t="str">
        <f t="shared" si="1"/>
        <v>الاثنين</v>
      </c>
      <c r="D227" s="462">
        <v>0.38055555555555554</v>
      </c>
      <c r="E227" s="462">
        <v>0.75</v>
      </c>
      <c r="F227" s="463">
        <v>300000.0</v>
      </c>
      <c r="G227" s="464">
        <f t="shared" si="17"/>
        <v>1276.595745</v>
      </c>
      <c r="H227" s="464">
        <f t="shared" si="7"/>
        <v>8.866666667</v>
      </c>
      <c r="I227" s="464">
        <f t="shared" si="3"/>
        <v>0</v>
      </c>
      <c r="J227" s="464">
        <f t="shared" si="4"/>
        <v>0</v>
      </c>
      <c r="K227" s="465">
        <f t="shared" si="5"/>
        <v>11319.14894</v>
      </c>
      <c r="L227" s="466"/>
      <c r="M227" s="466"/>
      <c r="N227" s="465">
        <f t="shared" si="18"/>
        <v>170.212766</v>
      </c>
      <c r="O227" s="465">
        <f t="shared" si="6"/>
        <v>11148.93617</v>
      </c>
      <c r="P227" s="467"/>
    </row>
    <row r="228" ht="26.25" customHeight="1">
      <c r="A228" s="459">
        <v>45902.0</v>
      </c>
      <c r="B228" s="472" t="s">
        <v>2207</v>
      </c>
      <c r="C228" s="461" t="str">
        <f t="shared" si="1"/>
        <v>الثلاثاء</v>
      </c>
      <c r="D228" s="462">
        <v>0.375</v>
      </c>
      <c r="E228" s="462">
        <v>0.8083333333333333</v>
      </c>
      <c r="F228" s="463">
        <v>300000.0</v>
      </c>
      <c r="G228" s="464">
        <f t="shared" si="17"/>
        <v>1276.595745</v>
      </c>
      <c r="H228" s="464">
        <f t="shared" si="7"/>
        <v>9</v>
      </c>
      <c r="I228" s="464">
        <f t="shared" si="3"/>
        <v>1.4</v>
      </c>
      <c r="J228" s="464">
        <f t="shared" si="4"/>
        <v>0</v>
      </c>
      <c r="K228" s="465">
        <f t="shared" si="5"/>
        <v>14170.21277</v>
      </c>
      <c r="L228" s="466"/>
      <c r="M228" s="466"/>
      <c r="N228" s="465">
        <f t="shared" si="18"/>
        <v>0</v>
      </c>
      <c r="O228" s="465">
        <f t="shared" si="6"/>
        <v>14170.21277</v>
      </c>
      <c r="P228" s="467"/>
    </row>
    <row r="229" ht="26.25" customHeight="1">
      <c r="A229" s="459">
        <v>45903.0</v>
      </c>
      <c r="B229" s="472" t="s">
        <v>2207</v>
      </c>
      <c r="C229" s="461" t="str">
        <f t="shared" si="1"/>
        <v>الأربعاء</v>
      </c>
      <c r="D229" s="462">
        <v>0.3923611111111111</v>
      </c>
      <c r="E229" s="462">
        <v>0.75</v>
      </c>
      <c r="F229" s="463">
        <v>300000.0</v>
      </c>
      <c r="G229" s="464">
        <f t="shared" si="17"/>
        <v>1276.595745</v>
      </c>
      <c r="H229" s="464">
        <f t="shared" si="7"/>
        <v>8.583333333</v>
      </c>
      <c r="I229" s="464">
        <f t="shared" si="3"/>
        <v>0</v>
      </c>
      <c r="J229" s="464">
        <f t="shared" si="4"/>
        <v>0</v>
      </c>
      <c r="K229" s="465">
        <f t="shared" si="5"/>
        <v>10957.44681</v>
      </c>
      <c r="L229" s="466"/>
      <c r="M229" s="466"/>
      <c r="N229" s="465">
        <f t="shared" si="18"/>
        <v>531.9148936</v>
      </c>
      <c r="O229" s="465">
        <f t="shared" si="6"/>
        <v>10425.53191</v>
      </c>
      <c r="P229" s="467"/>
    </row>
    <row r="230" ht="26.25" customHeight="1">
      <c r="A230" s="459">
        <v>45904.0</v>
      </c>
      <c r="B230" s="472" t="s">
        <v>2207</v>
      </c>
      <c r="C230" s="461" t="str">
        <f t="shared" si="1"/>
        <v>الخميس</v>
      </c>
      <c r="D230" s="462">
        <v>0.3958333333333333</v>
      </c>
      <c r="E230" s="462">
        <v>0.7736111111111111</v>
      </c>
      <c r="F230" s="463">
        <v>300000.0</v>
      </c>
      <c r="G230" s="464">
        <f t="shared" si="17"/>
        <v>1276.595745</v>
      </c>
      <c r="H230" s="464">
        <f t="shared" si="7"/>
        <v>8.5</v>
      </c>
      <c r="I230" s="464">
        <f t="shared" si="3"/>
        <v>0.5666666667</v>
      </c>
      <c r="J230" s="464">
        <f t="shared" si="4"/>
        <v>0</v>
      </c>
      <c r="K230" s="465">
        <f t="shared" si="5"/>
        <v>11936.17021</v>
      </c>
      <c r="L230" s="466"/>
      <c r="M230" s="466"/>
      <c r="N230" s="465">
        <f t="shared" si="18"/>
        <v>638.2978723</v>
      </c>
      <c r="O230" s="465">
        <f t="shared" si="6"/>
        <v>11297.87234</v>
      </c>
      <c r="P230" s="467"/>
    </row>
    <row r="231" ht="26.25" customHeight="1">
      <c r="A231" s="459">
        <v>45915.0</v>
      </c>
      <c r="B231" s="472" t="s">
        <v>2207</v>
      </c>
      <c r="C231" s="461" t="str">
        <f t="shared" si="1"/>
        <v>الاثنين</v>
      </c>
      <c r="D231" s="462">
        <v>0.3819444444444444</v>
      </c>
      <c r="E231" s="462">
        <v>0.9722222222222222</v>
      </c>
      <c r="F231" s="463">
        <v>300000.0</v>
      </c>
      <c r="G231" s="464">
        <f t="shared" si="17"/>
        <v>1276.595745</v>
      </c>
      <c r="H231" s="464">
        <f t="shared" si="7"/>
        <v>8.833333333</v>
      </c>
      <c r="I231" s="464">
        <f t="shared" si="3"/>
        <v>5.333333333</v>
      </c>
      <c r="J231" s="464">
        <f t="shared" si="4"/>
        <v>0</v>
      </c>
      <c r="K231" s="465">
        <f t="shared" si="5"/>
        <v>21489.3617</v>
      </c>
      <c r="L231" s="466"/>
      <c r="M231" s="466"/>
      <c r="N231" s="465">
        <f t="shared" si="18"/>
        <v>212.7659574</v>
      </c>
      <c r="O231" s="465">
        <f t="shared" si="6"/>
        <v>21276.59574</v>
      </c>
      <c r="P231" s="467"/>
    </row>
    <row r="232" ht="26.25" customHeight="1">
      <c r="A232" s="459">
        <v>45916.0</v>
      </c>
      <c r="B232" s="461" t="s">
        <v>2207</v>
      </c>
      <c r="C232" s="461" t="str">
        <f t="shared" si="1"/>
        <v>الثلاثاء</v>
      </c>
      <c r="D232" s="462">
        <v>0.37430555555555556</v>
      </c>
      <c r="E232" s="462">
        <v>0.75</v>
      </c>
      <c r="F232" s="463">
        <v>300000.0</v>
      </c>
      <c r="G232" s="464">
        <f t="shared" si="17"/>
        <v>1276.595745</v>
      </c>
      <c r="H232" s="464">
        <f t="shared" si="7"/>
        <v>9.016666667</v>
      </c>
      <c r="I232" s="464">
        <f t="shared" si="3"/>
        <v>0</v>
      </c>
      <c r="J232" s="464">
        <f t="shared" si="4"/>
        <v>0</v>
      </c>
      <c r="K232" s="465">
        <f t="shared" si="5"/>
        <v>11510.6383</v>
      </c>
      <c r="L232" s="466"/>
      <c r="M232" s="466"/>
      <c r="N232" s="465">
        <f t="shared" si="18"/>
        <v>0</v>
      </c>
      <c r="O232" s="465">
        <f t="shared" si="6"/>
        <v>11510.6383</v>
      </c>
      <c r="P232" s="470"/>
    </row>
    <row r="233" ht="26.25" customHeight="1">
      <c r="A233" s="459">
        <v>45917.0</v>
      </c>
      <c r="B233" s="461" t="s">
        <v>2207</v>
      </c>
      <c r="C233" s="461" t="str">
        <f t="shared" si="1"/>
        <v>الأربعاء</v>
      </c>
      <c r="D233" s="462">
        <v>0.39375</v>
      </c>
      <c r="E233" s="462">
        <v>0.04861111111111111</v>
      </c>
      <c r="F233" s="463">
        <v>300000.0</v>
      </c>
      <c r="G233" s="464">
        <f t="shared" si="17"/>
        <v>1276.595745</v>
      </c>
      <c r="H233" s="464">
        <f t="shared" si="7"/>
        <v>0</v>
      </c>
      <c r="I233" s="464">
        <f t="shared" si="3"/>
        <v>15.71666667</v>
      </c>
      <c r="J233" s="464">
        <f t="shared" si="4"/>
        <v>0</v>
      </c>
      <c r="K233" s="465">
        <f t="shared" si="5"/>
        <v>30095.74468</v>
      </c>
      <c r="L233" s="466"/>
      <c r="M233" s="466"/>
      <c r="N233" s="465">
        <f t="shared" si="18"/>
        <v>574.4680851</v>
      </c>
      <c r="O233" s="465">
        <f t="shared" si="6"/>
        <v>29521.2766</v>
      </c>
      <c r="P233" s="467"/>
    </row>
    <row r="234" ht="26.25" customHeight="1">
      <c r="A234" s="459">
        <v>45919.0</v>
      </c>
      <c r="B234" s="461" t="s">
        <v>2207</v>
      </c>
      <c r="C234" s="461" t="str">
        <f t="shared" si="1"/>
        <v>الجمعة</v>
      </c>
      <c r="D234" s="462">
        <v>0.48125</v>
      </c>
      <c r="E234" s="462">
        <v>0.75</v>
      </c>
      <c r="F234" s="463">
        <v>300000.0</v>
      </c>
      <c r="G234" s="464">
        <f t="shared" si="17"/>
        <v>1276.595745</v>
      </c>
      <c r="H234" s="464">
        <f t="shared" si="7"/>
        <v>0</v>
      </c>
      <c r="I234" s="464">
        <f t="shared" si="3"/>
        <v>0</v>
      </c>
      <c r="J234" s="464">
        <f t="shared" si="4"/>
        <v>6.45</v>
      </c>
      <c r="K234" s="465">
        <f t="shared" si="5"/>
        <v>16468.08511</v>
      </c>
      <c r="L234" s="466"/>
      <c r="M234" s="466"/>
      <c r="N234" s="465">
        <f t="shared" si="18"/>
        <v>0</v>
      </c>
      <c r="O234" s="465">
        <f t="shared" si="6"/>
        <v>16468.08511</v>
      </c>
      <c r="P234" s="467"/>
    </row>
    <row r="235" ht="26.25" customHeight="1">
      <c r="A235" s="459">
        <v>45920.0</v>
      </c>
      <c r="B235" s="461" t="s">
        <v>2207</v>
      </c>
      <c r="C235" s="461" t="str">
        <f t="shared" si="1"/>
        <v>السبت</v>
      </c>
      <c r="D235" s="462">
        <v>0.3013888888888889</v>
      </c>
      <c r="E235" s="462">
        <v>0.8166666666666667</v>
      </c>
      <c r="F235" s="463">
        <v>300000.0</v>
      </c>
      <c r="G235" s="464">
        <f t="shared" si="17"/>
        <v>1276.595745</v>
      </c>
      <c r="H235" s="464">
        <f t="shared" si="7"/>
        <v>10.76666667</v>
      </c>
      <c r="I235" s="464">
        <f t="shared" si="3"/>
        <v>1.6</v>
      </c>
      <c r="J235" s="464">
        <f t="shared" si="4"/>
        <v>0</v>
      </c>
      <c r="K235" s="465">
        <f t="shared" si="5"/>
        <v>16808.51064</v>
      </c>
      <c r="L235" s="466"/>
      <c r="M235" s="466"/>
      <c r="N235" s="465">
        <f t="shared" si="18"/>
        <v>0</v>
      </c>
      <c r="O235" s="465">
        <f t="shared" si="6"/>
        <v>16808.51064</v>
      </c>
      <c r="P235" s="467"/>
    </row>
    <row r="236" ht="26.25" customHeight="1">
      <c r="A236" s="459">
        <v>45925.0</v>
      </c>
      <c r="B236" s="461" t="s">
        <v>2207</v>
      </c>
      <c r="C236" s="461" t="str">
        <f t="shared" si="1"/>
        <v>الخميس</v>
      </c>
      <c r="D236" s="462">
        <v>0.3958333333333333</v>
      </c>
      <c r="E236" s="462">
        <v>0.016666666666666666</v>
      </c>
      <c r="F236" s="463">
        <v>300000.0</v>
      </c>
      <c r="G236" s="464">
        <f t="shared" si="17"/>
        <v>1276.595745</v>
      </c>
      <c r="H236" s="464">
        <f t="shared" si="7"/>
        <v>0</v>
      </c>
      <c r="I236" s="464">
        <f t="shared" si="3"/>
        <v>14.9</v>
      </c>
      <c r="J236" s="464">
        <f t="shared" si="4"/>
        <v>0</v>
      </c>
      <c r="K236" s="465">
        <f t="shared" si="5"/>
        <v>28531.91489</v>
      </c>
      <c r="L236" s="466"/>
      <c r="M236" s="466"/>
      <c r="N236" s="465">
        <f t="shared" si="18"/>
        <v>638.2978723</v>
      </c>
      <c r="O236" s="465">
        <f t="shared" si="6"/>
        <v>27893.61702</v>
      </c>
      <c r="P236" s="467"/>
    </row>
    <row r="237" ht="26.25" customHeight="1">
      <c r="A237" s="459">
        <v>45927.0</v>
      </c>
      <c r="B237" s="461" t="s">
        <v>2207</v>
      </c>
      <c r="C237" s="461" t="str">
        <f t="shared" si="1"/>
        <v>السبت</v>
      </c>
      <c r="D237" s="462">
        <v>0.44583333333333336</v>
      </c>
      <c r="E237" s="462">
        <v>0.8875</v>
      </c>
      <c r="F237" s="463">
        <v>300000.0</v>
      </c>
      <c r="G237" s="464">
        <f t="shared" si="17"/>
        <v>1276.595745</v>
      </c>
      <c r="H237" s="464">
        <f t="shared" si="7"/>
        <v>7.3</v>
      </c>
      <c r="I237" s="464">
        <f t="shared" si="3"/>
        <v>3.3</v>
      </c>
      <c r="J237" s="464">
        <f t="shared" si="4"/>
        <v>0</v>
      </c>
      <c r="K237" s="465">
        <f t="shared" si="5"/>
        <v>15638.29787</v>
      </c>
      <c r="L237" s="466"/>
      <c r="M237" s="466"/>
      <c r="N237" s="465">
        <f t="shared" si="18"/>
        <v>2170.212766</v>
      </c>
      <c r="O237" s="465">
        <f t="shared" si="6"/>
        <v>13468.08511</v>
      </c>
      <c r="P237" s="467"/>
    </row>
    <row r="238" ht="26.25" customHeight="1">
      <c r="A238" s="459">
        <v>45928.0</v>
      </c>
      <c r="B238" s="461" t="s">
        <v>2207</v>
      </c>
      <c r="C238" s="461" t="str">
        <f t="shared" si="1"/>
        <v>الأحد</v>
      </c>
      <c r="D238" s="462">
        <v>0.5659722222222222</v>
      </c>
      <c r="E238" s="462">
        <v>0.8131944444444444</v>
      </c>
      <c r="F238" s="463">
        <v>300000.0</v>
      </c>
      <c r="G238" s="464">
        <f t="shared" si="17"/>
        <v>1276.595745</v>
      </c>
      <c r="H238" s="464">
        <f t="shared" si="7"/>
        <v>4.416666667</v>
      </c>
      <c r="I238" s="464">
        <f t="shared" si="3"/>
        <v>1.516666667</v>
      </c>
      <c r="J238" s="464">
        <f t="shared" si="4"/>
        <v>0</v>
      </c>
      <c r="K238" s="465">
        <f t="shared" si="5"/>
        <v>8542.553191</v>
      </c>
      <c r="L238" s="466"/>
      <c r="M238" s="466"/>
      <c r="N238" s="465">
        <f t="shared" si="18"/>
        <v>5851.06383</v>
      </c>
      <c r="O238" s="465">
        <f t="shared" si="6"/>
        <v>2691.489362</v>
      </c>
      <c r="P238" s="467"/>
    </row>
    <row r="239" ht="26.25" customHeight="1">
      <c r="A239" s="459">
        <v>45931.0</v>
      </c>
      <c r="B239" s="460" t="s">
        <v>26</v>
      </c>
      <c r="C239" s="461" t="str">
        <f t="shared" si="1"/>
        <v>الأربعاء</v>
      </c>
      <c r="D239" s="462">
        <v>0.3840277777777778</v>
      </c>
      <c r="E239" s="462">
        <v>0.7513888888888889</v>
      </c>
      <c r="F239" s="463">
        <v>300000.0</v>
      </c>
      <c r="G239" s="464">
        <f t="shared" ref="G239:G263" si="19">F239/182</f>
        <v>1648.351648</v>
      </c>
      <c r="H239" s="464">
        <f t="shared" si="7"/>
        <v>8.783333333</v>
      </c>
      <c r="I239" s="464">
        <f t="shared" si="3"/>
        <v>0.03333333333</v>
      </c>
      <c r="J239" s="464">
        <f t="shared" si="4"/>
        <v>0</v>
      </c>
      <c r="K239" s="465">
        <f t="shared" si="5"/>
        <v>14560.43956</v>
      </c>
      <c r="L239" s="466"/>
      <c r="M239" s="466"/>
      <c r="N239" s="465">
        <f t="shared" ref="N239:N306" si="20">IF(C239="الجمعة",0,IF(D239&gt;TIME(8,0,0),(D239-TIME(8,0,0))*24*60*(G239/60),0))</f>
        <v>2005.494505</v>
      </c>
      <c r="O239" s="465">
        <f t="shared" si="6"/>
        <v>12554.94505</v>
      </c>
      <c r="P239" s="470"/>
    </row>
    <row r="240" ht="26.25" customHeight="1">
      <c r="A240" s="459">
        <v>45932.0</v>
      </c>
      <c r="B240" s="460" t="s">
        <v>26</v>
      </c>
      <c r="C240" s="461" t="str">
        <f t="shared" si="1"/>
        <v>الخميس</v>
      </c>
      <c r="D240" s="462">
        <v>0.3506944444444444</v>
      </c>
      <c r="E240" s="462">
        <v>0.7111111111111111</v>
      </c>
      <c r="F240" s="463">
        <v>300000.0</v>
      </c>
      <c r="G240" s="464">
        <f t="shared" si="19"/>
        <v>1648.351648</v>
      </c>
      <c r="H240" s="464">
        <f t="shared" si="7"/>
        <v>8.65</v>
      </c>
      <c r="I240" s="464">
        <f t="shared" si="3"/>
        <v>0</v>
      </c>
      <c r="J240" s="464">
        <f t="shared" si="4"/>
        <v>0</v>
      </c>
      <c r="K240" s="465">
        <f t="shared" si="5"/>
        <v>14258.24176</v>
      </c>
      <c r="L240" s="466"/>
      <c r="M240" s="466"/>
      <c r="N240" s="465">
        <f t="shared" si="20"/>
        <v>686.8131868</v>
      </c>
      <c r="O240" s="465">
        <f t="shared" si="6"/>
        <v>13571.42857</v>
      </c>
      <c r="P240" s="467"/>
    </row>
    <row r="241" ht="26.25" customHeight="1">
      <c r="A241" s="459">
        <v>45934.0</v>
      </c>
      <c r="B241" s="460" t="s">
        <v>26</v>
      </c>
      <c r="C241" s="461" t="str">
        <f t="shared" si="1"/>
        <v>السبت</v>
      </c>
      <c r="D241" s="462">
        <v>0.3416666666666667</v>
      </c>
      <c r="E241" s="462">
        <v>0.6</v>
      </c>
      <c r="F241" s="463">
        <v>300000.0</v>
      </c>
      <c r="G241" s="464">
        <f t="shared" si="19"/>
        <v>1648.351648</v>
      </c>
      <c r="H241" s="464">
        <f t="shared" si="7"/>
        <v>6.2</v>
      </c>
      <c r="I241" s="464">
        <f t="shared" si="3"/>
        <v>0</v>
      </c>
      <c r="J241" s="464">
        <f t="shared" si="4"/>
        <v>0</v>
      </c>
      <c r="K241" s="465">
        <f t="shared" si="5"/>
        <v>10219.78022</v>
      </c>
      <c r="L241" s="466"/>
      <c r="M241" s="466"/>
      <c r="N241" s="465">
        <f t="shared" si="20"/>
        <v>329.6703297</v>
      </c>
      <c r="O241" s="465">
        <f t="shared" si="6"/>
        <v>9890.10989</v>
      </c>
      <c r="P241" s="467"/>
    </row>
    <row r="242" ht="26.25" customHeight="1">
      <c r="A242" s="459">
        <v>45935.0</v>
      </c>
      <c r="B242" s="460" t="s">
        <v>26</v>
      </c>
      <c r="C242" s="461" t="str">
        <f t="shared" si="1"/>
        <v>الأحد</v>
      </c>
      <c r="D242" s="462">
        <v>0.34652777777777777</v>
      </c>
      <c r="E242" s="462">
        <v>0.63125</v>
      </c>
      <c r="F242" s="463">
        <v>300000.0</v>
      </c>
      <c r="G242" s="464">
        <f t="shared" si="19"/>
        <v>1648.351648</v>
      </c>
      <c r="H242" s="464">
        <f t="shared" si="7"/>
        <v>6.833333333</v>
      </c>
      <c r="I242" s="464">
        <f t="shared" si="3"/>
        <v>0</v>
      </c>
      <c r="J242" s="464">
        <f t="shared" si="4"/>
        <v>0</v>
      </c>
      <c r="K242" s="465">
        <f t="shared" si="5"/>
        <v>11263.73626</v>
      </c>
      <c r="L242" s="466"/>
      <c r="M242" s="466"/>
      <c r="N242" s="465">
        <f t="shared" si="20"/>
        <v>521.978022</v>
      </c>
      <c r="O242" s="465">
        <f t="shared" si="6"/>
        <v>10741.75824</v>
      </c>
      <c r="P242" s="467"/>
    </row>
    <row r="243" ht="26.25" customHeight="1">
      <c r="A243" s="459">
        <v>45936.0</v>
      </c>
      <c r="B243" s="460" t="s">
        <v>26</v>
      </c>
      <c r="C243" s="461" t="str">
        <f t="shared" si="1"/>
        <v>الاثنين</v>
      </c>
      <c r="D243" s="462">
        <v>0.3472222222222222</v>
      </c>
      <c r="E243" s="462">
        <v>0.6368055555555555</v>
      </c>
      <c r="F243" s="463">
        <v>300000.0</v>
      </c>
      <c r="G243" s="464">
        <f t="shared" si="19"/>
        <v>1648.351648</v>
      </c>
      <c r="H243" s="464">
        <f t="shared" si="7"/>
        <v>6.95</v>
      </c>
      <c r="I243" s="464">
        <f t="shared" si="3"/>
        <v>0</v>
      </c>
      <c r="J243" s="464">
        <f t="shared" si="4"/>
        <v>0</v>
      </c>
      <c r="K243" s="465">
        <f t="shared" si="5"/>
        <v>11456.04396</v>
      </c>
      <c r="L243" s="466"/>
      <c r="M243" s="466"/>
      <c r="N243" s="465">
        <f t="shared" si="20"/>
        <v>549.4505495</v>
      </c>
      <c r="O243" s="465">
        <f t="shared" si="6"/>
        <v>10906.59341</v>
      </c>
      <c r="P243" s="470"/>
    </row>
    <row r="244" ht="26.25" customHeight="1">
      <c r="A244" s="459">
        <v>45938.0</v>
      </c>
      <c r="B244" s="460" t="s">
        <v>26</v>
      </c>
      <c r="C244" s="461" t="str">
        <f t="shared" si="1"/>
        <v>الأربعاء</v>
      </c>
      <c r="D244" s="462">
        <v>0.3368055555555556</v>
      </c>
      <c r="E244" s="462">
        <v>0.6375</v>
      </c>
      <c r="F244" s="463">
        <v>300000.0</v>
      </c>
      <c r="G244" s="464">
        <f t="shared" si="19"/>
        <v>1648.351648</v>
      </c>
      <c r="H244" s="464">
        <f t="shared" si="7"/>
        <v>7.216666667</v>
      </c>
      <c r="I244" s="464">
        <f t="shared" si="3"/>
        <v>0</v>
      </c>
      <c r="J244" s="464">
        <f t="shared" si="4"/>
        <v>0</v>
      </c>
      <c r="K244" s="465">
        <f t="shared" si="5"/>
        <v>11895.6044</v>
      </c>
      <c r="L244" s="466"/>
      <c r="M244" s="466"/>
      <c r="N244" s="465">
        <f t="shared" si="20"/>
        <v>137.3626374</v>
      </c>
      <c r="O244" s="465">
        <f t="shared" si="6"/>
        <v>11758.24176</v>
      </c>
      <c r="P244" s="467"/>
    </row>
    <row r="245" ht="26.25" customHeight="1">
      <c r="A245" s="459">
        <v>45939.0</v>
      </c>
      <c r="B245" s="460" t="s">
        <v>26</v>
      </c>
      <c r="C245" s="461" t="str">
        <f t="shared" si="1"/>
        <v>الخميس</v>
      </c>
      <c r="D245" s="462">
        <v>0.3326388888888889</v>
      </c>
      <c r="E245" s="462">
        <v>0.6326388888888889</v>
      </c>
      <c r="F245" s="463">
        <v>300000.0</v>
      </c>
      <c r="G245" s="464">
        <f t="shared" si="19"/>
        <v>1648.351648</v>
      </c>
      <c r="H245" s="464">
        <f t="shared" si="7"/>
        <v>7.2</v>
      </c>
      <c r="I245" s="464">
        <f t="shared" si="3"/>
        <v>0</v>
      </c>
      <c r="J245" s="464">
        <f t="shared" si="4"/>
        <v>0</v>
      </c>
      <c r="K245" s="465">
        <f t="shared" si="5"/>
        <v>11868.13187</v>
      </c>
      <c r="L245" s="466"/>
      <c r="M245" s="466"/>
      <c r="N245" s="465">
        <f t="shared" si="20"/>
        <v>0</v>
      </c>
      <c r="O245" s="465">
        <f t="shared" si="6"/>
        <v>11868.13187</v>
      </c>
      <c r="P245" s="467"/>
    </row>
    <row r="246" ht="26.25" customHeight="1">
      <c r="A246" s="459">
        <v>45941.0</v>
      </c>
      <c r="B246" s="460" t="s">
        <v>26</v>
      </c>
      <c r="C246" s="461" t="str">
        <f t="shared" si="1"/>
        <v>السبت</v>
      </c>
      <c r="D246" s="462">
        <v>0.33125</v>
      </c>
      <c r="E246" s="462">
        <v>0.6243055555555556</v>
      </c>
      <c r="F246" s="463">
        <v>300000.0</v>
      </c>
      <c r="G246" s="464">
        <f t="shared" si="19"/>
        <v>1648.351648</v>
      </c>
      <c r="H246" s="464">
        <f t="shared" si="7"/>
        <v>7.033333333</v>
      </c>
      <c r="I246" s="464">
        <f t="shared" si="3"/>
        <v>0</v>
      </c>
      <c r="J246" s="464">
        <f t="shared" si="4"/>
        <v>0</v>
      </c>
      <c r="K246" s="465">
        <f t="shared" si="5"/>
        <v>11593.40659</v>
      </c>
      <c r="L246" s="466"/>
      <c r="M246" s="466"/>
      <c r="N246" s="465">
        <f t="shared" si="20"/>
        <v>0</v>
      </c>
      <c r="O246" s="465">
        <f t="shared" si="6"/>
        <v>11593.40659</v>
      </c>
      <c r="P246" s="467"/>
    </row>
    <row r="247" ht="26.25" customHeight="1">
      <c r="A247" s="459">
        <v>45942.0</v>
      </c>
      <c r="B247" s="460" t="s">
        <v>26</v>
      </c>
      <c r="C247" s="461" t="str">
        <f t="shared" si="1"/>
        <v>الأحد</v>
      </c>
      <c r="D247" s="462">
        <v>0.3451388888888889</v>
      </c>
      <c r="E247" s="462">
        <v>0.6277777777777778</v>
      </c>
      <c r="F247" s="463">
        <v>300000.0</v>
      </c>
      <c r="G247" s="464">
        <f t="shared" si="19"/>
        <v>1648.351648</v>
      </c>
      <c r="H247" s="464">
        <f t="shared" si="7"/>
        <v>6.783333333</v>
      </c>
      <c r="I247" s="464">
        <f t="shared" si="3"/>
        <v>0</v>
      </c>
      <c r="J247" s="464">
        <f t="shared" si="4"/>
        <v>0</v>
      </c>
      <c r="K247" s="465">
        <f t="shared" si="5"/>
        <v>11181.31868</v>
      </c>
      <c r="L247" s="466"/>
      <c r="M247" s="466"/>
      <c r="N247" s="465">
        <f t="shared" si="20"/>
        <v>467.032967</v>
      </c>
      <c r="O247" s="465">
        <f t="shared" si="6"/>
        <v>10714.28571</v>
      </c>
      <c r="P247" s="467"/>
    </row>
    <row r="248" ht="26.25" customHeight="1">
      <c r="A248" s="459">
        <v>45943.0</v>
      </c>
      <c r="B248" s="460" t="s">
        <v>26</v>
      </c>
      <c r="C248" s="461" t="str">
        <f t="shared" si="1"/>
        <v>الاثنين</v>
      </c>
      <c r="D248" s="462">
        <v>0.34375</v>
      </c>
      <c r="E248" s="462">
        <v>0.6291666666666667</v>
      </c>
      <c r="F248" s="463">
        <v>300000.0</v>
      </c>
      <c r="G248" s="464">
        <f t="shared" si="19"/>
        <v>1648.351648</v>
      </c>
      <c r="H248" s="464">
        <f t="shared" si="7"/>
        <v>6.85</v>
      </c>
      <c r="I248" s="464">
        <f t="shared" si="3"/>
        <v>0</v>
      </c>
      <c r="J248" s="464">
        <f t="shared" si="4"/>
        <v>0</v>
      </c>
      <c r="K248" s="465">
        <f t="shared" si="5"/>
        <v>11291.20879</v>
      </c>
      <c r="L248" s="466"/>
      <c r="M248" s="466"/>
      <c r="N248" s="465">
        <f t="shared" si="20"/>
        <v>412.0879121</v>
      </c>
      <c r="O248" s="465">
        <f t="shared" si="6"/>
        <v>10879.12088</v>
      </c>
      <c r="P248" s="467"/>
    </row>
    <row r="249" ht="26.25" customHeight="1">
      <c r="A249" s="459">
        <v>45944.0</v>
      </c>
      <c r="B249" s="460" t="s">
        <v>26</v>
      </c>
      <c r="C249" s="461" t="str">
        <f t="shared" si="1"/>
        <v>الثلاثاء</v>
      </c>
      <c r="D249" s="462">
        <v>0.33958333333333335</v>
      </c>
      <c r="E249" s="462">
        <v>0.6340277777777777</v>
      </c>
      <c r="F249" s="463">
        <v>300000.0</v>
      </c>
      <c r="G249" s="464">
        <f t="shared" si="19"/>
        <v>1648.351648</v>
      </c>
      <c r="H249" s="464">
        <f t="shared" si="7"/>
        <v>7.066666667</v>
      </c>
      <c r="I249" s="464">
        <f t="shared" si="3"/>
        <v>0</v>
      </c>
      <c r="J249" s="464">
        <f t="shared" si="4"/>
        <v>0</v>
      </c>
      <c r="K249" s="465">
        <f t="shared" si="5"/>
        <v>11648.35165</v>
      </c>
      <c r="L249" s="466"/>
      <c r="M249" s="466"/>
      <c r="N249" s="465">
        <f t="shared" si="20"/>
        <v>247.2527473</v>
      </c>
      <c r="O249" s="465">
        <f t="shared" si="6"/>
        <v>11401.0989</v>
      </c>
      <c r="P249" s="467"/>
    </row>
    <row r="250" ht="26.25" customHeight="1">
      <c r="A250" s="459">
        <v>45945.0</v>
      </c>
      <c r="B250" s="460" t="s">
        <v>26</v>
      </c>
      <c r="C250" s="461" t="str">
        <f t="shared" si="1"/>
        <v>الأربعاء</v>
      </c>
      <c r="D250" s="462">
        <v>0.33402777777777776</v>
      </c>
      <c r="E250" s="462">
        <v>0.6458333333333334</v>
      </c>
      <c r="F250" s="463">
        <v>300000.0</v>
      </c>
      <c r="G250" s="464">
        <f t="shared" si="19"/>
        <v>1648.351648</v>
      </c>
      <c r="H250" s="464">
        <f t="shared" si="7"/>
        <v>7.483333333</v>
      </c>
      <c r="I250" s="464">
        <f t="shared" si="3"/>
        <v>0</v>
      </c>
      <c r="J250" s="464">
        <f t="shared" si="4"/>
        <v>0</v>
      </c>
      <c r="K250" s="465">
        <f t="shared" si="5"/>
        <v>12335.16484</v>
      </c>
      <c r="L250" s="466"/>
      <c r="M250" s="466"/>
      <c r="N250" s="465">
        <f t="shared" si="20"/>
        <v>27.47252747</v>
      </c>
      <c r="O250" s="465">
        <f t="shared" si="6"/>
        <v>12307.69231</v>
      </c>
      <c r="P250" s="470"/>
    </row>
    <row r="251" ht="26.25" customHeight="1">
      <c r="A251" s="459">
        <v>45946.0</v>
      </c>
      <c r="B251" s="460" t="s">
        <v>26</v>
      </c>
      <c r="C251" s="461" t="str">
        <f t="shared" si="1"/>
        <v>الخميس</v>
      </c>
      <c r="D251" s="462">
        <v>0.33402777777777776</v>
      </c>
      <c r="E251" s="462">
        <v>0.6402777777777777</v>
      </c>
      <c r="F251" s="463">
        <v>300000.0</v>
      </c>
      <c r="G251" s="464">
        <f t="shared" si="19"/>
        <v>1648.351648</v>
      </c>
      <c r="H251" s="464">
        <f t="shared" si="7"/>
        <v>7.35</v>
      </c>
      <c r="I251" s="464">
        <f t="shared" si="3"/>
        <v>0</v>
      </c>
      <c r="J251" s="464">
        <f t="shared" si="4"/>
        <v>0</v>
      </c>
      <c r="K251" s="465">
        <f t="shared" si="5"/>
        <v>12115.38462</v>
      </c>
      <c r="L251" s="466"/>
      <c r="M251" s="466"/>
      <c r="N251" s="465">
        <f t="shared" si="20"/>
        <v>27.47252747</v>
      </c>
      <c r="O251" s="465">
        <f t="shared" si="6"/>
        <v>12087.91209</v>
      </c>
      <c r="P251" s="467"/>
    </row>
    <row r="252" ht="26.25" customHeight="1">
      <c r="A252" s="459">
        <v>45948.0</v>
      </c>
      <c r="B252" s="460" t="s">
        <v>26</v>
      </c>
      <c r="C252" s="461" t="str">
        <f t="shared" si="1"/>
        <v>السبت</v>
      </c>
      <c r="D252" s="462">
        <v>0.3368055555555556</v>
      </c>
      <c r="E252" s="462">
        <v>0.6305555555555555</v>
      </c>
      <c r="F252" s="463">
        <v>300000.0</v>
      </c>
      <c r="G252" s="464">
        <f t="shared" si="19"/>
        <v>1648.351648</v>
      </c>
      <c r="H252" s="464">
        <f t="shared" si="7"/>
        <v>7.05</v>
      </c>
      <c r="I252" s="464">
        <f t="shared" si="3"/>
        <v>0</v>
      </c>
      <c r="J252" s="464">
        <f t="shared" si="4"/>
        <v>0</v>
      </c>
      <c r="K252" s="465">
        <f t="shared" si="5"/>
        <v>11620.87912</v>
      </c>
      <c r="L252" s="466"/>
      <c r="M252" s="466"/>
      <c r="N252" s="465">
        <f t="shared" si="20"/>
        <v>137.3626374</v>
      </c>
      <c r="O252" s="465">
        <f t="shared" si="6"/>
        <v>11483.51648</v>
      </c>
      <c r="P252" s="470"/>
    </row>
    <row r="253" ht="26.25" customHeight="1">
      <c r="A253" s="459">
        <v>45949.0</v>
      </c>
      <c r="B253" s="460" t="s">
        <v>26</v>
      </c>
      <c r="C253" s="461" t="str">
        <f t="shared" si="1"/>
        <v>الأحد</v>
      </c>
      <c r="D253" s="462">
        <v>0.33958333333333335</v>
      </c>
      <c r="E253" s="462">
        <v>0.6270833333333333</v>
      </c>
      <c r="F253" s="463">
        <v>300000.0</v>
      </c>
      <c r="G253" s="464">
        <f t="shared" si="19"/>
        <v>1648.351648</v>
      </c>
      <c r="H253" s="464">
        <f t="shared" si="7"/>
        <v>6.9</v>
      </c>
      <c r="I253" s="464">
        <f t="shared" si="3"/>
        <v>0</v>
      </c>
      <c r="J253" s="464">
        <f t="shared" si="4"/>
        <v>0</v>
      </c>
      <c r="K253" s="465">
        <f t="shared" si="5"/>
        <v>11373.62637</v>
      </c>
      <c r="L253" s="466"/>
      <c r="M253" s="466"/>
      <c r="N253" s="465">
        <f t="shared" si="20"/>
        <v>247.2527473</v>
      </c>
      <c r="O253" s="465">
        <f t="shared" si="6"/>
        <v>11126.37363</v>
      </c>
      <c r="P253" s="467"/>
    </row>
    <row r="254" ht="26.25" customHeight="1">
      <c r="A254" s="459">
        <v>45950.0</v>
      </c>
      <c r="B254" s="460" t="s">
        <v>26</v>
      </c>
      <c r="C254" s="461" t="str">
        <f t="shared" si="1"/>
        <v>الاثنين</v>
      </c>
      <c r="D254" s="462">
        <v>0.3388888888888889</v>
      </c>
      <c r="E254" s="462">
        <v>0.6270833333333333</v>
      </c>
      <c r="F254" s="463">
        <v>300000.0</v>
      </c>
      <c r="G254" s="464">
        <f t="shared" si="19"/>
        <v>1648.351648</v>
      </c>
      <c r="H254" s="464">
        <f t="shared" si="7"/>
        <v>6.916666667</v>
      </c>
      <c r="I254" s="464">
        <f t="shared" si="3"/>
        <v>0</v>
      </c>
      <c r="J254" s="464">
        <f t="shared" si="4"/>
        <v>0</v>
      </c>
      <c r="K254" s="465">
        <f t="shared" si="5"/>
        <v>11401.0989</v>
      </c>
      <c r="L254" s="466"/>
      <c r="M254" s="466"/>
      <c r="N254" s="465">
        <f t="shared" si="20"/>
        <v>219.7802198</v>
      </c>
      <c r="O254" s="465">
        <f t="shared" si="6"/>
        <v>11181.31868</v>
      </c>
      <c r="P254" s="467"/>
    </row>
    <row r="255" ht="26.25" customHeight="1">
      <c r="A255" s="459">
        <v>45951.0</v>
      </c>
      <c r="B255" s="460" t="s">
        <v>26</v>
      </c>
      <c r="C255" s="461" t="str">
        <f t="shared" si="1"/>
        <v>الثلاثاء</v>
      </c>
      <c r="D255" s="462">
        <v>0.3375</v>
      </c>
      <c r="E255" s="462">
        <v>0.6277777777777778</v>
      </c>
      <c r="F255" s="463">
        <v>300000.0</v>
      </c>
      <c r="G255" s="464">
        <f t="shared" si="19"/>
        <v>1648.351648</v>
      </c>
      <c r="H255" s="464">
        <f t="shared" si="7"/>
        <v>6.966666667</v>
      </c>
      <c r="I255" s="464">
        <f t="shared" si="3"/>
        <v>0</v>
      </c>
      <c r="J255" s="464">
        <f t="shared" si="4"/>
        <v>0</v>
      </c>
      <c r="K255" s="465">
        <f t="shared" si="5"/>
        <v>11483.51648</v>
      </c>
      <c r="L255" s="466"/>
      <c r="M255" s="466"/>
      <c r="N255" s="465">
        <f t="shared" si="20"/>
        <v>164.8351648</v>
      </c>
      <c r="O255" s="465">
        <f t="shared" si="6"/>
        <v>11318.68132</v>
      </c>
      <c r="P255" s="467"/>
    </row>
    <row r="256" ht="26.25" customHeight="1">
      <c r="A256" s="459">
        <v>45952.0</v>
      </c>
      <c r="B256" s="460" t="s">
        <v>26</v>
      </c>
      <c r="C256" s="461" t="str">
        <f t="shared" si="1"/>
        <v>الأربعاء</v>
      </c>
      <c r="D256" s="462">
        <v>0.3375</v>
      </c>
      <c r="E256" s="462">
        <v>0.6256944444444444</v>
      </c>
      <c r="F256" s="463">
        <v>300000.0</v>
      </c>
      <c r="G256" s="464">
        <f t="shared" si="19"/>
        <v>1648.351648</v>
      </c>
      <c r="H256" s="464">
        <f t="shared" si="7"/>
        <v>6.916666667</v>
      </c>
      <c r="I256" s="464">
        <f t="shared" si="3"/>
        <v>0</v>
      </c>
      <c r="J256" s="464">
        <f t="shared" si="4"/>
        <v>0</v>
      </c>
      <c r="K256" s="465">
        <f t="shared" si="5"/>
        <v>11401.0989</v>
      </c>
      <c r="L256" s="466"/>
      <c r="M256" s="466"/>
      <c r="N256" s="465">
        <f t="shared" si="20"/>
        <v>164.8351648</v>
      </c>
      <c r="O256" s="465">
        <f t="shared" si="6"/>
        <v>11236.26374</v>
      </c>
      <c r="P256" s="470"/>
    </row>
    <row r="257" ht="26.25" customHeight="1">
      <c r="A257" s="459">
        <v>45953.0</v>
      </c>
      <c r="B257" s="460" t="s">
        <v>26</v>
      </c>
      <c r="C257" s="461" t="str">
        <f t="shared" si="1"/>
        <v>الخميس</v>
      </c>
      <c r="D257" s="462">
        <v>0.33819444444444446</v>
      </c>
      <c r="E257" s="462">
        <v>0.6354166666666666</v>
      </c>
      <c r="F257" s="463">
        <v>300000.0</v>
      </c>
      <c r="G257" s="464">
        <f t="shared" si="19"/>
        <v>1648.351648</v>
      </c>
      <c r="H257" s="464">
        <f t="shared" si="7"/>
        <v>7.133333333</v>
      </c>
      <c r="I257" s="464">
        <f t="shared" si="3"/>
        <v>0</v>
      </c>
      <c r="J257" s="464">
        <f t="shared" si="4"/>
        <v>0</v>
      </c>
      <c r="K257" s="465">
        <f t="shared" si="5"/>
        <v>11758.24176</v>
      </c>
      <c r="L257" s="466"/>
      <c r="M257" s="466"/>
      <c r="N257" s="465">
        <f t="shared" si="20"/>
        <v>192.3076923</v>
      </c>
      <c r="O257" s="465">
        <f t="shared" si="6"/>
        <v>11565.93407</v>
      </c>
      <c r="P257" s="467"/>
    </row>
    <row r="258" ht="26.25" customHeight="1">
      <c r="A258" s="459">
        <v>45955.0</v>
      </c>
      <c r="B258" s="460" t="s">
        <v>26</v>
      </c>
      <c r="C258" s="461" t="str">
        <f t="shared" si="1"/>
        <v>السبت</v>
      </c>
      <c r="D258" s="462">
        <v>0.33125</v>
      </c>
      <c r="E258" s="462">
        <v>0.6270833333333333</v>
      </c>
      <c r="F258" s="463">
        <v>300000.0</v>
      </c>
      <c r="G258" s="464">
        <f t="shared" si="19"/>
        <v>1648.351648</v>
      </c>
      <c r="H258" s="464">
        <f t="shared" si="7"/>
        <v>7.1</v>
      </c>
      <c r="I258" s="464">
        <f t="shared" si="3"/>
        <v>0</v>
      </c>
      <c r="J258" s="464">
        <f t="shared" si="4"/>
        <v>0</v>
      </c>
      <c r="K258" s="465">
        <f t="shared" si="5"/>
        <v>11703.2967</v>
      </c>
      <c r="L258" s="466"/>
      <c r="M258" s="466"/>
      <c r="N258" s="465">
        <f t="shared" si="20"/>
        <v>0</v>
      </c>
      <c r="O258" s="465">
        <f t="shared" si="6"/>
        <v>11703.2967</v>
      </c>
      <c r="P258" s="467"/>
    </row>
    <row r="259" ht="26.25" customHeight="1">
      <c r="A259" s="459">
        <v>45956.0</v>
      </c>
      <c r="B259" s="460" t="s">
        <v>26</v>
      </c>
      <c r="C259" s="461" t="str">
        <f t="shared" si="1"/>
        <v>الأحد</v>
      </c>
      <c r="D259" s="462">
        <v>0.3423611111111111</v>
      </c>
      <c r="E259" s="462">
        <v>0.6368055555555555</v>
      </c>
      <c r="F259" s="463">
        <v>300000.0</v>
      </c>
      <c r="G259" s="464">
        <f t="shared" si="19"/>
        <v>1648.351648</v>
      </c>
      <c r="H259" s="464">
        <f t="shared" si="7"/>
        <v>7.066666667</v>
      </c>
      <c r="I259" s="464">
        <f t="shared" si="3"/>
        <v>0</v>
      </c>
      <c r="J259" s="464">
        <f t="shared" si="4"/>
        <v>0</v>
      </c>
      <c r="K259" s="465">
        <f t="shared" si="5"/>
        <v>11648.35165</v>
      </c>
      <c r="L259" s="466"/>
      <c r="M259" s="466"/>
      <c r="N259" s="465">
        <f t="shared" si="20"/>
        <v>357.1428571</v>
      </c>
      <c r="O259" s="465">
        <f t="shared" si="6"/>
        <v>11291.20879</v>
      </c>
      <c r="P259" s="467"/>
    </row>
    <row r="260" ht="26.25" customHeight="1">
      <c r="A260" s="459">
        <v>45957.0</v>
      </c>
      <c r="B260" s="460" t="s">
        <v>26</v>
      </c>
      <c r="C260" s="461" t="str">
        <f t="shared" si="1"/>
        <v>الاثنين</v>
      </c>
      <c r="D260" s="462">
        <v>0.33958333333333335</v>
      </c>
      <c r="E260" s="462">
        <v>0.6298611111111111</v>
      </c>
      <c r="F260" s="463">
        <v>300000.0</v>
      </c>
      <c r="G260" s="464">
        <f t="shared" si="19"/>
        <v>1648.351648</v>
      </c>
      <c r="H260" s="464">
        <f t="shared" si="7"/>
        <v>6.966666667</v>
      </c>
      <c r="I260" s="464">
        <f t="shared" si="3"/>
        <v>0</v>
      </c>
      <c r="J260" s="464">
        <f t="shared" si="4"/>
        <v>0</v>
      </c>
      <c r="K260" s="465">
        <f t="shared" si="5"/>
        <v>11483.51648</v>
      </c>
      <c r="L260" s="466"/>
      <c r="M260" s="466"/>
      <c r="N260" s="465">
        <f t="shared" si="20"/>
        <v>247.2527473</v>
      </c>
      <c r="O260" s="465">
        <f t="shared" si="6"/>
        <v>11236.26374</v>
      </c>
      <c r="P260" s="467"/>
    </row>
    <row r="261" ht="26.25" customHeight="1">
      <c r="A261" s="459">
        <v>45958.0</v>
      </c>
      <c r="B261" s="460" t="s">
        <v>26</v>
      </c>
      <c r="C261" s="461" t="str">
        <f t="shared" si="1"/>
        <v>الثلاثاء</v>
      </c>
      <c r="D261" s="462">
        <v>0.33819444444444446</v>
      </c>
      <c r="E261" s="462">
        <v>0.5354166666666667</v>
      </c>
      <c r="F261" s="463">
        <v>300000.0</v>
      </c>
      <c r="G261" s="464">
        <f t="shared" si="19"/>
        <v>1648.351648</v>
      </c>
      <c r="H261" s="464">
        <f t="shared" si="7"/>
        <v>4.733333333</v>
      </c>
      <c r="I261" s="464">
        <f t="shared" si="3"/>
        <v>0</v>
      </c>
      <c r="J261" s="464">
        <f t="shared" si="4"/>
        <v>0</v>
      </c>
      <c r="K261" s="465">
        <f t="shared" si="5"/>
        <v>7802.197802</v>
      </c>
      <c r="L261" s="466"/>
      <c r="M261" s="466"/>
      <c r="N261" s="465">
        <f t="shared" si="20"/>
        <v>192.3076923</v>
      </c>
      <c r="O261" s="465">
        <f t="shared" si="6"/>
        <v>7609.89011</v>
      </c>
      <c r="P261" s="467"/>
    </row>
    <row r="262" ht="26.25" customHeight="1">
      <c r="A262" s="459">
        <v>45959.0</v>
      </c>
      <c r="B262" s="460" t="s">
        <v>26</v>
      </c>
      <c r="C262" s="461" t="str">
        <f t="shared" si="1"/>
        <v>الأربعاء</v>
      </c>
      <c r="D262" s="462">
        <v>0.3388888888888889</v>
      </c>
      <c r="E262" s="473">
        <v>0.6256944444444444</v>
      </c>
      <c r="F262" s="463">
        <v>300000.0</v>
      </c>
      <c r="G262" s="464">
        <f t="shared" si="19"/>
        <v>1648.351648</v>
      </c>
      <c r="H262" s="464">
        <f t="shared" si="7"/>
        <v>6.883333333</v>
      </c>
      <c r="I262" s="464">
        <f t="shared" si="3"/>
        <v>0</v>
      </c>
      <c r="J262" s="464">
        <f t="shared" si="4"/>
        <v>0</v>
      </c>
      <c r="K262" s="465">
        <f t="shared" si="5"/>
        <v>11346.15385</v>
      </c>
      <c r="L262" s="466"/>
      <c r="M262" s="466"/>
      <c r="N262" s="465">
        <f t="shared" si="20"/>
        <v>219.7802198</v>
      </c>
      <c r="O262" s="465">
        <f t="shared" si="6"/>
        <v>11126.37363</v>
      </c>
      <c r="P262" s="467"/>
    </row>
    <row r="263" ht="26.25" customHeight="1">
      <c r="A263" s="459">
        <v>45960.0</v>
      </c>
      <c r="B263" s="460" t="s">
        <v>26</v>
      </c>
      <c r="C263" s="461" t="str">
        <f t="shared" si="1"/>
        <v>الخميس</v>
      </c>
      <c r="D263" s="462">
        <v>0.3375</v>
      </c>
      <c r="E263" s="462">
        <v>0.6263888888888889</v>
      </c>
      <c r="F263" s="463">
        <v>300000.0</v>
      </c>
      <c r="G263" s="464">
        <f t="shared" si="19"/>
        <v>1648.351648</v>
      </c>
      <c r="H263" s="464">
        <f t="shared" si="7"/>
        <v>6.933333333</v>
      </c>
      <c r="I263" s="464">
        <f t="shared" si="3"/>
        <v>0</v>
      </c>
      <c r="J263" s="464">
        <f t="shared" si="4"/>
        <v>0</v>
      </c>
      <c r="K263" s="465">
        <f t="shared" si="5"/>
        <v>11428.57143</v>
      </c>
      <c r="L263" s="466"/>
      <c r="M263" s="466"/>
      <c r="N263" s="465">
        <f t="shared" si="20"/>
        <v>164.8351648</v>
      </c>
      <c r="O263" s="465">
        <f t="shared" si="6"/>
        <v>11263.73626</v>
      </c>
      <c r="P263" s="467"/>
    </row>
    <row r="264" ht="26.25" customHeight="1">
      <c r="A264" s="459">
        <v>45931.0</v>
      </c>
      <c r="B264" s="460" t="s">
        <v>2483</v>
      </c>
      <c r="C264" s="461" t="str">
        <f t="shared" si="1"/>
        <v>الأربعاء</v>
      </c>
      <c r="D264" s="462">
        <v>0.3736111111111111</v>
      </c>
      <c r="E264" s="462">
        <v>0.75</v>
      </c>
      <c r="F264" s="463">
        <v>300000.0</v>
      </c>
      <c r="G264" s="464">
        <f t="shared" ref="G264:G623" si="21">F264/235</f>
        <v>1276.595745</v>
      </c>
      <c r="H264" s="464">
        <f t="shared" si="7"/>
        <v>9.033333333</v>
      </c>
      <c r="I264" s="464">
        <f t="shared" si="3"/>
        <v>0</v>
      </c>
      <c r="J264" s="464">
        <f t="shared" si="4"/>
        <v>0</v>
      </c>
      <c r="K264" s="465">
        <f t="shared" si="5"/>
        <v>11531.91489</v>
      </c>
      <c r="L264" s="466"/>
      <c r="M264" s="466"/>
      <c r="N264" s="465">
        <f t="shared" si="20"/>
        <v>1234.042553</v>
      </c>
      <c r="O264" s="465">
        <f t="shared" si="6"/>
        <v>10297.87234</v>
      </c>
      <c r="P264" s="467"/>
    </row>
    <row r="265" ht="26.25" customHeight="1">
      <c r="A265" s="459">
        <v>45932.0</v>
      </c>
      <c r="B265" s="460" t="s">
        <v>2483</v>
      </c>
      <c r="C265" s="461" t="str">
        <f t="shared" si="1"/>
        <v>الخميس</v>
      </c>
      <c r="D265" s="462">
        <v>0.3402777777777778</v>
      </c>
      <c r="E265" s="462">
        <v>0.7083333333333334</v>
      </c>
      <c r="F265" s="463">
        <v>300000.0</v>
      </c>
      <c r="G265" s="464">
        <f t="shared" si="21"/>
        <v>1276.595745</v>
      </c>
      <c r="H265" s="464">
        <f t="shared" si="7"/>
        <v>8.833333333</v>
      </c>
      <c r="I265" s="464">
        <f t="shared" si="3"/>
        <v>0</v>
      </c>
      <c r="J265" s="464">
        <f t="shared" si="4"/>
        <v>0</v>
      </c>
      <c r="K265" s="465">
        <f t="shared" si="5"/>
        <v>11276.59574</v>
      </c>
      <c r="L265" s="466"/>
      <c r="M265" s="466"/>
      <c r="N265" s="465">
        <f t="shared" si="20"/>
        <v>212.7659574</v>
      </c>
      <c r="O265" s="465">
        <f t="shared" si="6"/>
        <v>11063.82979</v>
      </c>
      <c r="P265" s="467"/>
    </row>
    <row r="266" ht="26.25" customHeight="1">
      <c r="A266" s="459">
        <v>45934.0</v>
      </c>
      <c r="B266" s="460" t="s">
        <v>2483</v>
      </c>
      <c r="C266" s="461" t="str">
        <f t="shared" si="1"/>
        <v>السبت</v>
      </c>
      <c r="D266" s="462">
        <v>0.3402777777777778</v>
      </c>
      <c r="E266" s="462">
        <v>0.5993055555555555</v>
      </c>
      <c r="F266" s="463">
        <v>300000.0</v>
      </c>
      <c r="G266" s="464">
        <f t="shared" si="21"/>
        <v>1276.595745</v>
      </c>
      <c r="H266" s="464">
        <f t="shared" si="7"/>
        <v>6.216666667</v>
      </c>
      <c r="I266" s="464">
        <f t="shared" si="3"/>
        <v>0</v>
      </c>
      <c r="J266" s="464">
        <f t="shared" si="4"/>
        <v>0</v>
      </c>
      <c r="K266" s="465">
        <f t="shared" si="5"/>
        <v>7936.170213</v>
      </c>
      <c r="L266" s="466"/>
      <c r="M266" s="466"/>
      <c r="N266" s="465">
        <f t="shared" si="20"/>
        <v>212.7659574</v>
      </c>
      <c r="O266" s="465">
        <f t="shared" si="6"/>
        <v>7723.404255</v>
      </c>
      <c r="P266" s="467"/>
    </row>
    <row r="267" ht="26.25" customHeight="1">
      <c r="A267" s="459">
        <v>45935.0</v>
      </c>
      <c r="B267" s="460" t="s">
        <v>2483</v>
      </c>
      <c r="C267" s="461" t="str">
        <f t="shared" si="1"/>
        <v>الأحد</v>
      </c>
      <c r="D267" s="462">
        <v>0.3388888888888889</v>
      </c>
      <c r="E267" s="462">
        <v>0.7083333333333334</v>
      </c>
      <c r="F267" s="463">
        <v>300000.0</v>
      </c>
      <c r="G267" s="464">
        <f t="shared" si="21"/>
        <v>1276.595745</v>
      </c>
      <c r="H267" s="464">
        <f t="shared" si="7"/>
        <v>8.866666667</v>
      </c>
      <c r="I267" s="464">
        <f t="shared" si="3"/>
        <v>0</v>
      </c>
      <c r="J267" s="464">
        <f t="shared" si="4"/>
        <v>0</v>
      </c>
      <c r="K267" s="465">
        <f t="shared" si="5"/>
        <v>11319.14894</v>
      </c>
      <c r="L267" s="466"/>
      <c r="M267" s="466"/>
      <c r="N267" s="465">
        <f t="shared" si="20"/>
        <v>170.212766</v>
      </c>
      <c r="O267" s="465">
        <f t="shared" si="6"/>
        <v>11148.93617</v>
      </c>
      <c r="P267" s="467"/>
    </row>
    <row r="268" ht="26.25" customHeight="1">
      <c r="A268" s="459">
        <v>45936.0</v>
      </c>
      <c r="B268" s="460" t="s">
        <v>2483</v>
      </c>
      <c r="C268" s="461" t="str">
        <f t="shared" si="1"/>
        <v>الاثنين</v>
      </c>
      <c r="D268" s="462">
        <v>0.3347222222222222</v>
      </c>
      <c r="E268" s="462">
        <v>0.7118055555555556</v>
      </c>
      <c r="F268" s="463">
        <v>300000.0</v>
      </c>
      <c r="G268" s="464">
        <f t="shared" si="21"/>
        <v>1276.595745</v>
      </c>
      <c r="H268" s="464">
        <f t="shared" si="7"/>
        <v>9.05</v>
      </c>
      <c r="I268" s="464">
        <f t="shared" si="3"/>
        <v>0</v>
      </c>
      <c r="J268" s="464">
        <f t="shared" si="4"/>
        <v>0</v>
      </c>
      <c r="K268" s="465">
        <f t="shared" si="5"/>
        <v>11553.19149</v>
      </c>
      <c r="L268" s="466"/>
      <c r="M268" s="465">
        <v>34000.0</v>
      </c>
      <c r="N268" s="465">
        <f t="shared" si="20"/>
        <v>42.55319149</v>
      </c>
      <c r="O268" s="465">
        <f t="shared" si="6"/>
        <v>-22489.3617</v>
      </c>
      <c r="P268" s="467"/>
    </row>
    <row r="269" ht="26.25" customHeight="1">
      <c r="A269" s="459">
        <v>45937.0</v>
      </c>
      <c r="B269" s="460" t="s">
        <v>2483</v>
      </c>
      <c r="C269" s="461" t="str">
        <f t="shared" si="1"/>
        <v>الثلاثاء</v>
      </c>
      <c r="D269" s="462">
        <v>0.3388888888888889</v>
      </c>
      <c r="E269" s="462">
        <v>0.7090277777777778</v>
      </c>
      <c r="F269" s="463">
        <v>300000.0</v>
      </c>
      <c r="G269" s="464">
        <f t="shared" si="21"/>
        <v>1276.595745</v>
      </c>
      <c r="H269" s="464">
        <f t="shared" si="7"/>
        <v>8.883333333</v>
      </c>
      <c r="I269" s="464">
        <f t="shared" si="3"/>
        <v>0</v>
      </c>
      <c r="J269" s="464">
        <f t="shared" si="4"/>
        <v>0</v>
      </c>
      <c r="K269" s="465">
        <f t="shared" si="5"/>
        <v>11340.42553</v>
      </c>
      <c r="L269" s="466"/>
      <c r="M269" s="466"/>
      <c r="N269" s="465">
        <f t="shared" si="20"/>
        <v>170.212766</v>
      </c>
      <c r="O269" s="465">
        <f t="shared" si="6"/>
        <v>11170.21277</v>
      </c>
      <c r="P269" s="467"/>
    </row>
    <row r="270" ht="26.25" customHeight="1">
      <c r="A270" s="459">
        <v>45938.0</v>
      </c>
      <c r="B270" s="460" t="s">
        <v>2483</v>
      </c>
      <c r="C270" s="461" t="str">
        <f t="shared" si="1"/>
        <v>الأربعاء</v>
      </c>
      <c r="D270" s="462">
        <v>0.3402777777777778</v>
      </c>
      <c r="E270" s="462">
        <v>0.7090277777777778</v>
      </c>
      <c r="F270" s="463">
        <v>300000.0</v>
      </c>
      <c r="G270" s="464">
        <f t="shared" si="21"/>
        <v>1276.595745</v>
      </c>
      <c r="H270" s="464">
        <f t="shared" si="7"/>
        <v>8.85</v>
      </c>
      <c r="I270" s="464">
        <f t="shared" si="3"/>
        <v>0</v>
      </c>
      <c r="J270" s="464">
        <f t="shared" si="4"/>
        <v>0</v>
      </c>
      <c r="K270" s="465">
        <f t="shared" si="5"/>
        <v>11297.87234</v>
      </c>
      <c r="L270" s="466"/>
      <c r="M270" s="466"/>
      <c r="N270" s="465">
        <f t="shared" si="20"/>
        <v>212.7659574</v>
      </c>
      <c r="O270" s="465">
        <f t="shared" si="6"/>
        <v>11085.10638</v>
      </c>
      <c r="P270" s="467"/>
    </row>
    <row r="271" ht="26.25" customHeight="1">
      <c r="A271" s="459">
        <v>45939.0</v>
      </c>
      <c r="B271" s="460" t="s">
        <v>2483</v>
      </c>
      <c r="C271" s="461" t="str">
        <f t="shared" si="1"/>
        <v>الخميس</v>
      </c>
      <c r="D271" s="462">
        <v>0.3416666666666667</v>
      </c>
      <c r="E271" s="462">
        <v>0.7916666666666666</v>
      </c>
      <c r="F271" s="463">
        <v>300000.0</v>
      </c>
      <c r="G271" s="464">
        <f t="shared" si="21"/>
        <v>1276.595745</v>
      </c>
      <c r="H271" s="464">
        <f t="shared" si="7"/>
        <v>9.8</v>
      </c>
      <c r="I271" s="464">
        <f t="shared" si="3"/>
        <v>1</v>
      </c>
      <c r="J271" s="464">
        <f t="shared" si="4"/>
        <v>0</v>
      </c>
      <c r="K271" s="465">
        <f t="shared" si="5"/>
        <v>14425.53191</v>
      </c>
      <c r="L271" s="466"/>
      <c r="M271" s="466"/>
      <c r="N271" s="465">
        <f t="shared" si="20"/>
        <v>255.3191489</v>
      </c>
      <c r="O271" s="465">
        <f t="shared" si="6"/>
        <v>14170.21277</v>
      </c>
      <c r="P271" s="467"/>
    </row>
    <row r="272" ht="26.25" customHeight="1">
      <c r="A272" s="459">
        <v>45941.0</v>
      </c>
      <c r="B272" s="460" t="s">
        <v>2483</v>
      </c>
      <c r="C272" s="461" t="str">
        <f t="shared" si="1"/>
        <v>السبت</v>
      </c>
      <c r="D272" s="462">
        <v>0.21388888888888888</v>
      </c>
      <c r="E272" s="462">
        <v>0.7111111111111111</v>
      </c>
      <c r="F272" s="463">
        <v>300000.0</v>
      </c>
      <c r="G272" s="464">
        <f t="shared" si="21"/>
        <v>1276.595745</v>
      </c>
      <c r="H272" s="464">
        <f t="shared" si="7"/>
        <v>11.06666667</v>
      </c>
      <c r="I272" s="464">
        <f t="shared" si="3"/>
        <v>0.8666666667</v>
      </c>
      <c r="J272" s="464">
        <f t="shared" si="4"/>
        <v>0</v>
      </c>
      <c r="K272" s="465">
        <f t="shared" si="5"/>
        <v>15787.23404</v>
      </c>
      <c r="L272" s="466"/>
      <c r="M272" s="465">
        <v>35000.0</v>
      </c>
      <c r="N272" s="465">
        <f t="shared" si="20"/>
        <v>0</v>
      </c>
      <c r="O272" s="465">
        <f t="shared" si="6"/>
        <v>-19212.76596</v>
      </c>
      <c r="P272" s="467"/>
    </row>
    <row r="273" ht="26.25" customHeight="1">
      <c r="A273" s="459">
        <v>45942.0</v>
      </c>
      <c r="B273" s="460" t="s">
        <v>2483</v>
      </c>
      <c r="C273" s="461" t="str">
        <f t="shared" si="1"/>
        <v>الأحد</v>
      </c>
      <c r="D273" s="462">
        <v>0.3347222222222222</v>
      </c>
      <c r="E273" s="462">
        <v>0.8145833333333333</v>
      </c>
      <c r="F273" s="463">
        <v>300000.0</v>
      </c>
      <c r="G273" s="464">
        <f t="shared" si="21"/>
        <v>1276.595745</v>
      </c>
      <c r="H273" s="464">
        <f t="shared" si="7"/>
        <v>9.966666667</v>
      </c>
      <c r="I273" s="464">
        <f t="shared" si="3"/>
        <v>1.55</v>
      </c>
      <c r="J273" s="464">
        <f t="shared" si="4"/>
        <v>0</v>
      </c>
      <c r="K273" s="465">
        <f t="shared" si="5"/>
        <v>15691.48936</v>
      </c>
      <c r="L273" s="466"/>
      <c r="M273" s="466"/>
      <c r="N273" s="465">
        <f t="shared" si="20"/>
        <v>42.55319149</v>
      </c>
      <c r="O273" s="465">
        <f t="shared" si="6"/>
        <v>15648.93617</v>
      </c>
      <c r="P273" s="467"/>
    </row>
    <row r="274" ht="26.25" customHeight="1">
      <c r="A274" s="459">
        <v>45943.0</v>
      </c>
      <c r="B274" s="460" t="s">
        <v>2483</v>
      </c>
      <c r="C274" s="461" t="str">
        <f t="shared" si="1"/>
        <v>الاثنين</v>
      </c>
      <c r="D274" s="462">
        <v>0.3388888888888889</v>
      </c>
      <c r="E274" s="462">
        <v>0.7277777777777777</v>
      </c>
      <c r="F274" s="463">
        <v>300000.0</v>
      </c>
      <c r="G274" s="464">
        <f t="shared" si="21"/>
        <v>1276.595745</v>
      </c>
      <c r="H274" s="464">
        <f t="shared" si="7"/>
        <v>9.333333333</v>
      </c>
      <c r="I274" s="464">
        <f t="shared" si="3"/>
        <v>0</v>
      </c>
      <c r="J274" s="464">
        <f t="shared" si="4"/>
        <v>0</v>
      </c>
      <c r="K274" s="465">
        <f t="shared" si="5"/>
        <v>11914.89362</v>
      </c>
      <c r="L274" s="466"/>
      <c r="M274" s="466"/>
      <c r="N274" s="465">
        <f t="shared" si="20"/>
        <v>170.212766</v>
      </c>
      <c r="O274" s="465">
        <f t="shared" si="6"/>
        <v>11744.68085</v>
      </c>
      <c r="P274" s="467"/>
    </row>
    <row r="275" ht="26.25" customHeight="1">
      <c r="A275" s="459">
        <v>45944.0</v>
      </c>
      <c r="B275" s="460" t="s">
        <v>2483</v>
      </c>
      <c r="C275" s="461" t="str">
        <f t="shared" si="1"/>
        <v>الثلاثاء</v>
      </c>
      <c r="D275" s="462">
        <v>0.3333333333333333</v>
      </c>
      <c r="E275" s="462">
        <v>0.7645833333333333</v>
      </c>
      <c r="F275" s="463">
        <v>300000.0</v>
      </c>
      <c r="G275" s="464">
        <f t="shared" si="21"/>
        <v>1276.595745</v>
      </c>
      <c r="H275" s="464">
        <f t="shared" si="7"/>
        <v>10</v>
      </c>
      <c r="I275" s="464">
        <f t="shared" si="3"/>
        <v>0.35</v>
      </c>
      <c r="J275" s="464">
        <f t="shared" si="4"/>
        <v>0</v>
      </c>
      <c r="K275" s="465">
        <f t="shared" si="5"/>
        <v>13436.17021</v>
      </c>
      <c r="L275" s="466"/>
      <c r="M275" s="466"/>
      <c r="N275" s="465">
        <f t="shared" si="20"/>
        <v>0</v>
      </c>
      <c r="O275" s="465">
        <f t="shared" si="6"/>
        <v>13436.17021</v>
      </c>
      <c r="P275" s="467"/>
    </row>
    <row r="276" ht="26.25" customHeight="1">
      <c r="A276" s="459">
        <v>45945.0</v>
      </c>
      <c r="B276" s="460" t="s">
        <v>2483</v>
      </c>
      <c r="C276" s="461" t="str">
        <f t="shared" si="1"/>
        <v>الأربعاء</v>
      </c>
      <c r="D276" s="462">
        <v>0.3506944444444444</v>
      </c>
      <c r="E276" s="462">
        <v>0.7083333333333334</v>
      </c>
      <c r="F276" s="463">
        <v>300000.0</v>
      </c>
      <c r="G276" s="464">
        <f t="shared" si="21"/>
        <v>1276.595745</v>
      </c>
      <c r="H276" s="464">
        <f t="shared" si="7"/>
        <v>8.583333333</v>
      </c>
      <c r="I276" s="464">
        <f t="shared" si="3"/>
        <v>0</v>
      </c>
      <c r="J276" s="464">
        <f t="shared" si="4"/>
        <v>0</v>
      </c>
      <c r="K276" s="465">
        <f t="shared" si="5"/>
        <v>10957.44681</v>
      </c>
      <c r="L276" s="466"/>
      <c r="M276" s="466"/>
      <c r="N276" s="465">
        <f t="shared" si="20"/>
        <v>531.9148936</v>
      </c>
      <c r="O276" s="465">
        <f t="shared" si="6"/>
        <v>10425.53191</v>
      </c>
      <c r="P276" s="467"/>
    </row>
    <row r="277" ht="26.25" customHeight="1">
      <c r="A277" s="459">
        <v>45946.0</v>
      </c>
      <c r="B277" s="460" t="s">
        <v>2483</v>
      </c>
      <c r="C277" s="461" t="str">
        <f t="shared" si="1"/>
        <v>الخميس</v>
      </c>
      <c r="D277" s="462">
        <v>0.3333333333333333</v>
      </c>
      <c r="E277" s="462">
        <v>0.7083333333333334</v>
      </c>
      <c r="F277" s="463">
        <v>300000.0</v>
      </c>
      <c r="G277" s="464">
        <f t="shared" si="21"/>
        <v>1276.595745</v>
      </c>
      <c r="H277" s="464">
        <f t="shared" si="7"/>
        <v>9</v>
      </c>
      <c r="I277" s="464">
        <f t="shared" si="3"/>
        <v>0</v>
      </c>
      <c r="J277" s="464">
        <f t="shared" si="4"/>
        <v>0</v>
      </c>
      <c r="K277" s="465">
        <f t="shared" si="5"/>
        <v>11489.3617</v>
      </c>
      <c r="L277" s="466"/>
      <c r="M277" s="465">
        <v>25000.0</v>
      </c>
      <c r="N277" s="465">
        <f t="shared" si="20"/>
        <v>0</v>
      </c>
      <c r="O277" s="465">
        <f t="shared" si="6"/>
        <v>-13510.6383</v>
      </c>
      <c r="P277" s="467"/>
    </row>
    <row r="278" ht="26.25" customHeight="1">
      <c r="A278" s="459">
        <v>45947.0</v>
      </c>
      <c r="B278" s="460" t="s">
        <v>2483</v>
      </c>
      <c r="C278" s="461" t="str">
        <f t="shared" si="1"/>
        <v>الجمعة</v>
      </c>
      <c r="D278" s="462">
        <v>0.125</v>
      </c>
      <c r="E278" s="462">
        <v>0.7541666666666667</v>
      </c>
      <c r="F278" s="463">
        <v>300000.0</v>
      </c>
      <c r="G278" s="464">
        <f t="shared" si="21"/>
        <v>1276.595745</v>
      </c>
      <c r="H278" s="464">
        <f t="shared" si="7"/>
        <v>0</v>
      </c>
      <c r="I278" s="464">
        <f t="shared" si="3"/>
        <v>0</v>
      </c>
      <c r="J278" s="464">
        <f t="shared" si="4"/>
        <v>15.1</v>
      </c>
      <c r="K278" s="465">
        <f t="shared" si="5"/>
        <v>38553.19149</v>
      </c>
      <c r="L278" s="466"/>
      <c r="M278" s="465">
        <v>30000.0</v>
      </c>
      <c r="N278" s="465">
        <f t="shared" si="20"/>
        <v>0</v>
      </c>
      <c r="O278" s="465">
        <f t="shared" si="6"/>
        <v>8553.191489</v>
      </c>
      <c r="P278" s="467"/>
    </row>
    <row r="279" ht="26.25" customHeight="1">
      <c r="A279" s="459">
        <v>45948.0</v>
      </c>
      <c r="B279" s="460" t="s">
        <v>2483</v>
      </c>
      <c r="C279" s="461" t="str">
        <f t="shared" si="1"/>
        <v>السبت</v>
      </c>
      <c r="D279" s="462">
        <v>0.46111111111111114</v>
      </c>
      <c r="E279" s="462">
        <v>0.7152777777777778</v>
      </c>
      <c r="F279" s="463">
        <v>300000.0</v>
      </c>
      <c r="G279" s="464">
        <f t="shared" si="21"/>
        <v>1276.595745</v>
      </c>
      <c r="H279" s="464">
        <f t="shared" si="7"/>
        <v>6.1</v>
      </c>
      <c r="I279" s="464">
        <f t="shared" si="3"/>
        <v>0</v>
      </c>
      <c r="J279" s="464">
        <f t="shared" si="4"/>
        <v>0</v>
      </c>
      <c r="K279" s="465">
        <f t="shared" si="5"/>
        <v>7787.234043</v>
      </c>
      <c r="L279" s="466"/>
      <c r="M279" s="466"/>
      <c r="N279" s="465">
        <f t="shared" si="20"/>
        <v>3914.893617</v>
      </c>
      <c r="O279" s="465">
        <f t="shared" si="6"/>
        <v>3872.340426</v>
      </c>
      <c r="P279" s="467"/>
    </row>
    <row r="280" ht="26.25" customHeight="1">
      <c r="A280" s="459">
        <v>45949.0</v>
      </c>
      <c r="B280" s="460" t="s">
        <v>2483</v>
      </c>
      <c r="C280" s="461" t="str">
        <f t="shared" si="1"/>
        <v>الأحد</v>
      </c>
      <c r="D280" s="462">
        <v>0.35208333333333336</v>
      </c>
      <c r="E280" s="462">
        <v>0.8215277777777777</v>
      </c>
      <c r="F280" s="463">
        <v>300000.0</v>
      </c>
      <c r="G280" s="464">
        <f t="shared" si="21"/>
        <v>1276.595745</v>
      </c>
      <c r="H280" s="464">
        <f t="shared" si="7"/>
        <v>9.55</v>
      </c>
      <c r="I280" s="464">
        <f t="shared" si="3"/>
        <v>1.716666667</v>
      </c>
      <c r="J280" s="464">
        <f t="shared" si="4"/>
        <v>0</v>
      </c>
      <c r="K280" s="465">
        <f t="shared" si="5"/>
        <v>15478.7234</v>
      </c>
      <c r="L280" s="466"/>
      <c r="M280" s="466"/>
      <c r="N280" s="465">
        <f t="shared" si="20"/>
        <v>574.4680851</v>
      </c>
      <c r="O280" s="465">
        <f t="shared" si="6"/>
        <v>14904.25532</v>
      </c>
      <c r="P280" s="467"/>
    </row>
    <row r="281" ht="26.25" customHeight="1">
      <c r="A281" s="459">
        <v>45950.0</v>
      </c>
      <c r="B281" s="460" t="s">
        <v>2483</v>
      </c>
      <c r="C281" s="461" t="str">
        <f t="shared" si="1"/>
        <v>الاثنين</v>
      </c>
      <c r="D281" s="462">
        <v>0.3333333333333333</v>
      </c>
      <c r="E281" s="462">
        <v>0.7083333333333334</v>
      </c>
      <c r="F281" s="463">
        <v>300000.0</v>
      </c>
      <c r="G281" s="464">
        <f t="shared" si="21"/>
        <v>1276.595745</v>
      </c>
      <c r="H281" s="464">
        <f t="shared" si="7"/>
        <v>9</v>
      </c>
      <c r="I281" s="464">
        <f t="shared" si="3"/>
        <v>0</v>
      </c>
      <c r="J281" s="464">
        <f t="shared" si="4"/>
        <v>0</v>
      </c>
      <c r="K281" s="465">
        <f t="shared" si="5"/>
        <v>11489.3617</v>
      </c>
      <c r="L281" s="466"/>
      <c r="M281" s="466"/>
      <c r="N281" s="465">
        <f t="shared" si="20"/>
        <v>0</v>
      </c>
      <c r="O281" s="465">
        <f t="shared" si="6"/>
        <v>11489.3617</v>
      </c>
      <c r="P281" s="467"/>
    </row>
    <row r="282" ht="26.25" customHeight="1">
      <c r="A282" s="459">
        <v>45951.0</v>
      </c>
      <c r="B282" s="460" t="s">
        <v>2483</v>
      </c>
      <c r="C282" s="461" t="str">
        <f t="shared" si="1"/>
        <v>الثلاثاء</v>
      </c>
      <c r="D282" s="462">
        <v>0.32430555555555557</v>
      </c>
      <c r="E282" s="462">
        <v>0.7083333333333334</v>
      </c>
      <c r="F282" s="463">
        <v>300000.0</v>
      </c>
      <c r="G282" s="464">
        <f t="shared" si="21"/>
        <v>1276.595745</v>
      </c>
      <c r="H282" s="464">
        <f t="shared" si="7"/>
        <v>9.216666667</v>
      </c>
      <c r="I282" s="464">
        <f t="shared" si="3"/>
        <v>0</v>
      </c>
      <c r="J282" s="464">
        <f t="shared" si="4"/>
        <v>0</v>
      </c>
      <c r="K282" s="465">
        <f t="shared" si="5"/>
        <v>11765.95745</v>
      </c>
      <c r="L282" s="466"/>
      <c r="M282" s="466"/>
      <c r="N282" s="465">
        <f t="shared" si="20"/>
        <v>0</v>
      </c>
      <c r="O282" s="465">
        <f t="shared" si="6"/>
        <v>11765.95745</v>
      </c>
      <c r="P282" s="467"/>
    </row>
    <row r="283" ht="26.25" customHeight="1">
      <c r="A283" s="459">
        <v>45952.0</v>
      </c>
      <c r="B283" s="461" t="s">
        <v>2483</v>
      </c>
      <c r="C283" s="461" t="str">
        <f t="shared" si="1"/>
        <v>الأربعاء</v>
      </c>
      <c r="D283" s="462">
        <v>0.32430555555555557</v>
      </c>
      <c r="E283" s="462">
        <v>0.7048611111111112</v>
      </c>
      <c r="F283" s="463">
        <v>300000.0</v>
      </c>
      <c r="G283" s="464">
        <f t="shared" si="21"/>
        <v>1276.595745</v>
      </c>
      <c r="H283" s="464">
        <f t="shared" si="7"/>
        <v>9.133333333</v>
      </c>
      <c r="I283" s="464">
        <f t="shared" si="3"/>
        <v>0</v>
      </c>
      <c r="J283" s="464">
        <f t="shared" si="4"/>
        <v>0</v>
      </c>
      <c r="K283" s="465">
        <f t="shared" si="5"/>
        <v>11659.57447</v>
      </c>
      <c r="L283" s="466"/>
      <c r="M283" s="466"/>
      <c r="N283" s="465">
        <f t="shared" si="20"/>
        <v>0</v>
      </c>
      <c r="O283" s="465">
        <f t="shared" si="6"/>
        <v>11659.57447</v>
      </c>
      <c r="P283" s="467"/>
    </row>
    <row r="284" ht="26.25" customHeight="1">
      <c r="A284" s="459">
        <v>45953.0</v>
      </c>
      <c r="B284" s="461" t="s">
        <v>2483</v>
      </c>
      <c r="C284" s="461" t="str">
        <f t="shared" si="1"/>
        <v>الخميس</v>
      </c>
      <c r="D284" s="462">
        <v>0.32430555555555557</v>
      </c>
      <c r="E284" s="462">
        <v>0.7069444444444445</v>
      </c>
      <c r="F284" s="463">
        <v>300000.0</v>
      </c>
      <c r="G284" s="464">
        <f t="shared" si="21"/>
        <v>1276.595745</v>
      </c>
      <c r="H284" s="464">
        <f t="shared" si="7"/>
        <v>9.183333333</v>
      </c>
      <c r="I284" s="464">
        <f t="shared" si="3"/>
        <v>0</v>
      </c>
      <c r="J284" s="464">
        <f t="shared" si="4"/>
        <v>0</v>
      </c>
      <c r="K284" s="465">
        <f t="shared" si="5"/>
        <v>11723.40426</v>
      </c>
      <c r="L284" s="466"/>
      <c r="M284" s="465">
        <v>25000.0</v>
      </c>
      <c r="N284" s="465">
        <f t="shared" si="20"/>
        <v>0</v>
      </c>
      <c r="O284" s="465">
        <f t="shared" si="6"/>
        <v>-13276.59574</v>
      </c>
      <c r="P284" s="467"/>
    </row>
    <row r="285" ht="26.25" customHeight="1">
      <c r="A285" s="459">
        <v>45955.0</v>
      </c>
      <c r="B285" s="461" t="s">
        <v>2483</v>
      </c>
      <c r="C285" s="461" t="str">
        <f t="shared" si="1"/>
        <v>السبت</v>
      </c>
      <c r="D285" s="462">
        <v>0.33055555555555555</v>
      </c>
      <c r="E285" s="462">
        <v>0.7083333333333334</v>
      </c>
      <c r="F285" s="463">
        <v>300000.0</v>
      </c>
      <c r="G285" s="464">
        <f t="shared" si="21"/>
        <v>1276.595745</v>
      </c>
      <c r="H285" s="464">
        <f t="shared" si="7"/>
        <v>9.066666667</v>
      </c>
      <c r="I285" s="464">
        <f t="shared" si="3"/>
        <v>0</v>
      </c>
      <c r="J285" s="464">
        <f t="shared" si="4"/>
        <v>0</v>
      </c>
      <c r="K285" s="465">
        <f t="shared" si="5"/>
        <v>11574.46809</v>
      </c>
      <c r="L285" s="466"/>
      <c r="M285" s="466"/>
      <c r="N285" s="465">
        <f t="shared" si="20"/>
        <v>0</v>
      </c>
      <c r="O285" s="465">
        <f t="shared" si="6"/>
        <v>11574.46809</v>
      </c>
      <c r="P285" s="467"/>
    </row>
    <row r="286" ht="26.25" customHeight="1">
      <c r="A286" s="459">
        <v>45956.0</v>
      </c>
      <c r="B286" s="461" t="s">
        <v>2483</v>
      </c>
      <c r="C286" s="461" t="str">
        <f t="shared" si="1"/>
        <v>الأحد</v>
      </c>
      <c r="D286" s="462">
        <v>0.3951388888888889</v>
      </c>
      <c r="E286" s="462">
        <v>0.7104166666666667</v>
      </c>
      <c r="F286" s="463">
        <v>300000.0</v>
      </c>
      <c r="G286" s="464">
        <f t="shared" si="21"/>
        <v>1276.595745</v>
      </c>
      <c r="H286" s="464">
        <f t="shared" si="7"/>
        <v>7.566666667</v>
      </c>
      <c r="I286" s="464">
        <f t="shared" si="3"/>
        <v>0</v>
      </c>
      <c r="J286" s="464">
        <f t="shared" si="4"/>
        <v>0</v>
      </c>
      <c r="K286" s="465">
        <f t="shared" si="5"/>
        <v>9659.574468</v>
      </c>
      <c r="L286" s="466"/>
      <c r="M286" s="465">
        <v>10000.0</v>
      </c>
      <c r="N286" s="465">
        <f t="shared" si="20"/>
        <v>1893.617021</v>
      </c>
      <c r="O286" s="465">
        <f t="shared" si="6"/>
        <v>-2234.042553</v>
      </c>
      <c r="P286" s="467"/>
    </row>
    <row r="287" ht="26.25" customHeight="1">
      <c r="A287" s="459">
        <v>45957.0</v>
      </c>
      <c r="B287" s="461" t="s">
        <v>2483</v>
      </c>
      <c r="C287" s="461" t="str">
        <f t="shared" si="1"/>
        <v>الاثنين</v>
      </c>
      <c r="D287" s="462">
        <v>0.35625</v>
      </c>
      <c r="E287" s="462">
        <v>0.7083333333333334</v>
      </c>
      <c r="F287" s="463">
        <v>300000.0</v>
      </c>
      <c r="G287" s="464">
        <f t="shared" si="21"/>
        <v>1276.595745</v>
      </c>
      <c r="H287" s="464">
        <f t="shared" si="7"/>
        <v>8.45</v>
      </c>
      <c r="I287" s="464">
        <f t="shared" si="3"/>
        <v>0</v>
      </c>
      <c r="J287" s="464">
        <f t="shared" si="4"/>
        <v>0</v>
      </c>
      <c r="K287" s="465">
        <f t="shared" si="5"/>
        <v>10787.23404</v>
      </c>
      <c r="L287" s="466"/>
      <c r="M287" s="466"/>
      <c r="N287" s="465">
        <f t="shared" si="20"/>
        <v>702.1276596</v>
      </c>
      <c r="O287" s="465">
        <f t="shared" si="6"/>
        <v>10085.10638</v>
      </c>
      <c r="P287" s="467"/>
    </row>
    <row r="288" ht="26.25" customHeight="1">
      <c r="A288" s="459">
        <v>45958.0</v>
      </c>
      <c r="B288" s="461" t="s">
        <v>2483</v>
      </c>
      <c r="C288" s="461" t="str">
        <f t="shared" si="1"/>
        <v>الثلاثاء</v>
      </c>
      <c r="D288" s="462">
        <v>0.3368055555555556</v>
      </c>
      <c r="E288" s="462">
        <v>0.7083333333333334</v>
      </c>
      <c r="F288" s="463">
        <v>300000.0</v>
      </c>
      <c r="G288" s="464">
        <f t="shared" si="21"/>
        <v>1276.595745</v>
      </c>
      <c r="H288" s="464">
        <f t="shared" si="7"/>
        <v>8.916666667</v>
      </c>
      <c r="I288" s="464">
        <f t="shared" si="3"/>
        <v>0</v>
      </c>
      <c r="J288" s="464">
        <f t="shared" si="4"/>
        <v>0</v>
      </c>
      <c r="K288" s="465">
        <f t="shared" si="5"/>
        <v>11382.97872</v>
      </c>
      <c r="L288" s="466"/>
      <c r="M288" s="466"/>
      <c r="N288" s="465">
        <f t="shared" si="20"/>
        <v>106.3829787</v>
      </c>
      <c r="O288" s="465">
        <f t="shared" si="6"/>
        <v>11276.59574</v>
      </c>
      <c r="P288" s="467"/>
    </row>
    <row r="289" ht="26.25" customHeight="1">
      <c r="A289" s="459">
        <v>45959.0</v>
      </c>
      <c r="B289" s="461" t="s">
        <v>2483</v>
      </c>
      <c r="C289" s="461" t="str">
        <f t="shared" si="1"/>
        <v>الأربعاء</v>
      </c>
      <c r="D289" s="462">
        <v>0.33611111111111114</v>
      </c>
      <c r="E289" s="462">
        <v>0.7076388888888889</v>
      </c>
      <c r="F289" s="463">
        <v>300000.0</v>
      </c>
      <c r="G289" s="464">
        <f t="shared" si="21"/>
        <v>1276.595745</v>
      </c>
      <c r="H289" s="464">
        <f t="shared" si="7"/>
        <v>8.916666667</v>
      </c>
      <c r="I289" s="464">
        <f t="shared" si="3"/>
        <v>0</v>
      </c>
      <c r="J289" s="464">
        <f t="shared" si="4"/>
        <v>0</v>
      </c>
      <c r="K289" s="465">
        <f t="shared" si="5"/>
        <v>11382.97872</v>
      </c>
      <c r="L289" s="466"/>
      <c r="M289" s="466"/>
      <c r="N289" s="465">
        <f t="shared" si="20"/>
        <v>85.10638298</v>
      </c>
      <c r="O289" s="465">
        <f t="shared" si="6"/>
        <v>11297.87234</v>
      </c>
      <c r="P289" s="467"/>
    </row>
    <row r="290" ht="26.25" customHeight="1">
      <c r="A290" s="459">
        <v>45960.0</v>
      </c>
      <c r="B290" s="461" t="s">
        <v>2483</v>
      </c>
      <c r="C290" s="461" t="str">
        <f t="shared" si="1"/>
        <v>الخميس</v>
      </c>
      <c r="D290" s="462">
        <v>0.3375</v>
      </c>
      <c r="E290" s="462">
        <v>0.7083333333333334</v>
      </c>
      <c r="F290" s="463">
        <v>300000.0</v>
      </c>
      <c r="G290" s="464">
        <f t="shared" si="21"/>
        <v>1276.595745</v>
      </c>
      <c r="H290" s="464">
        <f t="shared" si="7"/>
        <v>8.9</v>
      </c>
      <c r="I290" s="464">
        <f t="shared" si="3"/>
        <v>0</v>
      </c>
      <c r="J290" s="464">
        <f t="shared" si="4"/>
        <v>0</v>
      </c>
      <c r="K290" s="465">
        <f t="shared" si="5"/>
        <v>11361.70213</v>
      </c>
      <c r="L290" s="466"/>
      <c r="M290" s="465">
        <v>10000.0</v>
      </c>
      <c r="N290" s="465">
        <f t="shared" si="20"/>
        <v>127.6595745</v>
      </c>
      <c r="O290" s="465">
        <f t="shared" si="6"/>
        <v>1234.042553</v>
      </c>
      <c r="P290" s="467"/>
    </row>
    <row r="291" ht="26.25" customHeight="1">
      <c r="A291" s="459">
        <v>45932.0</v>
      </c>
      <c r="B291" s="460" t="s">
        <v>27</v>
      </c>
      <c r="C291" s="461" t="str">
        <f t="shared" si="1"/>
        <v>الخميس</v>
      </c>
      <c r="D291" s="462">
        <v>0.3402777777777778</v>
      </c>
      <c r="E291" s="462">
        <v>0.7166666666666667</v>
      </c>
      <c r="F291" s="463">
        <v>350000.0</v>
      </c>
      <c r="G291" s="464">
        <f t="shared" si="21"/>
        <v>1489.361702</v>
      </c>
      <c r="H291" s="464">
        <f t="shared" si="7"/>
        <v>9.033333333</v>
      </c>
      <c r="I291" s="464">
        <f t="shared" si="3"/>
        <v>0</v>
      </c>
      <c r="J291" s="464">
        <f t="shared" si="4"/>
        <v>0</v>
      </c>
      <c r="K291" s="465">
        <f t="shared" si="5"/>
        <v>13453.90071</v>
      </c>
      <c r="L291" s="466"/>
      <c r="M291" s="465">
        <v>75000.0</v>
      </c>
      <c r="N291" s="465">
        <f t="shared" si="20"/>
        <v>248.2269504</v>
      </c>
      <c r="O291" s="465">
        <f t="shared" si="6"/>
        <v>-61794.32624</v>
      </c>
      <c r="P291" s="467"/>
    </row>
    <row r="292" ht="26.25" customHeight="1">
      <c r="A292" s="459">
        <v>45934.0</v>
      </c>
      <c r="B292" s="460" t="s">
        <v>27</v>
      </c>
      <c r="C292" s="461" t="str">
        <f t="shared" si="1"/>
        <v>السبت</v>
      </c>
      <c r="D292" s="462">
        <v>0.3402777777777778</v>
      </c>
      <c r="E292" s="462">
        <v>0.5979166666666667</v>
      </c>
      <c r="F292" s="463">
        <v>350000.0</v>
      </c>
      <c r="G292" s="464">
        <f t="shared" si="21"/>
        <v>1489.361702</v>
      </c>
      <c r="H292" s="464">
        <f t="shared" si="7"/>
        <v>6.183333333</v>
      </c>
      <c r="I292" s="464">
        <f t="shared" si="3"/>
        <v>0</v>
      </c>
      <c r="J292" s="464">
        <f t="shared" si="4"/>
        <v>0</v>
      </c>
      <c r="K292" s="465">
        <f t="shared" si="5"/>
        <v>9209.219858</v>
      </c>
      <c r="L292" s="466"/>
      <c r="M292" s="466"/>
      <c r="N292" s="465">
        <f t="shared" si="20"/>
        <v>248.2269504</v>
      </c>
      <c r="O292" s="465">
        <f t="shared" si="6"/>
        <v>8960.992908</v>
      </c>
      <c r="P292" s="467"/>
    </row>
    <row r="293" ht="26.25" customHeight="1">
      <c r="A293" s="459">
        <v>45935.0</v>
      </c>
      <c r="B293" s="460" t="s">
        <v>27</v>
      </c>
      <c r="C293" s="461" t="str">
        <f t="shared" si="1"/>
        <v>الأحد</v>
      </c>
      <c r="D293" s="462">
        <v>0.33958333333333335</v>
      </c>
      <c r="E293" s="462">
        <v>0.7097222222222223</v>
      </c>
      <c r="F293" s="463">
        <v>350000.0</v>
      </c>
      <c r="G293" s="464">
        <f t="shared" si="21"/>
        <v>1489.361702</v>
      </c>
      <c r="H293" s="464">
        <f t="shared" si="7"/>
        <v>8.883333333</v>
      </c>
      <c r="I293" s="464">
        <f t="shared" si="3"/>
        <v>0</v>
      </c>
      <c r="J293" s="464">
        <f t="shared" si="4"/>
        <v>0</v>
      </c>
      <c r="K293" s="465">
        <f t="shared" si="5"/>
        <v>13230.49645</v>
      </c>
      <c r="L293" s="466"/>
      <c r="M293" s="466"/>
      <c r="N293" s="465">
        <f t="shared" si="20"/>
        <v>223.4042553</v>
      </c>
      <c r="O293" s="465">
        <f t="shared" si="6"/>
        <v>13007.0922</v>
      </c>
      <c r="P293" s="467"/>
    </row>
    <row r="294" ht="26.25" customHeight="1">
      <c r="A294" s="459">
        <v>45936.0</v>
      </c>
      <c r="B294" s="460" t="s">
        <v>27</v>
      </c>
      <c r="C294" s="461" t="str">
        <f t="shared" si="1"/>
        <v>الاثنين</v>
      </c>
      <c r="D294" s="462">
        <v>0.3347222222222222</v>
      </c>
      <c r="E294" s="462">
        <v>0.7215277777777778</v>
      </c>
      <c r="F294" s="463">
        <v>350000.0</v>
      </c>
      <c r="G294" s="464">
        <f t="shared" si="21"/>
        <v>1489.361702</v>
      </c>
      <c r="H294" s="464">
        <f t="shared" si="7"/>
        <v>9.283333333</v>
      </c>
      <c r="I294" s="464">
        <f t="shared" si="3"/>
        <v>0</v>
      </c>
      <c r="J294" s="464">
        <f t="shared" si="4"/>
        <v>0</v>
      </c>
      <c r="K294" s="465">
        <f t="shared" si="5"/>
        <v>13826.24113</v>
      </c>
      <c r="L294" s="466"/>
      <c r="M294" s="466"/>
      <c r="N294" s="465">
        <f t="shared" si="20"/>
        <v>49.64539007</v>
      </c>
      <c r="O294" s="465">
        <f t="shared" si="6"/>
        <v>13776.59574</v>
      </c>
      <c r="P294" s="467"/>
    </row>
    <row r="295" ht="26.25" customHeight="1">
      <c r="A295" s="459">
        <v>45937.0</v>
      </c>
      <c r="B295" s="460" t="s">
        <v>27</v>
      </c>
      <c r="C295" s="461" t="str">
        <f t="shared" si="1"/>
        <v>الثلاثاء</v>
      </c>
      <c r="D295" s="462">
        <v>0.3388888888888889</v>
      </c>
      <c r="E295" s="462">
        <v>0.7090277777777778</v>
      </c>
      <c r="F295" s="463">
        <v>350000.0</v>
      </c>
      <c r="G295" s="464">
        <f t="shared" si="21"/>
        <v>1489.361702</v>
      </c>
      <c r="H295" s="464">
        <f t="shared" si="7"/>
        <v>8.883333333</v>
      </c>
      <c r="I295" s="464">
        <f t="shared" si="3"/>
        <v>0</v>
      </c>
      <c r="J295" s="464">
        <f t="shared" si="4"/>
        <v>0</v>
      </c>
      <c r="K295" s="465">
        <f t="shared" si="5"/>
        <v>13230.49645</v>
      </c>
      <c r="L295" s="466"/>
      <c r="M295" s="466"/>
      <c r="N295" s="465">
        <f t="shared" si="20"/>
        <v>198.5815603</v>
      </c>
      <c r="O295" s="465">
        <f t="shared" si="6"/>
        <v>13031.91489</v>
      </c>
      <c r="P295" s="474"/>
    </row>
    <row r="296" ht="26.25" customHeight="1">
      <c r="A296" s="459">
        <v>45938.0</v>
      </c>
      <c r="B296" s="460" t="s">
        <v>27</v>
      </c>
      <c r="C296" s="461" t="str">
        <f t="shared" si="1"/>
        <v>الأربعاء</v>
      </c>
      <c r="D296" s="462">
        <v>0.3333333333333333</v>
      </c>
      <c r="E296" s="462">
        <v>0.7131944444444445</v>
      </c>
      <c r="F296" s="463">
        <v>350000.0</v>
      </c>
      <c r="G296" s="464">
        <f t="shared" si="21"/>
        <v>1489.361702</v>
      </c>
      <c r="H296" s="464">
        <f t="shared" si="7"/>
        <v>9.116666667</v>
      </c>
      <c r="I296" s="464">
        <f t="shared" si="3"/>
        <v>0</v>
      </c>
      <c r="J296" s="464">
        <f t="shared" si="4"/>
        <v>0</v>
      </c>
      <c r="K296" s="465">
        <f t="shared" si="5"/>
        <v>13578.01418</v>
      </c>
      <c r="L296" s="466"/>
      <c r="M296" s="466"/>
      <c r="N296" s="465">
        <f t="shared" si="20"/>
        <v>0</v>
      </c>
      <c r="O296" s="465">
        <f t="shared" si="6"/>
        <v>13578.01418</v>
      </c>
      <c r="P296" s="467"/>
    </row>
    <row r="297" ht="26.25" customHeight="1">
      <c r="A297" s="459">
        <v>45939.0</v>
      </c>
      <c r="B297" s="460" t="s">
        <v>27</v>
      </c>
      <c r="C297" s="461" t="str">
        <f t="shared" si="1"/>
        <v>الخميس</v>
      </c>
      <c r="D297" s="462">
        <v>0.3333333333333333</v>
      </c>
      <c r="E297" s="462">
        <v>0.7916666666666666</v>
      </c>
      <c r="F297" s="463">
        <v>350000.0</v>
      </c>
      <c r="G297" s="464">
        <f t="shared" si="21"/>
        <v>1489.361702</v>
      </c>
      <c r="H297" s="464">
        <f t="shared" si="7"/>
        <v>10</v>
      </c>
      <c r="I297" s="464">
        <f t="shared" si="3"/>
        <v>1</v>
      </c>
      <c r="J297" s="464">
        <f t="shared" si="4"/>
        <v>0</v>
      </c>
      <c r="K297" s="465">
        <f t="shared" si="5"/>
        <v>17127.65957</v>
      </c>
      <c r="L297" s="466"/>
      <c r="M297" s="466"/>
      <c r="N297" s="465">
        <f t="shared" si="20"/>
        <v>0</v>
      </c>
      <c r="O297" s="465">
        <f t="shared" si="6"/>
        <v>17127.65957</v>
      </c>
      <c r="P297" s="467"/>
    </row>
    <row r="298" ht="26.25" customHeight="1">
      <c r="A298" s="459">
        <v>45941.0</v>
      </c>
      <c r="B298" s="460" t="s">
        <v>27</v>
      </c>
      <c r="C298" s="461" t="str">
        <f t="shared" si="1"/>
        <v>السبت</v>
      </c>
      <c r="D298" s="462">
        <v>0.27569444444444446</v>
      </c>
      <c r="E298" s="462">
        <v>0.7208333333333333</v>
      </c>
      <c r="F298" s="463">
        <v>350000.0</v>
      </c>
      <c r="G298" s="464">
        <f t="shared" si="21"/>
        <v>1489.361702</v>
      </c>
      <c r="H298" s="464">
        <f t="shared" si="7"/>
        <v>10.68333333</v>
      </c>
      <c r="I298" s="464">
        <f t="shared" si="3"/>
        <v>0</v>
      </c>
      <c r="J298" s="464">
        <f t="shared" si="4"/>
        <v>0</v>
      </c>
      <c r="K298" s="465">
        <f t="shared" si="5"/>
        <v>15911.34752</v>
      </c>
      <c r="L298" s="466"/>
      <c r="M298" s="465">
        <v>35000.0</v>
      </c>
      <c r="N298" s="465">
        <f t="shared" si="20"/>
        <v>0</v>
      </c>
      <c r="O298" s="465">
        <f t="shared" si="6"/>
        <v>-19088.65248</v>
      </c>
      <c r="P298" s="467"/>
    </row>
    <row r="299" ht="26.25" customHeight="1">
      <c r="A299" s="459">
        <v>45942.0</v>
      </c>
      <c r="B299" s="460" t="s">
        <v>27</v>
      </c>
      <c r="C299" s="461" t="str">
        <f t="shared" si="1"/>
        <v>الأحد</v>
      </c>
      <c r="D299" s="462">
        <v>0.3333333333333333</v>
      </c>
      <c r="E299" s="462">
        <v>0.7180555555555556</v>
      </c>
      <c r="F299" s="463">
        <v>350000.0</v>
      </c>
      <c r="G299" s="464">
        <f t="shared" si="21"/>
        <v>1489.361702</v>
      </c>
      <c r="H299" s="464">
        <f t="shared" si="7"/>
        <v>9.233333333</v>
      </c>
      <c r="I299" s="464">
        <f t="shared" si="3"/>
        <v>0</v>
      </c>
      <c r="J299" s="464">
        <f t="shared" si="4"/>
        <v>0</v>
      </c>
      <c r="K299" s="465">
        <f t="shared" si="5"/>
        <v>13751.77305</v>
      </c>
      <c r="L299" s="466"/>
      <c r="M299" s="466"/>
      <c r="N299" s="465">
        <f t="shared" si="20"/>
        <v>0</v>
      </c>
      <c r="O299" s="465">
        <f t="shared" si="6"/>
        <v>13751.77305</v>
      </c>
      <c r="P299" s="467"/>
    </row>
    <row r="300" ht="26.25" customHeight="1">
      <c r="A300" s="459">
        <v>45943.0</v>
      </c>
      <c r="B300" s="460" t="s">
        <v>27</v>
      </c>
      <c r="C300" s="461" t="str">
        <f t="shared" si="1"/>
        <v>الاثنين</v>
      </c>
      <c r="D300" s="462">
        <v>0.3527777777777778</v>
      </c>
      <c r="E300" s="462">
        <v>0.7090277777777778</v>
      </c>
      <c r="F300" s="463">
        <v>350000.0</v>
      </c>
      <c r="G300" s="464">
        <f t="shared" si="21"/>
        <v>1489.361702</v>
      </c>
      <c r="H300" s="464">
        <f t="shared" si="7"/>
        <v>8.55</v>
      </c>
      <c r="I300" s="464">
        <f t="shared" si="3"/>
        <v>0</v>
      </c>
      <c r="J300" s="464">
        <f t="shared" si="4"/>
        <v>0</v>
      </c>
      <c r="K300" s="465">
        <f t="shared" si="5"/>
        <v>12734.04255</v>
      </c>
      <c r="L300" s="466"/>
      <c r="M300" s="466"/>
      <c r="N300" s="465">
        <f t="shared" si="20"/>
        <v>695.035461</v>
      </c>
      <c r="O300" s="465">
        <f t="shared" si="6"/>
        <v>12039.00709</v>
      </c>
      <c r="P300" s="467"/>
    </row>
    <row r="301" ht="26.25" customHeight="1">
      <c r="A301" s="459">
        <v>45944.0</v>
      </c>
      <c r="B301" s="460" t="s">
        <v>27</v>
      </c>
      <c r="C301" s="461" t="str">
        <f t="shared" si="1"/>
        <v>الثلاثاء</v>
      </c>
      <c r="D301" s="462">
        <v>0.3333333333333333</v>
      </c>
      <c r="E301" s="462">
        <v>0.7291666666666666</v>
      </c>
      <c r="F301" s="463">
        <v>350000.0</v>
      </c>
      <c r="G301" s="464">
        <f t="shared" si="21"/>
        <v>1489.361702</v>
      </c>
      <c r="H301" s="464">
        <f t="shared" si="7"/>
        <v>9.5</v>
      </c>
      <c r="I301" s="464">
        <f t="shared" si="3"/>
        <v>0</v>
      </c>
      <c r="J301" s="464">
        <f t="shared" si="4"/>
        <v>0</v>
      </c>
      <c r="K301" s="465">
        <f t="shared" si="5"/>
        <v>14148.93617</v>
      </c>
      <c r="L301" s="466"/>
      <c r="M301" s="466"/>
      <c r="N301" s="465">
        <f t="shared" si="20"/>
        <v>0</v>
      </c>
      <c r="O301" s="465">
        <f t="shared" si="6"/>
        <v>14148.93617</v>
      </c>
      <c r="P301" s="467"/>
    </row>
    <row r="302" ht="26.25" customHeight="1">
      <c r="A302" s="459">
        <v>45945.0</v>
      </c>
      <c r="B302" s="460" t="s">
        <v>27</v>
      </c>
      <c r="C302" s="461" t="str">
        <f t="shared" si="1"/>
        <v>الأربعاء</v>
      </c>
      <c r="D302" s="462">
        <v>0.35138888888888886</v>
      </c>
      <c r="E302" s="462">
        <v>0.7652777777777777</v>
      </c>
      <c r="F302" s="463">
        <v>350000.0</v>
      </c>
      <c r="G302" s="464">
        <f t="shared" si="21"/>
        <v>1489.361702</v>
      </c>
      <c r="H302" s="464">
        <f t="shared" si="7"/>
        <v>9.566666667</v>
      </c>
      <c r="I302" s="464">
        <f t="shared" si="3"/>
        <v>0.3666666667</v>
      </c>
      <c r="J302" s="464">
        <f t="shared" si="4"/>
        <v>0</v>
      </c>
      <c r="K302" s="465">
        <f t="shared" si="5"/>
        <v>15067.37589</v>
      </c>
      <c r="L302" s="466"/>
      <c r="M302" s="466"/>
      <c r="N302" s="465">
        <f t="shared" si="20"/>
        <v>645.3900709</v>
      </c>
      <c r="O302" s="465">
        <f t="shared" si="6"/>
        <v>14421.98582</v>
      </c>
      <c r="P302" s="467"/>
    </row>
    <row r="303" ht="26.25" customHeight="1">
      <c r="A303" s="459">
        <v>45946.0</v>
      </c>
      <c r="B303" s="460" t="s">
        <v>27</v>
      </c>
      <c r="C303" s="461" t="str">
        <f t="shared" si="1"/>
        <v>الخميس</v>
      </c>
      <c r="D303" s="462">
        <v>0.3333333333333333</v>
      </c>
      <c r="E303" s="462">
        <v>0.8604166666666667</v>
      </c>
      <c r="F303" s="463">
        <v>350000.0</v>
      </c>
      <c r="G303" s="464">
        <f t="shared" si="21"/>
        <v>1489.361702</v>
      </c>
      <c r="H303" s="464">
        <f t="shared" si="7"/>
        <v>10</v>
      </c>
      <c r="I303" s="464">
        <f t="shared" si="3"/>
        <v>2.65</v>
      </c>
      <c r="J303" s="464">
        <f t="shared" si="4"/>
        <v>0</v>
      </c>
      <c r="K303" s="465">
        <f t="shared" si="5"/>
        <v>20813.82979</v>
      </c>
      <c r="L303" s="466"/>
      <c r="M303" s="465">
        <v>50000.0</v>
      </c>
      <c r="N303" s="465">
        <f t="shared" si="20"/>
        <v>0</v>
      </c>
      <c r="O303" s="465">
        <f t="shared" si="6"/>
        <v>-29186.17021</v>
      </c>
      <c r="P303" s="467"/>
    </row>
    <row r="304" ht="26.25" customHeight="1">
      <c r="A304" s="459">
        <v>45948.0</v>
      </c>
      <c r="B304" s="460" t="s">
        <v>27</v>
      </c>
      <c r="C304" s="461" t="str">
        <f t="shared" si="1"/>
        <v>السبت</v>
      </c>
      <c r="D304" s="462">
        <v>0.46111111111111114</v>
      </c>
      <c r="E304" s="462">
        <v>0.7548611111111111</v>
      </c>
      <c r="F304" s="463">
        <v>350000.0</v>
      </c>
      <c r="G304" s="464">
        <f t="shared" si="21"/>
        <v>1489.361702</v>
      </c>
      <c r="H304" s="464">
        <f t="shared" si="7"/>
        <v>6.933333333</v>
      </c>
      <c r="I304" s="464">
        <f t="shared" si="3"/>
        <v>0.1166666667</v>
      </c>
      <c r="J304" s="464">
        <f t="shared" si="4"/>
        <v>0</v>
      </c>
      <c r="K304" s="465">
        <f t="shared" si="5"/>
        <v>10586.87943</v>
      </c>
      <c r="L304" s="466"/>
      <c r="M304" s="465">
        <v>35000.0</v>
      </c>
      <c r="N304" s="465">
        <f t="shared" si="20"/>
        <v>4567.375887</v>
      </c>
      <c r="O304" s="465">
        <f t="shared" si="6"/>
        <v>-28980.49645</v>
      </c>
      <c r="P304" s="467"/>
    </row>
    <row r="305" ht="26.25" customHeight="1">
      <c r="A305" s="459">
        <v>45949.0</v>
      </c>
      <c r="B305" s="460" t="s">
        <v>27</v>
      </c>
      <c r="C305" s="461" t="str">
        <f t="shared" si="1"/>
        <v>الأحد</v>
      </c>
      <c r="D305" s="462">
        <v>0.35208333333333336</v>
      </c>
      <c r="E305" s="462">
        <v>0.7194444444444444</v>
      </c>
      <c r="F305" s="463">
        <v>350000.0</v>
      </c>
      <c r="G305" s="464">
        <f t="shared" si="21"/>
        <v>1489.361702</v>
      </c>
      <c r="H305" s="464">
        <f t="shared" si="7"/>
        <v>8.816666667</v>
      </c>
      <c r="I305" s="464">
        <f t="shared" si="3"/>
        <v>0</v>
      </c>
      <c r="J305" s="464">
        <f t="shared" si="4"/>
        <v>0</v>
      </c>
      <c r="K305" s="465">
        <f t="shared" si="5"/>
        <v>13131.20567</v>
      </c>
      <c r="L305" s="466"/>
      <c r="M305" s="466"/>
      <c r="N305" s="465">
        <f t="shared" si="20"/>
        <v>670.212766</v>
      </c>
      <c r="O305" s="465">
        <f t="shared" si="6"/>
        <v>12460.99291</v>
      </c>
      <c r="P305" s="467"/>
    </row>
    <row r="306" ht="26.25" customHeight="1">
      <c r="A306" s="459">
        <v>45954.0</v>
      </c>
      <c r="B306" s="460" t="s">
        <v>27</v>
      </c>
      <c r="C306" s="461" t="str">
        <f t="shared" si="1"/>
        <v>الجمعة</v>
      </c>
      <c r="D306" s="462">
        <v>0.45902777777777776</v>
      </c>
      <c r="E306" s="462">
        <v>0.73125</v>
      </c>
      <c r="F306" s="463">
        <v>350000.0</v>
      </c>
      <c r="G306" s="464">
        <f t="shared" si="21"/>
        <v>1489.361702</v>
      </c>
      <c r="H306" s="464">
        <f t="shared" si="7"/>
        <v>0</v>
      </c>
      <c r="I306" s="464">
        <f t="shared" si="3"/>
        <v>0</v>
      </c>
      <c r="J306" s="464">
        <f t="shared" si="4"/>
        <v>6.533333333</v>
      </c>
      <c r="K306" s="465">
        <f t="shared" si="5"/>
        <v>19460.99291</v>
      </c>
      <c r="L306" s="466"/>
      <c r="M306" s="466"/>
      <c r="N306" s="465">
        <f t="shared" si="20"/>
        <v>0</v>
      </c>
      <c r="O306" s="465">
        <f t="shared" si="6"/>
        <v>19460.99291</v>
      </c>
      <c r="P306" s="467"/>
    </row>
    <row r="307" ht="26.25" customHeight="1">
      <c r="A307" s="459">
        <v>45955.0</v>
      </c>
      <c r="B307" s="460" t="s">
        <v>27</v>
      </c>
      <c r="C307" s="461" t="str">
        <f t="shared" si="1"/>
        <v>السبت</v>
      </c>
      <c r="D307" s="462">
        <v>0.33055555555555555</v>
      </c>
      <c r="E307" s="462">
        <v>0.7118055555555556</v>
      </c>
      <c r="F307" s="463">
        <v>350000.0</v>
      </c>
      <c r="G307" s="464">
        <f t="shared" si="21"/>
        <v>1489.361702</v>
      </c>
      <c r="H307" s="464">
        <f t="shared" si="7"/>
        <v>9.15</v>
      </c>
      <c r="I307" s="464">
        <f t="shared" si="3"/>
        <v>0</v>
      </c>
      <c r="J307" s="464">
        <f t="shared" si="4"/>
        <v>0</v>
      </c>
      <c r="K307" s="465">
        <f t="shared" si="5"/>
        <v>13627.65957</v>
      </c>
      <c r="L307" s="466"/>
      <c r="M307" s="466"/>
      <c r="N307" s="465">
        <v>60000.0</v>
      </c>
      <c r="O307" s="465">
        <f t="shared" si="6"/>
        <v>-46372.34043</v>
      </c>
      <c r="P307" s="467"/>
    </row>
    <row r="308" ht="26.25" customHeight="1">
      <c r="A308" s="459">
        <v>45956.0</v>
      </c>
      <c r="B308" s="460" t="s">
        <v>27</v>
      </c>
      <c r="C308" s="461" t="str">
        <f t="shared" si="1"/>
        <v>الأحد</v>
      </c>
      <c r="D308" s="462">
        <v>0.39305555555555555</v>
      </c>
      <c r="E308" s="462">
        <v>0.7118055555555556</v>
      </c>
      <c r="F308" s="463">
        <v>350000.0</v>
      </c>
      <c r="G308" s="464">
        <f t="shared" si="21"/>
        <v>1489.361702</v>
      </c>
      <c r="H308" s="464">
        <f t="shared" si="7"/>
        <v>7.65</v>
      </c>
      <c r="I308" s="464">
        <f t="shared" si="3"/>
        <v>0</v>
      </c>
      <c r="J308" s="464">
        <f t="shared" si="4"/>
        <v>0</v>
      </c>
      <c r="K308" s="465">
        <f t="shared" si="5"/>
        <v>11393.61702</v>
      </c>
      <c r="L308" s="466"/>
      <c r="M308" s="466"/>
      <c r="N308" s="465">
        <f t="shared" ref="N308:N312" si="22">IF(C308="الجمعة",0,IF(D308&gt;TIME(8,0,0),(D308-TIME(8,0,0))*24*60*(G308/60),0))</f>
        <v>2134.751773</v>
      </c>
      <c r="O308" s="465">
        <f t="shared" si="6"/>
        <v>9258.865248</v>
      </c>
      <c r="P308" s="467"/>
    </row>
    <row r="309" ht="26.25" customHeight="1">
      <c r="A309" s="459">
        <v>45957.0</v>
      </c>
      <c r="B309" s="460" t="s">
        <v>27</v>
      </c>
      <c r="C309" s="461" t="str">
        <f t="shared" si="1"/>
        <v>الاثنين</v>
      </c>
      <c r="D309" s="462">
        <v>0.35625</v>
      </c>
      <c r="E309" s="462">
        <v>0.7069444444444445</v>
      </c>
      <c r="F309" s="463">
        <v>350000.0</v>
      </c>
      <c r="G309" s="464">
        <f t="shared" si="21"/>
        <v>1489.361702</v>
      </c>
      <c r="H309" s="464">
        <f t="shared" si="7"/>
        <v>8.416666667</v>
      </c>
      <c r="I309" s="464">
        <f t="shared" si="3"/>
        <v>0</v>
      </c>
      <c r="J309" s="464">
        <f t="shared" si="4"/>
        <v>0</v>
      </c>
      <c r="K309" s="465">
        <f t="shared" si="5"/>
        <v>12535.46099</v>
      </c>
      <c r="L309" s="466"/>
      <c r="M309" s="465">
        <v>10000.0</v>
      </c>
      <c r="N309" s="465">
        <f t="shared" si="22"/>
        <v>819.1489362</v>
      </c>
      <c r="O309" s="465">
        <f t="shared" si="6"/>
        <v>1716.312057</v>
      </c>
      <c r="P309" s="467"/>
    </row>
    <row r="310" ht="26.25" customHeight="1">
      <c r="A310" s="459">
        <v>45958.0</v>
      </c>
      <c r="B310" s="460" t="s">
        <v>27</v>
      </c>
      <c r="C310" s="461" t="str">
        <f t="shared" si="1"/>
        <v>الثلاثاء</v>
      </c>
      <c r="D310" s="462">
        <v>0.3388888888888889</v>
      </c>
      <c r="E310" s="462">
        <v>0.7090277777777778</v>
      </c>
      <c r="F310" s="463">
        <v>350000.0</v>
      </c>
      <c r="G310" s="464">
        <f t="shared" si="21"/>
        <v>1489.361702</v>
      </c>
      <c r="H310" s="464">
        <f t="shared" si="7"/>
        <v>8.883333333</v>
      </c>
      <c r="I310" s="464">
        <f t="shared" si="3"/>
        <v>0</v>
      </c>
      <c r="J310" s="464">
        <f t="shared" si="4"/>
        <v>0</v>
      </c>
      <c r="K310" s="465">
        <f t="shared" si="5"/>
        <v>13230.49645</v>
      </c>
      <c r="L310" s="466"/>
      <c r="M310" s="466"/>
      <c r="N310" s="465">
        <f t="shared" si="22"/>
        <v>198.5815603</v>
      </c>
      <c r="O310" s="465">
        <f t="shared" si="6"/>
        <v>13031.91489</v>
      </c>
      <c r="P310" s="467"/>
    </row>
    <row r="311" ht="26.25" customHeight="1">
      <c r="A311" s="459">
        <v>45959.0</v>
      </c>
      <c r="B311" s="460" t="s">
        <v>27</v>
      </c>
      <c r="C311" s="461" t="str">
        <f t="shared" si="1"/>
        <v>الأربعاء</v>
      </c>
      <c r="D311" s="462">
        <v>0.33611111111111114</v>
      </c>
      <c r="E311" s="462">
        <v>0.7319444444444444</v>
      </c>
      <c r="F311" s="463">
        <v>350000.0</v>
      </c>
      <c r="G311" s="464">
        <f t="shared" si="21"/>
        <v>1489.361702</v>
      </c>
      <c r="H311" s="464">
        <f t="shared" si="7"/>
        <v>9.5</v>
      </c>
      <c r="I311" s="464">
        <f t="shared" si="3"/>
        <v>0</v>
      </c>
      <c r="J311" s="464">
        <f t="shared" si="4"/>
        <v>0</v>
      </c>
      <c r="K311" s="465">
        <f t="shared" si="5"/>
        <v>14148.93617</v>
      </c>
      <c r="L311" s="466"/>
      <c r="M311" s="466"/>
      <c r="N311" s="465">
        <f t="shared" si="22"/>
        <v>99.29078014</v>
      </c>
      <c r="O311" s="465">
        <f t="shared" si="6"/>
        <v>14049.64539</v>
      </c>
      <c r="P311" s="467"/>
    </row>
    <row r="312" ht="26.25" customHeight="1">
      <c r="A312" s="459">
        <v>45960.0</v>
      </c>
      <c r="B312" s="460" t="s">
        <v>27</v>
      </c>
      <c r="C312" s="461" t="str">
        <f t="shared" si="1"/>
        <v>الخميس</v>
      </c>
      <c r="D312" s="462">
        <v>0.3375</v>
      </c>
      <c r="E312" s="462">
        <v>0.7076388888888889</v>
      </c>
      <c r="F312" s="463">
        <v>350000.0</v>
      </c>
      <c r="G312" s="464">
        <f t="shared" si="21"/>
        <v>1489.361702</v>
      </c>
      <c r="H312" s="464">
        <f t="shared" si="7"/>
        <v>8.883333333</v>
      </c>
      <c r="I312" s="464">
        <f t="shared" si="3"/>
        <v>0</v>
      </c>
      <c r="J312" s="464">
        <f t="shared" si="4"/>
        <v>0</v>
      </c>
      <c r="K312" s="465">
        <f t="shared" si="5"/>
        <v>13230.49645</v>
      </c>
      <c r="L312" s="466"/>
      <c r="M312" s="465">
        <v>10000.0</v>
      </c>
      <c r="N312" s="465">
        <f t="shared" si="22"/>
        <v>148.9361702</v>
      </c>
      <c r="O312" s="465">
        <f t="shared" si="6"/>
        <v>3081.560284</v>
      </c>
      <c r="P312" s="470"/>
    </row>
    <row r="313" ht="26.25" customHeight="1">
      <c r="A313" s="459">
        <v>45931.0</v>
      </c>
      <c r="B313" s="460" t="s">
        <v>16</v>
      </c>
      <c r="C313" s="461" t="str">
        <f t="shared" si="1"/>
        <v>الأربعاء</v>
      </c>
      <c r="D313" s="462">
        <v>0.4722222222222222</v>
      </c>
      <c r="E313" s="462">
        <v>0.75</v>
      </c>
      <c r="F313" s="463">
        <v>650000.0</v>
      </c>
      <c r="G313" s="464">
        <f t="shared" si="21"/>
        <v>2765.957447</v>
      </c>
      <c r="H313" s="464">
        <f t="shared" si="7"/>
        <v>6.666666667</v>
      </c>
      <c r="I313" s="464">
        <f t="shared" si="3"/>
        <v>0</v>
      </c>
      <c r="J313" s="464">
        <f t="shared" si="4"/>
        <v>0</v>
      </c>
      <c r="K313" s="465">
        <f t="shared" si="5"/>
        <v>18439.71631</v>
      </c>
      <c r="L313" s="466"/>
      <c r="M313" s="466"/>
      <c r="N313" s="465">
        <v>0.0</v>
      </c>
      <c r="O313" s="465">
        <f t="shared" si="6"/>
        <v>18439.71631</v>
      </c>
      <c r="P313" s="467"/>
    </row>
    <row r="314" ht="26.25" customHeight="1">
      <c r="A314" s="459">
        <v>45932.0</v>
      </c>
      <c r="B314" s="460" t="s">
        <v>16</v>
      </c>
      <c r="C314" s="461" t="str">
        <f t="shared" si="1"/>
        <v>الخميس</v>
      </c>
      <c r="D314" s="462">
        <v>0.3625</v>
      </c>
      <c r="E314" s="462">
        <v>0.7472222222222222</v>
      </c>
      <c r="F314" s="463">
        <v>650000.0</v>
      </c>
      <c r="G314" s="464">
        <f t="shared" si="21"/>
        <v>2765.957447</v>
      </c>
      <c r="H314" s="464">
        <f t="shared" si="7"/>
        <v>9.233333333</v>
      </c>
      <c r="I314" s="464">
        <f t="shared" si="3"/>
        <v>0</v>
      </c>
      <c r="J314" s="464">
        <f t="shared" si="4"/>
        <v>0</v>
      </c>
      <c r="K314" s="465">
        <f t="shared" si="5"/>
        <v>25539.00709</v>
      </c>
      <c r="L314" s="466"/>
      <c r="M314" s="466"/>
      <c r="N314" s="465">
        <f t="shared" ref="N314:N366" si="23">IF(C314="الجمعة",0,IF(D314&gt;TIME(8,0,0),(D314-TIME(8,0,0))*24*60*(G314/60),0))</f>
        <v>1936.170213</v>
      </c>
      <c r="O314" s="465">
        <f t="shared" si="6"/>
        <v>23602.83688</v>
      </c>
      <c r="P314" s="467"/>
    </row>
    <row r="315" ht="26.25" customHeight="1">
      <c r="A315" s="459">
        <v>45934.0</v>
      </c>
      <c r="B315" s="460" t="s">
        <v>16</v>
      </c>
      <c r="C315" s="461" t="str">
        <f t="shared" si="1"/>
        <v>السبت</v>
      </c>
      <c r="D315" s="462">
        <v>0.37222222222222223</v>
      </c>
      <c r="E315" s="462">
        <v>0.75</v>
      </c>
      <c r="F315" s="463">
        <v>650000.0</v>
      </c>
      <c r="G315" s="464">
        <f t="shared" si="21"/>
        <v>2765.957447</v>
      </c>
      <c r="H315" s="464">
        <f t="shared" si="7"/>
        <v>9.066666667</v>
      </c>
      <c r="I315" s="464">
        <f t="shared" si="3"/>
        <v>0</v>
      </c>
      <c r="J315" s="464">
        <f t="shared" si="4"/>
        <v>0</v>
      </c>
      <c r="K315" s="465">
        <f t="shared" si="5"/>
        <v>25078.01418</v>
      </c>
      <c r="L315" s="466"/>
      <c r="M315" s="466"/>
      <c r="N315" s="465">
        <f t="shared" si="23"/>
        <v>2581.560284</v>
      </c>
      <c r="O315" s="465">
        <f t="shared" si="6"/>
        <v>22496.4539</v>
      </c>
      <c r="P315" s="467"/>
    </row>
    <row r="316" ht="26.25" customHeight="1">
      <c r="A316" s="459">
        <v>45935.0</v>
      </c>
      <c r="B316" s="460" t="s">
        <v>16</v>
      </c>
      <c r="C316" s="461" t="str">
        <f t="shared" si="1"/>
        <v>الأحد</v>
      </c>
      <c r="D316" s="462">
        <v>0.3701388888888889</v>
      </c>
      <c r="E316" s="462">
        <v>0.75</v>
      </c>
      <c r="F316" s="463">
        <v>650000.0</v>
      </c>
      <c r="G316" s="464">
        <f t="shared" si="21"/>
        <v>2765.957447</v>
      </c>
      <c r="H316" s="464">
        <f t="shared" si="7"/>
        <v>9.116666667</v>
      </c>
      <c r="I316" s="464">
        <f t="shared" si="3"/>
        <v>0</v>
      </c>
      <c r="J316" s="464">
        <f t="shared" si="4"/>
        <v>0</v>
      </c>
      <c r="K316" s="465">
        <f t="shared" si="5"/>
        <v>25216.31206</v>
      </c>
      <c r="L316" s="466"/>
      <c r="M316" s="466"/>
      <c r="N316" s="465">
        <f t="shared" si="23"/>
        <v>2443.262411</v>
      </c>
      <c r="O316" s="465">
        <f t="shared" si="6"/>
        <v>22773.04965</v>
      </c>
      <c r="P316" s="467"/>
    </row>
    <row r="317" ht="26.25" customHeight="1">
      <c r="A317" s="459">
        <v>45936.0</v>
      </c>
      <c r="B317" s="460" t="s">
        <v>16</v>
      </c>
      <c r="C317" s="461" t="str">
        <f t="shared" si="1"/>
        <v>الاثنين</v>
      </c>
      <c r="D317" s="462">
        <v>0.32222222222222224</v>
      </c>
      <c r="E317" s="462">
        <v>0.8173611111111111</v>
      </c>
      <c r="F317" s="463">
        <v>650000.0</v>
      </c>
      <c r="G317" s="464">
        <f t="shared" si="21"/>
        <v>2765.957447</v>
      </c>
      <c r="H317" s="464">
        <f t="shared" si="7"/>
        <v>10.26666667</v>
      </c>
      <c r="I317" s="464">
        <f t="shared" si="3"/>
        <v>1.616666667</v>
      </c>
      <c r="J317" s="464">
        <f t="shared" si="4"/>
        <v>0</v>
      </c>
      <c r="K317" s="465">
        <f t="shared" si="5"/>
        <v>35104.60993</v>
      </c>
      <c r="L317" s="466"/>
      <c r="M317" s="466"/>
      <c r="N317" s="465">
        <f t="shared" si="23"/>
        <v>0</v>
      </c>
      <c r="O317" s="465">
        <f t="shared" si="6"/>
        <v>35104.60993</v>
      </c>
      <c r="P317" s="467"/>
    </row>
    <row r="318" ht="26.25" customHeight="1">
      <c r="A318" s="459">
        <v>45937.0</v>
      </c>
      <c r="B318" s="460" t="s">
        <v>16</v>
      </c>
      <c r="C318" s="461" t="str">
        <f t="shared" si="1"/>
        <v>الثلاثاء</v>
      </c>
      <c r="D318" s="462">
        <v>0.4111111111111111</v>
      </c>
      <c r="E318" s="462">
        <v>0.7083333333333334</v>
      </c>
      <c r="F318" s="463">
        <v>650000.0</v>
      </c>
      <c r="G318" s="464">
        <f t="shared" si="21"/>
        <v>2765.957447</v>
      </c>
      <c r="H318" s="464">
        <f t="shared" si="7"/>
        <v>7.133333333</v>
      </c>
      <c r="I318" s="464">
        <f t="shared" si="3"/>
        <v>0</v>
      </c>
      <c r="J318" s="464">
        <f t="shared" si="4"/>
        <v>0</v>
      </c>
      <c r="K318" s="465">
        <f t="shared" si="5"/>
        <v>19730.49645</v>
      </c>
      <c r="L318" s="466"/>
      <c r="M318" s="466"/>
      <c r="N318" s="465">
        <f t="shared" si="23"/>
        <v>5163.120567</v>
      </c>
      <c r="O318" s="465">
        <f t="shared" si="6"/>
        <v>14567.37589</v>
      </c>
      <c r="P318" s="467"/>
    </row>
    <row r="319" ht="26.25" customHeight="1">
      <c r="A319" s="459">
        <v>45938.0</v>
      </c>
      <c r="B319" s="460" t="s">
        <v>16</v>
      </c>
      <c r="C319" s="461" t="str">
        <f t="shared" si="1"/>
        <v>الأربعاء</v>
      </c>
      <c r="D319" s="462">
        <v>0.33055555555555555</v>
      </c>
      <c r="E319" s="462">
        <v>0.7083333333333334</v>
      </c>
      <c r="F319" s="463">
        <v>650000.0</v>
      </c>
      <c r="G319" s="464">
        <f t="shared" si="21"/>
        <v>2765.957447</v>
      </c>
      <c r="H319" s="464">
        <f t="shared" si="7"/>
        <v>9.066666667</v>
      </c>
      <c r="I319" s="464">
        <f t="shared" si="3"/>
        <v>0</v>
      </c>
      <c r="J319" s="464">
        <f t="shared" si="4"/>
        <v>0</v>
      </c>
      <c r="K319" s="465">
        <f t="shared" si="5"/>
        <v>25078.01418</v>
      </c>
      <c r="L319" s="466"/>
      <c r="M319" s="466"/>
      <c r="N319" s="465">
        <f t="shared" si="23"/>
        <v>0</v>
      </c>
      <c r="O319" s="465">
        <f t="shared" si="6"/>
        <v>25078.01418</v>
      </c>
      <c r="P319" s="467"/>
    </row>
    <row r="320" ht="26.25" customHeight="1">
      <c r="A320" s="459">
        <v>45939.0</v>
      </c>
      <c r="B320" s="460" t="s">
        <v>16</v>
      </c>
      <c r="C320" s="461" t="str">
        <f t="shared" si="1"/>
        <v>الخميس</v>
      </c>
      <c r="D320" s="462">
        <v>0.4111111111111111</v>
      </c>
      <c r="E320" s="462">
        <v>0.7402777777777778</v>
      </c>
      <c r="F320" s="463">
        <v>650000.0</v>
      </c>
      <c r="G320" s="464">
        <f t="shared" si="21"/>
        <v>2765.957447</v>
      </c>
      <c r="H320" s="464">
        <f t="shared" si="7"/>
        <v>7.9</v>
      </c>
      <c r="I320" s="464">
        <f t="shared" si="3"/>
        <v>0</v>
      </c>
      <c r="J320" s="464">
        <f t="shared" si="4"/>
        <v>0</v>
      </c>
      <c r="K320" s="465">
        <f t="shared" si="5"/>
        <v>21851.06383</v>
      </c>
      <c r="L320" s="466"/>
      <c r="M320" s="466"/>
      <c r="N320" s="465">
        <f t="shared" si="23"/>
        <v>5163.120567</v>
      </c>
      <c r="O320" s="465">
        <f t="shared" si="6"/>
        <v>16687.94326</v>
      </c>
      <c r="P320" s="467"/>
    </row>
    <row r="321" ht="26.25" customHeight="1">
      <c r="A321" s="459">
        <v>45941.0</v>
      </c>
      <c r="B321" s="460" t="s">
        <v>16</v>
      </c>
      <c r="C321" s="461" t="str">
        <f t="shared" si="1"/>
        <v>السبت</v>
      </c>
      <c r="D321" s="462">
        <v>0.42430555555555555</v>
      </c>
      <c r="E321" s="462">
        <v>0.7083333333333334</v>
      </c>
      <c r="F321" s="463">
        <v>650000.0</v>
      </c>
      <c r="G321" s="464">
        <f t="shared" si="21"/>
        <v>2765.957447</v>
      </c>
      <c r="H321" s="464">
        <f t="shared" si="7"/>
        <v>6.816666667</v>
      </c>
      <c r="I321" s="464">
        <f t="shared" si="3"/>
        <v>0</v>
      </c>
      <c r="J321" s="464">
        <f t="shared" si="4"/>
        <v>0</v>
      </c>
      <c r="K321" s="465">
        <f t="shared" si="5"/>
        <v>18854.60993</v>
      </c>
      <c r="L321" s="466"/>
      <c r="M321" s="466"/>
      <c r="N321" s="465">
        <f t="shared" si="23"/>
        <v>6039.007092</v>
      </c>
      <c r="O321" s="465">
        <f t="shared" si="6"/>
        <v>12815.60284</v>
      </c>
      <c r="P321" s="467"/>
    </row>
    <row r="322" ht="26.25" customHeight="1">
      <c r="A322" s="459">
        <v>45942.0</v>
      </c>
      <c r="B322" s="460" t="s">
        <v>16</v>
      </c>
      <c r="C322" s="461" t="str">
        <f t="shared" si="1"/>
        <v>الأحد</v>
      </c>
      <c r="D322" s="462">
        <v>0.38263888888888886</v>
      </c>
      <c r="E322" s="462">
        <v>0.7180555555555556</v>
      </c>
      <c r="F322" s="463">
        <v>650000.0</v>
      </c>
      <c r="G322" s="464">
        <f t="shared" si="21"/>
        <v>2765.957447</v>
      </c>
      <c r="H322" s="464">
        <f t="shared" si="7"/>
        <v>8.05</v>
      </c>
      <c r="I322" s="464">
        <f t="shared" si="3"/>
        <v>0</v>
      </c>
      <c r="J322" s="464">
        <f t="shared" si="4"/>
        <v>0</v>
      </c>
      <c r="K322" s="465">
        <f t="shared" si="5"/>
        <v>22265.95745</v>
      </c>
      <c r="L322" s="466"/>
      <c r="M322" s="466"/>
      <c r="N322" s="465">
        <f t="shared" si="23"/>
        <v>3273.049645</v>
      </c>
      <c r="O322" s="465">
        <f t="shared" si="6"/>
        <v>18992.9078</v>
      </c>
      <c r="P322" s="467"/>
    </row>
    <row r="323" ht="26.25" customHeight="1">
      <c r="A323" s="459">
        <v>45943.0</v>
      </c>
      <c r="B323" s="460" t="s">
        <v>16</v>
      </c>
      <c r="C323" s="461" t="str">
        <f t="shared" si="1"/>
        <v>الاثنين</v>
      </c>
      <c r="D323" s="462">
        <v>0.3486111111111111</v>
      </c>
      <c r="E323" s="462">
        <v>0.7083333333333334</v>
      </c>
      <c r="F323" s="463">
        <v>650000.0</v>
      </c>
      <c r="G323" s="464">
        <f t="shared" si="21"/>
        <v>2765.957447</v>
      </c>
      <c r="H323" s="464">
        <f t="shared" si="7"/>
        <v>8.633333333</v>
      </c>
      <c r="I323" s="464">
        <f t="shared" si="3"/>
        <v>0</v>
      </c>
      <c r="J323" s="464">
        <f t="shared" si="4"/>
        <v>0</v>
      </c>
      <c r="K323" s="465">
        <f t="shared" si="5"/>
        <v>23879.43262</v>
      </c>
      <c r="L323" s="466"/>
      <c r="M323" s="466"/>
      <c r="N323" s="465">
        <f t="shared" si="23"/>
        <v>1014.184397</v>
      </c>
      <c r="O323" s="465">
        <f t="shared" si="6"/>
        <v>22865.24823</v>
      </c>
      <c r="P323" s="467"/>
    </row>
    <row r="324" ht="26.25" customHeight="1">
      <c r="A324" s="459">
        <v>45944.0</v>
      </c>
      <c r="B324" s="460" t="s">
        <v>16</v>
      </c>
      <c r="C324" s="461" t="str">
        <f t="shared" si="1"/>
        <v>الثلاثاء</v>
      </c>
      <c r="D324" s="462">
        <v>0.37083333333333335</v>
      </c>
      <c r="E324" s="462">
        <v>0.7083333333333334</v>
      </c>
      <c r="F324" s="463">
        <v>650000.0</v>
      </c>
      <c r="G324" s="464">
        <f t="shared" si="21"/>
        <v>2765.957447</v>
      </c>
      <c r="H324" s="464">
        <f t="shared" si="7"/>
        <v>8.1</v>
      </c>
      <c r="I324" s="464">
        <f t="shared" si="3"/>
        <v>0</v>
      </c>
      <c r="J324" s="464">
        <f t="shared" si="4"/>
        <v>0</v>
      </c>
      <c r="K324" s="465">
        <f t="shared" si="5"/>
        <v>22404.25532</v>
      </c>
      <c r="L324" s="466"/>
      <c r="M324" s="466"/>
      <c r="N324" s="465">
        <f t="shared" si="23"/>
        <v>2489.361702</v>
      </c>
      <c r="O324" s="465">
        <f t="shared" si="6"/>
        <v>19914.89362</v>
      </c>
      <c r="P324" s="467"/>
    </row>
    <row r="325" ht="26.25" customHeight="1">
      <c r="A325" s="459">
        <v>45945.0</v>
      </c>
      <c r="B325" s="460" t="s">
        <v>16</v>
      </c>
      <c r="C325" s="461" t="str">
        <f t="shared" si="1"/>
        <v>الأربعاء</v>
      </c>
      <c r="D325" s="462">
        <v>0.4097222222222222</v>
      </c>
      <c r="E325" s="462">
        <v>0.7083333333333334</v>
      </c>
      <c r="F325" s="463">
        <v>650000.0</v>
      </c>
      <c r="G325" s="464">
        <f t="shared" si="21"/>
        <v>2765.957447</v>
      </c>
      <c r="H325" s="464">
        <f t="shared" si="7"/>
        <v>7.166666667</v>
      </c>
      <c r="I325" s="464">
        <f t="shared" si="3"/>
        <v>0</v>
      </c>
      <c r="J325" s="464">
        <f t="shared" si="4"/>
        <v>0</v>
      </c>
      <c r="K325" s="465">
        <f t="shared" si="5"/>
        <v>19822.69504</v>
      </c>
      <c r="L325" s="466"/>
      <c r="M325" s="466"/>
      <c r="N325" s="465">
        <f t="shared" si="23"/>
        <v>5070.921986</v>
      </c>
      <c r="O325" s="465">
        <f t="shared" si="6"/>
        <v>14751.77305</v>
      </c>
      <c r="P325" s="467"/>
    </row>
    <row r="326" ht="26.25" customHeight="1">
      <c r="A326" s="459">
        <v>45946.0</v>
      </c>
      <c r="B326" s="460" t="s">
        <v>16</v>
      </c>
      <c r="C326" s="461" t="str">
        <f t="shared" si="1"/>
        <v>الخميس</v>
      </c>
      <c r="D326" s="462">
        <v>0.425</v>
      </c>
      <c r="E326" s="462">
        <v>0.7472222222222222</v>
      </c>
      <c r="F326" s="463">
        <v>650000.0</v>
      </c>
      <c r="G326" s="464">
        <f t="shared" si="21"/>
        <v>2765.957447</v>
      </c>
      <c r="H326" s="464">
        <f t="shared" si="7"/>
        <v>7.733333333</v>
      </c>
      <c r="I326" s="464">
        <f t="shared" si="3"/>
        <v>0</v>
      </c>
      <c r="J326" s="464">
        <f t="shared" si="4"/>
        <v>0</v>
      </c>
      <c r="K326" s="465">
        <f t="shared" si="5"/>
        <v>21390.07092</v>
      </c>
      <c r="L326" s="466"/>
      <c r="M326" s="465">
        <v>374000.0</v>
      </c>
      <c r="N326" s="465">
        <f t="shared" si="23"/>
        <v>6085.106383</v>
      </c>
      <c r="O326" s="465">
        <f t="shared" si="6"/>
        <v>-358695.0355</v>
      </c>
      <c r="P326" s="467"/>
    </row>
    <row r="327" ht="26.25" customHeight="1">
      <c r="A327" s="459">
        <v>45948.0</v>
      </c>
      <c r="B327" s="460" t="s">
        <v>16</v>
      </c>
      <c r="C327" s="461" t="str">
        <f t="shared" si="1"/>
        <v>السبت</v>
      </c>
      <c r="D327" s="462">
        <v>0.41875</v>
      </c>
      <c r="E327" s="462">
        <v>0.7083333333333334</v>
      </c>
      <c r="F327" s="463">
        <v>650000.0</v>
      </c>
      <c r="G327" s="464">
        <f t="shared" si="21"/>
        <v>2765.957447</v>
      </c>
      <c r="H327" s="464">
        <f t="shared" si="7"/>
        <v>6.95</v>
      </c>
      <c r="I327" s="464">
        <f t="shared" si="3"/>
        <v>0</v>
      </c>
      <c r="J327" s="464">
        <f t="shared" si="4"/>
        <v>0</v>
      </c>
      <c r="K327" s="465">
        <f t="shared" si="5"/>
        <v>19223.40426</v>
      </c>
      <c r="L327" s="466"/>
      <c r="M327" s="466"/>
      <c r="N327" s="465">
        <f t="shared" si="23"/>
        <v>5670.212766</v>
      </c>
      <c r="O327" s="465">
        <f t="shared" si="6"/>
        <v>13553.19149</v>
      </c>
      <c r="P327" s="467"/>
    </row>
    <row r="328" ht="26.25" customHeight="1">
      <c r="A328" s="459">
        <v>45949.0</v>
      </c>
      <c r="B328" s="460" t="s">
        <v>16</v>
      </c>
      <c r="C328" s="461" t="str">
        <f t="shared" si="1"/>
        <v>الأحد</v>
      </c>
      <c r="D328" s="462">
        <v>0.39375</v>
      </c>
      <c r="E328" s="462">
        <v>0.775</v>
      </c>
      <c r="F328" s="463">
        <v>650000.0</v>
      </c>
      <c r="G328" s="464">
        <f t="shared" si="21"/>
        <v>2765.957447</v>
      </c>
      <c r="H328" s="464">
        <f t="shared" si="7"/>
        <v>8.55</v>
      </c>
      <c r="I328" s="464">
        <f t="shared" si="3"/>
        <v>0.6</v>
      </c>
      <c r="J328" s="464">
        <f t="shared" si="4"/>
        <v>0</v>
      </c>
      <c r="K328" s="465">
        <f t="shared" si="5"/>
        <v>26138.29787</v>
      </c>
      <c r="L328" s="466"/>
      <c r="M328" s="466"/>
      <c r="N328" s="465">
        <f t="shared" si="23"/>
        <v>4010.638298</v>
      </c>
      <c r="O328" s="465">
        <f t="shared" si="6"/>
        <v>22127.65957</v>
      </c>
      <c r="P328" s="467"/>
    </row>
    <row r="329" ht="26.25" customHeight="1">
      <c r="A329" s="459">
        <v>45950.0</v>
      </c>
      <c r="B329" s="460" t="s">
        <v>16</v>
      </c>
      <c r="C329" s="461" t="str">
        <f t="shared" si="1"/>
        <v>الاثنين</v>
      </c>
      <c r="D329" s="462">
        <v>0.34652777777777777</v>
      </c>
      <c r="E329" s="462">
        <v>0.8277777777777777</v>
      </c>
      <c r="F329" s="463">
        <v>650000.0</v>
      </c>
      <c r="G329" s="464">
        <f t="shared" si="21"/>
        <v>2765.957447</v>
      </c>
      <c r="H329" s="464">
        <f t="shared" si="7"/>
        <v>9.683333333</v>
      </c>
      <c r="I329" s="464">
        <f t="shared" si="3"/>
        <v>1.866666667</v>
      </c>
      <c r="J329" s="464">
        <f t="shared" si="4"/>
        <v>0</v>
      </c>
      <c r="K329" s="465">
        <f t="shared" si="5"/>
        <v>34528.36879</v>
      </c>
      <c r="L329" s="466"/>
      <c r="M329" s="466"/>
      <c r="N329" s="465">
        <f t="shared" si="23"/>
        <v>875.8865248</v>
      </c>
      <c r="O329" s="465">
        <f t="shared" si="6"/>
        <v>33652.48227</v>
      </c>
      <c r="P329" s="467"/>
    </row>
    <row r="330" ht="26.25" customHeight="1">
      <c r="A330" s="459">
        <v>45951.0</v>
      </c>
      <c r="B330" s="460" t="s">
        <v>16</v>
      </c>
      <c r="C330" s="461" t="str">
        <f t="shared" si="1"/>
        <v>الثلاثاء</v>
      </c>
      <c r="D330" s="462">
        <v>0.35625</v>
      </c>
      <c r="E330" s="462">
        <v>0.7840277777777778</v>
      </c>
      <c r="F330" s="463">
        <v>650000.0</v>
      </c>
      <c r="G330" s="464">
        <f t="shared" si="21"/>
        <v>2765.957447</v>
      </c>
      <c r="H330" s="464">
        <f t="shared" si="7"/>
        <v>9.45</v>
      </c>
      <c r="I330" s="464">
        <f t="shared" si="3"/>
        <v>0.8166666667</v>
      </c>
      <c r="J330" s="464">
        <f t="shared" si="4"/>
        <v>0</v>
      </c>
      <c r="K330" s="465">
        <f t="shared" si="5"/>
        <v>29526.59574</v>
      </c>
      <c r="L330" s="466"/>
      <c r="M330" s="466"/>
      <c r="N330" s="465">
        <f t="shared" si="23"/>
        <v>1521.276596</v>
      </c>
      <c r="O330" s="465">
        <f t="shared" si="6"/>
        <v>28005.31915</v>
      </c>
      <c r="P330" s="467"/>
    </row>
    <row r="331" ht="26.25" customHeight="1">
      <c r="A331" s="459">
        <v>45952.0</v>
      </c>
      <c r="B331" s="460" t="s">
        <v>16</v>
      </c>
      <c r="C331" s="461" t="str">
        <f t="shared" si="1"/>
        <v>الأربعاء</v>
      </c>
      <c r="D331" s="462">
        <v>0.4041666666666667</v>
      </c>
      <c r="E331" s="462">
        <v>0.7291666666666666</v>
      </c>
      <c r="F331" s="463">
        <v>650000.0</v>
      </c>
      <c r="G331" s="464">
        <f t="shared" si="21"/>
        <v>2765.957447</v>
      </c>
      <c r="H331" s="464">
        <f t="shared" si="7"/>
        <v>7.8</v>
      </c>
      <c r="I331" s="464">
        <f t="shared" si="3"/>
        <v>0</v>
      </c>
      <c r="J331" s="464">
        <f t="shared" si="4"/>
        <v>0</v>
      </c>
      <c r="K331" s="465">
        <f t="shared" si="5"/>
        <v>21574.46809</v>
      </c>
      <c r="L331" s="466"/>
      <c r="M331" s="466"/>
      <c r="N331" s="465">
        <f t="shared" si="23"/>
        <v>4702.12766</v>
      </c>
      <c r="O331" s="465">
        <f t="shared" si="6"/>
        <v>16872.34043</v>
      </c>
      <c r="P331" s="467"/>
    </row>
    <row r="332" ht="26.25" customHeight="1">
      <c r="A332" s="459">
        <v>45953.0</v>
      </c>
      <c r="B332" s="460" t="s">
        <v>16</v>
      </c>
      <c r="C332" s="461" t="str">
        <f t="shared" si="1"/>
        <v>الخميس</v>
      </c>
      <c r="D332" s="462">
        <v>0.36527777777777776</v>
      </c>
      <c r="E332" s="462">
        <v>0.9208333333333333</v>
      </c>
      <c r="F332" s="463">
        <v>650000.0</v>
      </c>
      <c r="G332" s="464">
        <f t="shared" si="21"/>
        <v>2765.957447</v>
      </c>
      <c r="H332" s="464">
        <f t="shared" si="7"/>
        <v>9.233333333</v>
      </c>
      <c r="I332" s="464">
        <f t="shared" si="3"/>
        <v>4.1</v>
      </c>
      <c r="J332" s="464">
        <f t="shared" si="4"/>
        <v>0</v>
      </c>
      <c r="K332" s="465">
        <f t="shared" si="5"/>
        <v>42549.64539</v>
      </c>
      <c r="L332" s="466"/>
      <c r="M332" s="466"/>
      <c r="N332" s="465">
        <f t="shared" si="23"/>
        <v>2120.567376</v>
      </c>
      <c r="O332" s="465">
        <f t="shared" si="6"/>
        <v>40429.07801</v>
      </c>
      <c r="P332" s="467"/>
    </row>
    <row r="333" ht="26.25" customHeight="1">
      <c r="A333" s="459">
        <v>45955.0</v>
      </c>
      <c r="B333" s="460" t="s">
        <v>16</v>
      </c>
      <c r="C333" s="461" t="str">
        <f t="shared" si="1"/>
        <v>السبت</v>
      </c>
      <c r="D333" s="462">
        <v>0.43333333333333335</v>
      </c>
      <c r="E333" s="462">
        <v>0.7083333333333334</v>
      </c>
      <c r="F333" s="463">
        <v>650000.0</v>
      </c>
      <c r="G333" s="464">
        <f t="shared" si="21"/>
        <v>2765.957447</v>
      </c>
      <c r="H333" s="464">
        <f t="shared" si="7"/>
        <v>6.6</v>
      </c>
      <c r="I333" s="464">
        <f t="shared" si="3"/>
        <v>0</v>
      </c>
      <c r="J333" s="464">
        <f t="shared" si="4"/>
        <v>0</v>
      </c>
      <c r="K333" s="465">
        <f t="shared" si="5"/>
        <v>18255.31915</v>
      </c>
      <c r="L333" s="466"/>
      <c r="M333" s="466"/>
      <c r="N333" s="465">
        <f t="shared" si="23"/>
        <v>6638.297872</v>
      </c>
      <c r="O333" s="465">
        <f t="shared" si="6"/>
        <v>11617.02128</v>
      </c>
      <c r="P333" s="467"/>
    </row>
    <row r="334" ht="26.25" customHeight="1">
      <c r="A334" s="459">
        <v>45956.0</v>
      </c>
      <c r="B334" s="460" t="s">
        <v>16</v>
      </c>
      <c r="C334" s="461" t="str">
        <f t="shared" si="1"/>
        <v>الأحد</v>
      </c>
      <c r="D334" s="462">
        <v>0.3659722222222222</v>
      </c>
      <c r="E334" s="462">
        <v>0.7680555555555556</v>
      </c>
      <c r="F334" s="463">
        <v>650000.0</v>
      </c>
      <c r="G334" s="464">
        <f t="shared" si="21"/>
        <v>2765.957447</v>
      </c>
      <c r="H334" s="464">
        <f t="shared" si="7"/>
        <v>9.216666667</v>
      </c>
      <c r="I334" s="464">
        <f t="shared" si="3"/>
        <v>0.4333333333</v>
      </c>
      <c r="J334" s="464">
        <f t="shared" si="4"/>
        <v>0</v>
      </c>
      <c r="K334" s="465">
        <f t="shared" si="5"/>
        <v>27290.78014</v>
      </c>
      <c r="L334" s="466"/>
      <c r="M334" s="466"/>
      <c r="N334" s="465">
        <f t="shared" si="23"/>
        <v>2166.666667</v>
      </c>
      <c r="O334" s="465">
        <f t="shared" si="6"/>
        <v>25124.11348</v>
      </c>
      <c r="P334" s="467"/>
    </row>
    <row r="335" ht="26.25" customHeight="1">
      <c r="A335" s="459">
        <v>45957.0</v>
      </c>
      <c r="B335" s="460" t="s">
        <v>16</v>
      </c>
      <c r="C335" s="461" t="str">
        <f t="shared" si="1"/>
        <v>الاثنين</v>
      </c>
      <c r="D335" s="462">
        <v>0.3659722222222222</v>
      </c>
      <c r="E335" s="462">
        <v>0.7680555555555556</v>
      </c>
      <c r="F335" s="463">
        <v>650000.0</v>
      </c>
      <c r="G335" s="464">
        <f t="shared" si="21"/>
        <v>2765.957447</v>
      </c>
      <c r="H335" s="464">
        <f t="shared" si="7"/>
        <v>9.216666667</v>
      </c>
      <c r="I335" s="464">
        <f t="shared" si="3"/>
        <v>0.4333333333</v>
      </c>
      <c r="J335" s="464">
        <f t="shared" si="4"/>
        <v>0</v>
      </c>
      <c r="K335" s="465">
        <f t="shared" si="5"/>
        <v>27290.78014</v>
      </c>
      <c r="L335" s="466"/>
      <c r="M335" s="466"/>
      <c r="N335" s="465">
        <f t="shared" si="23"/>
        <v>2166.666667</v>
      </c>
      <c r="O335" s="465">
        <f t="shared" si="6"/>
        <v>25124.11348</v>
      </c>
      <c r="P335" s="467"/>
    </row>
    <row r="336" ht="26.25" customHeight="1">
      <c r="A336" s="459">
        <v>45958.0</v>
      </c>
      <c r="B336" s="460" t="s">
        <v>16</v>
      </c>
      <c r="C336" s="461" t="str">
        <f t="shared" si="1"/>
        <v>الثلاثاء</v>
      </c>
      <c r="D336" s="462">
        <v>0.4076388888888889</v>
      </c>
      <c r="E336" s="462">
        <v>0.7083333333333334</v>
      </c>
      <c r="F336" s="463">
        <v>650000.0</v>
      </c>
      <c r="G336" s="464">
        <f t="shared" si="21"/>
        <v>2765.957447</v>
      </c>
      <c r="H336" s="464">
        <f t="shared" si="7"/>
        <v>7.216666667</v>
      </c>
      <c r="I336" s="464">
        <f t="shared" si="3"/>
        <v>0</v>
      </c>
      <c r="J336" s="464">
        <f t="shared" si="4"/>
        <v>0</v>
      </c>
      <c r="K336" s="465">
        <f t="shared" si="5"/>
        <v>19960.99291</v>
      </c>
      <c r="L336" s="466"/>
      <c r="M336" s="466"/>
      <c r="N336" s="465">
        <f t="shared" si="23"/>
        <v>4932.624113</v>
      </c>
      <c r="O336" s="465">
        <f t="shared" si="6"/>
        <v>15028.36879</v>
      </c>
      <c r="P336" s="467"/>
    </row>
    <row r="337" ht="26.25" customHeight="1">
      <c r="A337" s="459">
        <v>45959.0</v>
      </c>
      <c r="B337" s="460" t="s">
        <v>16</v>
      </c>
      <c r="C337" s="461" t="str">
        <f t="shared" si="1"/>
        <v>الأربعاء</v>
      </c>
      <c r="D337" s="462">
        <v>0.41388888888888886</v>
      </c>
      <c r="E337" s="462">
        <v>0.7083333333333334</v>
      </c>
      <c r="F337" s="463">
        <v>650000.0</v>
      </c>
      <c r="G337" s="464">
        <f t="shared" si="21"/>
        <v>2765.957447</v>
      </c>
      <c r="H337" s="464">
        <f t="shared" si="7"/>
        <v>7.066666667</v>
      </c>
      <c r="I337" s="464">
        <f t="shared" si="3"/>
        <v>0</v>
      </c>
      <c r="J337" s="464">
        <f t="shared" si="4"/>
        <v>0</v>
      </c>
      <c r="K337" s="465">
        <f t="shared" si="5"/>
        <v>19546.09929</v>
      </c>
      <c r="L337" s="466"/>
      <c r="M337" s="466"/>
      <c r="N337" s="465">
        <f t="shared" si="23"/>
        <v>5347.51773</v>
      </c>
      <c r="O337" s="465">
        <f t="shared" si="6"/>
        <v>14198.58156</v>
      </c>
      <c r="P337" s="467"/>
    </row>
    <row r="338" ht="26.25" customHeight="1">
      <c r="A338" s="459">
        <v>45960.0</v>
      </c>
      <c r="B338" s="460" t="s">
        <v>16</v>
      </c>
      <c r="C338" s="461" t="str">
        <f t="shared" si="1"/>
        <v>الخميس</v>
      </c>
      <c r="D338" s="462">
        <v>0.39791666666666664</v>
      </c>
      <c r="E338" s="462">
        <v>0.7083333333333334</v>
      </c>
      <c r="F338" s="463">
        <v>650000.0</v>
      </c>
      <c r="G338" s="464">
        <f t="shared" si="21"/>
        <v>2765.957447</v>
      </c>
      <c r="H338" s="464">
        <f t="shared" si="7"/>
        <v>7.45</v>
      </c>
      <c r="I338" s="464">
        <f t="shared" si="3"/>
        <v>0</v>
      </c>
      <c r="J338" s="464">
        <f t="shared" si="4"/>
        <v>0</v>
      </c>
      <c r="K338" s="465">
        <f t="shared" si="5"/>
        <v>20606.38298</v>
      </c>
      <c r="L338" s="466"/>
      <c r="M338" s="466"/>
      <c r="N338" s="465">
        <f t="shared" si="23"/>
        <v>4287.234043</v>
      </c>
      <c r="O338" s="465">
        <f t="shared" si="6"/>
        <v>16319.14894</v>
      </c>
      <c r="P338" s="467"/>
    </row>
    <row r="339" ht="26.25" customHeight="1">
      <c r="A339" s="459">
        <v>45932.0</v>
      </c>
      <c r="B339" s="460" t="s">
        <v>20</v>
      </c>
      <c r="C339" s="461" t="str">
        <f t="shared" si="1"/>
        <v>الخميس</v>
      </c>
      <c r="D339" s="462">
        <v>0.3645833333333333</v>
      </c>
      <c r="E339" s="462">
        <v>0.75</v>
      </c>
      <c r="F339" s="463">
        <v>425000.0</v>
      </c>
      <c r="G339" s="464">
        <f t="shared" si="21"/>
        <v>1808.510638</v>
      </c>
      <c r="H339" s="464">
        <f t="shared" si="7"/>
        <v>9.25</v>
      </c>
      <c r="I339" s="464">
        <f t="shared" si="3"/>
        <v>0</v>
      </c>
      <c r="J339" s="464">
        <f t="shared" si="4"/>
        <v>0</v>
      </c>
      <c r="K339" s="465">
        <f t="shared" si="5"/>
        <v>16728.7234</v>
      </c>
      <c r="L339" s="466"/>
      <c r="M339" s="465">
        <v>50000.0</v>
      </c>
      <c r="N339" s="465">
        <f t="shared" si="23"/>
        <v>1356.382979</v>
      </c>
      <c r="O339" s="465">
        <f t="shared" si="6"/>
        <v>-34627.65957</v>
      </c>
      <c r="P339" s="468" t="s">
        <v>2486</v>
      </c>
    </row>
    <row r="340" ht="26.25" customHeight="1">
      <c r="A340" s="459">
        <v>45934.0</v>
      </c>
      <c r="B340" s="460" t="s">
        <v>20</v>
      </c>
      <c r="C340" s="461" t="str">
        <f t="shared" si="1"/>
        <v>السبت</v>
      </c>
      <c r="D340" s="462">
        <v>0.34097222222222223</v>
      </c>
      <c r="E340" s="462">
        <v>0.6</v>
      </c>
      <c r="F340" s="463">
        <v>425000.0</v>
      </c>
      <c r="G340" s="464">
        <f t="shared" si="21"/>
        <v>1808.510638</v>
      </c>
      <c r="H340" s="464">
        <f t="shared" si="7"/>
        <v>6.216666667</v>
      </c>
      <c r="I340" s="464">
        <f t="shared" si="3"/>
        <v>0</v>
      </c>
      <c r="J340" s="464">
        <f t="shared" si="4"/>
        <v>0</v>
      </c>
      <c r="K340" s="465">
        <f t="shared" si="5"/>
        <v>11242.9078</v>
      </c>
      <c r="L340" s="466"/>
      <c r="M340" s="466"/>
      <c r="N340" s="465">
        <f t="shared" si="23"/>
        <v>331.5602837</v>
      </c>
      <c r="O340" s="465">
        <f t="shared" si="6"/>
        <v>10911.34752</v>
      </c>
      <c r="P340" s="467"/>
    </row>
    <row r="341" ht="26.25" customHeight="1">
      <c r="A341" s="459">
        <v>45935.0</v>
      </c>
      <c r="B341" s="460" t="s">
        <v>20</v>
      </c>
      <c r="C341" s="461" t="str">
        <f t="shared" si="1"/>
        <v>الأحد</v>
      </c>
      <c r="D341" s="462">
        <v>0.3486111111111111</v>
      </c>
      <c r="E341" s="462">
        <v>0.75</v>
      </c>
      <c r="F341" s="463">
        <v>425000.0</v>
      </c>
      <c r="G341" s="464">
        <f t="shared" si="21"/>
        <v>1808.510638</v>
      </c>
      <c r="H341" s="464">
        <f t="shared" si="7"/>
        <v>9.633333333</v>
      </c>
      <c r="I341" s="464">
        <f t="shared" si="3"/>
        <v>0</v>
      </c>
      <c r="J341" s="464">
        <f t="shared" si="4"/>
        <v>0</v>
      </c>
      <c r="K341" s="465">
        <f t="shared" si="5"/>
        <v>17421.98582</v>
      </c>
      <c r="L341" s="466"/>
      <c r="M341" s="465">
        <v>5000.0</v>
      </c>
      <c r="N341" s="465">
        <f t="shared" si="23"/>
        <v>663.1205674</v>
      </c>
      <c r="O341" s="465">
        <f t="shared" si="6"/>
        <v>11758.86525</v>
      </c>
      <c r="P341" s="467"/>
    </row>
    <row r="342" ht="26.25" customHeight="1">
      <c r="A342" s="459">
        <v>45936.0</v>
      </c>
      <c r="B342" s="460" t="s">
        <v>20</v>
      </c>
      <c r="C342" s="461" t="str">
        <f t="shared" si="1"/>
        <v>الاثنين</v>
      </c>
      <c r="D342" s="462">
        <v>0.33958333333333335</v>
      </c>
      <c r="E342" s="462">
        <v>0.7472222222222222</v>
      </c>
      <c r="F342" s="463">
        <v>425000.0</v>
      </c>
      <c r="G342" s="464">
        <f t="shared" si="21"/>
        <v>1808.510638</v>
      </c>
      <c r="H342" s="464">
        <f t="shared" si="7"/>
        <v>9.783333333</v>
      </c>
      <c r="I342" s="464">
        <f t="shared" si="3"/>
        <v>0</v>
      </c>
      <c r="J342" s="464">
        <f t="shared" si="4"/>
        <v>0</v>
      </c>
      <c r="K342" s="465">
        <f t="shared" si="5"/>
        <v>17693.26241</v>
      </c>
      <c r="L342" s="466"/>
      <c r="M342" s="466"/>
      <c r="N342" s="465">
        <f t="shared" si="23"/>
        <v>271.2765957</v>
      </c>
      <c r="O342" s="465">
        <f t="shared" si="6"/>
        <v>17421.98582</v>
      </c>
      <c r="P342" s="467"/>
    </row>
    <row r="343" ht="26.25" customHeight="1">
      <c r="A343" s="459">
        <v>45937.0</v>
      </c>
      <c r="B343" s="460" t="s">
        <v>20</v>
      </c>
      <c r="C343" s="461" t="str">
        <f t="shared" si="1"/>
        <v>الثلاثاء</v>
      </c>
      <c r="D343" s="462">
        <v>0.3347222222222222</v>
      </c>
      <c r="E343" s="462">
        <v>0.7104166666666667</v>
      </c>
      <c r="F343" s="463">
        <v>425000.0</v>
      </c>
      <c r="G343" s="464">
        <f t="shared" si="21"/>
        <v>1808.510638</v>
      </c>
      <c r="H343" s="464">
        <f t="shared" si="7"/>
        <v>9.016666667</v>
      </c>
      <c r="I343" s="464">
        <f t="shared" si="3"/>
        <v>0</v>
      </c>
      <c r="J343" s="464">
        <f t="shared" si="4"/>
        <v>0</v>
      </c>
      <c r="K343" s="465">
        <f t="shared" si="5"/>
        <v>16306.73759</v>
      </c>
      <c r="L343" s="466"/>
      <c r="M343" s="466"/>
      <c r="N343" s="465">
        <f t="shared" si="23"/>
        <v>60.28368794</v>
      </c>
      <c r="O343" s="465">
        <f t="shared" si="6"/>
        <v>16246.4539</v>
      </c>
      <c r="P343" s="467"/>
    </row>
    <row r="344" ht="26.25" customHeight="1">
      <c r="A344" s="459">
        <v>45938.0</v>
      </c>
      <c r="B344" s="460" t="s">
        <v>20</v>
      </c>
      <c r="C344" s="461" t="str">
        <f t="shared" si="1"/>
        <v>الأربعاء</v>
      </c>
      <c r="D344" s="462">
        <v>0.3333333333333333</v>
      </c>
      <c r="E344" s="462">
        <v>0.7083333333333334</v>
      </c>
      <c r="F344" s="463">
        <v>425000.0</v>
      </c>
      <c r="G344" s="464">
        <f t="shared" si="21"/>
        <v>1808.510638</v>
      </c>
      <c r="H344" s="464">
        <f t="shared" si="7"/>
        <v>9</v>
      </c>
      <c r="I344" s="464">
        <f t="shared" si="3"/>
        <v>0</v>
      </c>
      <c r="J344" s="464">
        <f t="shared" si="4"/>
        <v>0</v>
      </c>
      <c r="K344" s="465">
        <f t="shared" si="5"/>
        <v>16276.59574</v>
      </c>
      <c r="L344" s="466"/>
      <c r="M344" s="466"/>
      <c r="N344" s="465">
        <f t="shared" si="23"/>
        <v>0</v>
      </c>
      <c r="O344" s="465">
        <f t="shared" si="6"/>
        <v>16276.59574</v>
      </c>
      <c r="P344" s="467"/>
    </row>
    <row r="345" ht="26.25" customHeight="1">
      <c r="A345" s="459">
        <v>45939.0</v>
      </c>
      <c r="B345" s="460" t="s">
        <v>20</v>
      </c>
      <c r="C345" s="461" t="str">
        <f t="shared" si="1"/>
        <v>الخميس</v>
      </c>
      <c r="D345" s="462">
        <v>0.3333333333333333</v>
      </c>
      <c r="E345" s="462">
        <v>0.7083333333333334</v>
      </c>
      <c r="F345" s="463">
        <v>425000.0</v>
      </c>
      <c r="G345" s="464">
        <f t="shared" si="21"/>
        <v>1808.510638</v>
      </c>
      <c r="H345" s="464">
        <f t="shared" si="7"/>
        <v>9</v>
      </c>
      <c r="I345" s="464">
        <f t="shared" si="3"/>
        <v>0</v>
      </c>
      <c r="J345" s="464">
        <f t="shared" si="4"/>
        <v>0</v>
      </c>
      <c r="K345" s="465">
        <f t="shared" si="5"/>
        <v>16276.59574</v>
      </c>
      <c r="L345" s="466"/>
      <c r="M345" s="466"/>
      <c r="N345" s="465">
        <f t="shared" si="23"/>
        <v>0</v>
      </c>
      <c r="O345" s="465">
        <f t="shared" si="6"/>
        <v>16276.59574</v>
      </c>
      <c r="P345" s="470"/>
    </row>
    <row r="346" ht="26.25" customHeight="1">
      <c r="A346" s="459">
        <v>45941.0</v>
      </c>
      <c r="B346" s="460" t="s">
        <v>20</v>
      </c>
      <c r="C346" s="461" t="str">
        <f t="shared" si="1"/>
        <v>السبت</v>
      </c>
      <c r="D346" s="462">
        <v>0.2763888888888889</v>
      </c>
      <c r="E346" s="462">
        <v>0.7083333333333334</v>
      </c>
      <c r="F346" s="463">
        <v>425000.0</v>
      </c>
      <c r="G346" s="464">
        <f t="shared" si="21"/>
        <v>1808.510638</v>
      </c>
      <c r="H346" s="464">
        <f t="shared" si="7"/>
        <v>10.36666667</v>
      </c>
      <c r="I346" s="464">
        <f t="shared" si="3"/>
        <v>0</v>
      </c>
      <c r="J346" s="464">
        <f t="shared" si="4"/>
        <v>0</v>
      </c>
      <c r="K346" s="465">
        <f t="shared" si="5"/>
        <v>18748.22695</v>
      </c>
      <c r="L346" s="466"/>
      <c r="M346" s="465">
        <v>50000.0</v>
      </c>
      <c r="N346" s="465">
        <f t="shared" si="23"/>
        <v>0</v>
      </c>
      <c r="O346" s="465">
        <f t="shared" si="6"/>
        <v>-31251.77305</v>
      </c>
      <c r="P346" s="467"/>
    </row>
    <row r="347" ht="26.25" customHeight="1">
      <c r="A347" s="459">
        <v>45942.0</v>
      </c>
      <c r="B347" s="460" t="s">
        <v>20</v>
      </c>
      <c r="C347" s="461" t="str">
        <f t="shared" si="1"/>
        <v>الأحد</v>
      </c>
      <c r="D347" s="462">
        <v>0.3277777777777778</v>
      </c>
      <c r="E347" s="462">
        <v>0.7083333333333334</v>
      </c>
      <c r="F347" s="463">
        <v>425000.0</v>
      </c>
      <c r="G347" s="464">
        <f t="shared" si="21"/>
        <v>1808.510638</v>
      </c>
      <c r="H347" s="464">
        <f t="shared" si="7"/>
        <v>9.133333333</v>
      </c>
      <c r="I347" s="464">
        <f t="shared" si="3"/>
        <v>0</v>
      </c>
      <c r="J347" s="464">
        <f t="shared" si="4"/>
        <v>0</v>
      </c>
      <c r="K347" s="465">
        <f t="shared" si="5"/>
        <v>16517.7305</v>
      </c>
      <c r="L347" s="466"/>
      <c r="M347" s="465">
        <v>0.0</v>
      </c>
      <c r="N347" s="465">
        <f t="shared" si="23"/>
        <v>0</v>
      </c>
      <c r="O347" s="465">
        <f t="shared" si="6"/>
        <v>16517.7305</v>
      </c>
      <c r="P347" s="467"/>
    </row>
    <row r="348" ht="26.25" customHeight="1">
      <c r="A348" s="459">
        <v>45943.0</v>
      </c>
      <c r="B348" s="460" t="s">
        <v>20</v>
      </c>
      <c r="C348" s="461" t="str">
        <f t="shared" si="1"/>
        <v>الاثنين</v>
      </c>
      <c r="D348" s="462">
        <v>0.3333333333333333</v>
      </c>
      <c r="E348" s="462">
        <v>0.7083333333333334</v>
      </c>
      <c r="F348" s="463">
        <v>425000.0</v>
      </c>
      <c r="G348" s="464">
        <f t="shared" si="21"/>
        <v>1808.510638</v>
      </c>
      <c r="H348" s="464">
        <f t="shared" si="7"/>
        <v>9</v>
      </c>
      <c r="I348" s="464">
        <f t="shared" si="3"/>
        <v>0</v>
      </c>
      <c r="J348" s="464">
        <f t="shared" si="4"/>
        <v>0</v>
      </c>
      <c r="K348" s="465">
        <f t="shared" si="5"/>
        <v>16276.59574</v>
      </c>
      <c r="L348" s="466"/>
      <c r="M348" s="465">
        <v>12000.0</v>
      </c>
      <c r="N348" s="465">
        <f t="shared" si="23"/>
        <v>0</v>
      </c>
      <c r="O348" s="465">
        <f t="shared" si="6"/>
        <v>4276.595745</v>
      </c>
      <c r="P348" s="467"/>
    </row>
    <row r="349" ht="26.25" customHeight="1">
      <c r="A349" s="459">
        <v>45944.0</v>
      </c>
      <c r="B349" s="460" t="s">
        <v>20</v>
      </c>
      <c r="C349" s="461" t="str">
        <f t="shared" si="1"/>
        <v>الثلاثاء</v>
      </c>
      <c r="D349" s="462">
        <v>0.3326388888888889</v>
      </c>
      <c r="E349" s="462">
        <v>0.7083333333333334</v>
      </c>
      <c r="F349" s="463">
        <v>425000.0</v>
      </c>
      <c r="G349" s="464">
        <f t="shared" si="21"/>
        <v>1808.510638</v>
      </c>
      <c r="H349" s="464">
        <f t="shared" si="7"/>
        <v>9.016666667</v>
      </c>
      <c r="I349" s="464">
        <f t="shared" si="3"/>
        <v>0</v>
      </c>
      <c r="J349" s="464">
        <f t="shared" si="4"/>
        <v>0</v>
      </c>
      <c r="K349" s="465">
        <f t="shared" si="5"/>
        <v>16306.73759</v>
      </c>
      <c r="L349" s="466"/>
      <c r="M349" s="466"/>
      <c r="N349" s="465">
        <f t="shared" si="23"/>
        <v>0</v>
      </c>
      <c r="O349" s="465">
        <f t="shared" si="6"/>
        <v>16306.73759</v>
      </c>
      <c r="P349" s="467"/>
    </row>
    <row r="350" ht="26.25" customHeight="1">
      <c r="A350" s="459">
        <v>45945.0</v>
      </c>
      <c r="B350" s="460" t="s">
        <v>20</v>
      </c>
      <c r="C350" s="461" t="str">
        <f t="shared" si="1"/>
        <v>الأربعاء</v>
      </c>
      <c r="D350" s="462">
        <v>0.3333333333333333</v>
      </c>
      <c r="E350" s="462">
        <v>0.6618055555555555</v>
      </c>
      <c r="F350" s="463">
        <v>425000.0</v>
      </c>
      <c r="G350" s="464">
        <f t="shared" si="21"/>
        <v>1808.510638</v>
      </c>
      <c r="H350" s="464">
        <f t="shared" si="7"/>
        <v>7.883333333</v>
      </c>
      <c r="I350" s="464">
        <f t="shared" si="3"/>
        <v>0</v>
      </c>
      <c r="J350" s="464">
        <f t="shared" si="4"/>
        <v>0</v>
      </c>
      <c r="K350" s="465">
        <f t="shared" si="5"/>
        <v>14257.0922</v>
      </c>
      <c r="L350" s="466"/>
      <c r="M350" s="466"/>
      <c r="N350" s="465">
        <f t="shared" si="23"/>
        <v>0</v>
      </c>
      <c r="O350" s="465">
        <f t="shared" si="6"/>
        <v>14257.0922</v>
      </c>
      <c r="P350" s="467"/>
    </row>
    <row r="351" ht="26.25" customHeight="1">
      <c r="A351" s="459">
        <v>45946.0</v>
      </c>
      <c r="B351" s="460" t="s">
        <v>20</v>
      </c>
      <c r="C351" s="461" t="str">
        <f t="shared" si="1"/>
        <v>الخميس</v>
      </c>
      <c r="D351" s="462">
        <v>0.36180555555555555</v>
      </c>
      <c r="E351" s="462">
        <v>0.6763888888888889</v>
      </c>
      <c r="F351" s="463">
        <v>425000.0</v>
      </c>
      <c r="G351" s="464">
        <f t="shared" si="21"/>
        <v>1808.510638</v>
      </c>
      <c r="H351" s="464">
        <f t="shared" si="7"/>
        <v>7.55</v>
      </c>
      <c r="I351" s="464">
        <f t="shared" si="3"/>
        <v>0</v>
      </c>
      <c r="J351" s="464">
        <f t="shared" si="4"/>
        <v>0</v>
      </c>
      <c r="K351" s="465">
        <f t="shared" si="5"/>
        <v>13654.25532</v>
      </c>
      <c r="L351" s="466"/>
      <c r="M351" s="466"/>
      <c r="N351" s="465">
        <f t="shared" si="23"/>
        <v>1235.815603</v>
      </c>
      <c r="O351" s="465">
        <f t="shared" si="6"/>
        <v>12418.43972</v>
      </c>
      <c r="P351" s="467"/>
    </row>
    <row r="352" ht="26.25" customHeight="1">
      <c r="A352" s="459">
        <v>45948.0</v>
      </c>
      <c r="B352" s="460" t="s">
        <v>20</v>
      </c>
      <c r="C352" s="461" t="str">
        <f t="shared" si="1"/>
        <v>السبت</v>
      </c>
      <c r="D352" s="462">
        <v>0.35347222222222224</v>
      </c>
      <c r="E352" s="462">
        <v>0.7083333333333334</v>
      </c>
      <c r="F352" s="463">
        <v>425000.0</v>
      </c>
      <c r="G352" s="464">
        <f t="shared" si="21"/>
        <v>1808.510638</v>
      </c>
      <c r="H352" s="464">
        <f t="shared" si="7"/>
        <v>8.516666667</v>
      </c>
      <c r="I352" s="464">
        <f t="shared" si="3"/>
        <v>0</v>
      </c>
      <c r="J352" s="464">
        <f t="shared" si="4"/>
        <v>0</v>
      </c>
      <c r="K352" s="465">
        <f t="shared" si="5"/>
        <v>15402.48227</v>
      </c>
      <c r="L352" s="466"/>
      <c r="M352" s="465">
        <v>25000.0</v>
      </c>
      <c r="N352" s="465">
        <f t="shared" si="23"/>
        <v>874.1134752</v>
      </c>
      <c r="O352" s="465">
        <f t="shared" si="6"/>
        <v>-10471.63121</v>
      </c>
      <c r="P352" s="467"/>
    </row>
    <row r="353" ht="26.25" customHeight="1">
      <c r="A353" s="459">
        <v>45949.0</v>
      </c>
      <c r="B353" s="460" t="s">
        <v>20</v>
      </c>
      <c r="C353" s="461" t="str">
        <f t="shared" si="1"/>
        <v>الأحد</v>
      </c>
      <c r="D353" s="462">
        <v>0.3333333333333333</v>
      </c>
      <c r="E353" s="462">
        <v>0.7083333333333334</v>
      </c>
      <c r="F353" s="463">
        <v>425000.0</v>
      </c>
      <c r="G353" s="464">
        <f t="shared" si="21"/>
        <v>1808.510638</v>
      </c>
      <c r="H353" s="464">
        <f t="shared" si="7"/>
        <v>9</v>
      </c>
      <c r="I353" s="464">
        <f t="shared" si="3"/>
        <v>0</v>
      </c>
      <c r="J353" s="464">
        <f t="shared" si="4"/>
        <v>0</v>
      </c>
      <c r="K353" s="465">
        <f t="shared" si="5"/>
        <v>16276.59574</v>
      </c>
      <c r="L353" s="466"/>
      <c r="M353" s="466"/>
      <c r="N353" s="465">
        <f t="shared" si="23"/>
        <v>0</v>
      </c>
      <c r="O353" s="465">
        <f t="shared" si="6"/>
        <v>16276.59574</v>
      </c>
      <c r="P353" s="467"/>
    </row>
    <row r="354" ht="26.25" customHeight="1">
      <c r="A354" s="459">
        <v>45950.0</v>
      </c>
      <c r="B354" s="460" t="s">
        <v>20</v>
      </c>
      <c r="C354" s="461" t="str">
        <f t="shared" si="1"/>
        <v>الاثنين</v>
      </c>
      <c r="D354" s="462">
        <v>0.34930555555555554</v>
      </c>
      <c r="E354" s="462">
        <v>0.7083333333333334</v>
      </c>
      <c r="F354" s="463">
        <v>425000.0</v>
      </c>
      <c r="G354" s="464">
        <f t="shared" si="21"/>
        <v>1808.510638</v>
      </c>
      <c r="H354" s="464">
        <f t="shared" si="7"/>
        <v>8.616666667</v>
      </c>
      <c r="I354" s="464">
        <f t="shared" si="3"/>
        <v>0</v>
      </c>
      <c r="J354" s="464">
        <f t="shared" si="4"/>
        <v>0</v>
      </c>
      <c r="K354" s="465">
        <f t="shared" si="5"/>
        <v>15583.33333</v>
      </c>
      <c r="L354" s="466"/>
      <c r="M354" s="466"/>
      <c r="N354" s="465">
        <f t="shared" si="23"/>
        <v>693.2624113</v>
      </c>
      <c r="O354" s="465">
        <f t="shared" si="6"/>
        <v>14890.07092</v>
      </c>
      <c r="P354" s="470"/>
    </row>
    <row r="355" ht="26.25" customHeight="1">
      <c r="A355" s="459">
        <v>45951.0</v>
      </c>
      <c r="B355" s="460" t="s">
        <v>20</v>
      </c>
      <c r="C355" s="461" t="str">
        <f t="shared" si="1"/>
        <v>الثلاثاء</v>
      </c>
      <c r="D355" s="462">
        <v>0.3333333333333333</v>
      </c>
      <c r="E355" s="462">
        <v>0.7083333333333334</v>
      </c>
      <c r="F355" s="463">
        <v>425000.0</v>
      </c>
      <c r="G355" s="464">
        <f t="shared" si="21"/>
        <v>1808.510638</v>
      </c>
      <c r="H355" s="464">
        <f t="shared" si="7"/>
        <v>9</v>
      </c>
      <c r="I355" s="464">
        <f t="shared" si="3"/>
        <v>0</v>
      </c>
      <c r="J355" s="464">
        <f t="shared" si="4"/>
        <v>0</v>
      </c>
      <c r="K355" s="465">
        <f t="shared" si="5"/>
        <v>16276.59574</v>
      </c>
      <c r="L355" s="466"/>
      <c r="M355" s="465">
        <v>50000.0</v>
      </c>
      <c r="N355" s="465">
        <f t="shared" si="23"/>
        <v>0</v>
      </c>
      <c r="O355" s="465">
        <f t="shared" si="6"/>
        <v>-33723.40426</v>
      </c>
      <c r="P355" s="467"/>
    </row>
    <row r="356" ht="26.25" customHeight="1">
      <c r="A356" s="459">
        <v>45955.0</v>
      </c>
      <c r="B356" s="460" t="s">
        <v>20</v>
      </c>
      <c r="C356" s="461" t="str">
        <f t="shared" si="1"/>
        <v>السبت</v>
      </c>
      <c r="D356" s="462">
        <v>0.3333333333333333</v>
      </c>
      <c r="E356" s="462">
        <v>0.7083333333333334</v>
      </c>
      <c r="F356" s="463">
        <v>425000.0</v>
      </c>
      <c r="G356" s="464">
        <f t="shared" si="21"/>
        <v>1808.510638</v>
      </c>
      <c r="H356" s="464">
        <f t="shared" si="7"/>
        <v>9</v>
      </c>
      <c r="I356" s="464">
        <f t="shared" si="3"/>
        <v>0</v>
      </c>
      <c r="J356" s="464">
        <f t="shared" si="4"/>
        <v>0</v>
      </c>
      <c r="K356" s="465">
        <f t="shared" si="5"/>
        <v>16276.59574</v>
      </c>
      <c r="L356" s="466"/>
      <c r="M356" s="466"/>
      <c r="N356" s="465">
        <f t="shared" si="23"/>
        <v>0</v>
      </c>
      <c r="O356" s="465">
        <f t="shared" si="6"/>
        <v>16276.59574</v>
      </c>
      <c r="P356" s="467"/>
    </row>
    <row r="357" ht="26.25" customHeight="1">
      <c r="A357" s="459">
        <v>45956.0</v>
      </c>
      <c r="B357" s="460" t="s">
        <v>20</v>
      </c>
      <c r="C357" s="461" t="str">
        <f t="shared" si="1"/>
        <v>الأحد</v>
      </c>
      <c r="D357" s="462">
        <v>0.3423611111111111</v>
      </c>
      <c r="E357" s="462">
        <v>0.7083333333333334</v>
      </c>
      <c r="F357" s="463">
        <v>425000.0</v>
      </c>
      <c r="G357" s="464">
        <f t="shared" si="21"/>
        <v>1808.510638</v>
      </c>
      <c r="H357" s="464">
        <f t="shared" si="7"/>
        <v>8.783333333</v>
      </c>
      <c r="I357" s="464">
        <f t="shared" si="3"/>
        <v>0</v>
      </c>
      <c r="J357" s="464">
        <f t="shared" si="4"/>
        <v>0</v>
      </c>
      <c r="K357" s="465">
        <f t="shared" si="5"/>
        <v>15884.75177</v>
      </c>
      <c r="L357" s="466"/>
      <c r="M357" s="466"/>
      <c r="N357" s="465">
        <f t="shared" si="23"/>
        <v>391.8439716</v>
      </c>
      <c r="O357" s="465">
        <f t="shared" si="6"/>
        <v>15492.9078</v>
      </c>
      <c r="P357" s="467"/>
    </row>
    <row r="358" ht="26.25" customHeight="1">
      <c r="A358" s="459">
        <v>45957.0</v>
      </c>
      <c r="B358" s="460" t="s">
        <v>20</v>
      </c>
      <c r="C358" s="461" t="str">
        <f t="shared" si="1"/>
        <v>الاثنين</v>
      </c>
      <c r="D358" s="462">
        <v>0.34097222222222223</v>
      </c>
      <c r="E358" s="462">
        <v>0.5354166666666667</v>
      </c>
      <c r="F358" s="463">
        <v>425000.0</v>
      </c>
      <c r="G358" s="464">
        <f t="shared" si="21"/>
        <v>1808.510638</v>
      </c>
      <c r="H358" s="464">
        <f t="shared" si="7"/>
        <v>4.666666667</v>
      </c>
      <c r="I358" s="464">
        <f t="shared" si="3"/>
        <v>0</v>
      </c>
      <c r="J358" s="464">
        <f t="shared" si="4"/>
        <v>0</v>
      </c>
      <c r="K358" s="465">
        <f t="shared" si="5"/>
        <v>8439.716312</v>
      </c>
      <c r="L358" s="466"/>
      <c r="M358" s="466"/>
      <c r="N358" s="465">
        <f t="shared" si="23"/>
        <v>331.5602837</v>
      </c>
      <c r="O358" s="465">
        <f t="shared" si="6"/>
        <v>8108.156028</v>
      </c>
      <c r="P358" s="467"/>
    </row>
    <row r="359" ht="26.25" customHeight="1">
      <c r="A359" s="459">
        <v>45958.0</v>
      </c>
      <c r="B359" s="460" t="s">
        <v>20</v>
      </c>
      <c r="C359" s="461" t="str">
        <f t="shared" si="1"/>
        <v>الثلاثاء</v>
      </c>
      <c r="D359" s="462">
        <v>0.3423611111111111</v>
      </c>
      <c r="E359" s="462">
        <v>0.7083333333333334</v>
      </c>
      <c r="F359" s="463">
        <v>425000.0</v>
      </c>
      <c r="G359" s="464">
        <f t="shared" si="21"/>
        <v>1808.510638</v>
      </c>
      <c r="H359" s="464">
        <f t="shared" si="7"/>
        <v>8.783333333</v>
      </c>
      <c r="I359" s="464">
        <f t="shared" si="3"/>
        <v>0</v>
      </c>
      <c r="J359" s="464">
        <f t="shared" si="4"/>
        <v>0</v>
      </c>
      <c r="K359" s="465">
        <f t="shared" si="5"/>
        <v>15884.75177</v>
      </c>
      <c r="L359" s="466"/>
      <c r="M359" s="466"/>
      <c r="N359" s="465">
        <f t="shared" si="23"/>
        <v>391.8439716</v>
      </c>
      <c r="O359" s="465">
        <f t="shared" si="6"/>
        <v>15492.9078</v>
      </c>
      <c r="P359" s="467"/>
    </row>
    <row r="360" ht="26.25" customHeight="1">
      <c r="A360" s="459">
        <v>45959.0</v>
      </c>
      <c r="B360" s="460" t="s">
        <v>20</v>
      </c>
      <c r="C360" s="461" t="str">
        <f t="shared" si="1"/>
        <v>الأربعاء</v>
      </c>
      <c r="D360" s="462">
        <v>0.32430555555555557</v>
      </c>
      <c r="E360" s="462">
        <v>0.7083333333333334</v>
      </c>
      <c r="F360" s="463">
        <v>425000.0</v>
      </c>
      <c r="G360" s="464">
        <f t="shared" si="21"/>
        <v>1808.510638</v>
      </c>
      <c r="H360" s="464">
        <f t="shared" si="7"/>
        <v>9.216666667</v>
      </c>
      <c r="I360" s="464">
        <f t="shared" si="3"/>
        <v>0</v>
      </c>
      <c r="J360" s="464">
        <f t="shared" si="4"/>
        <v>0</v>
      </c>
      <c r="K360" s="465">
        <f t="shared" si="5"/>
        <v>16668.43972</v>
      </c>
      <c r="L360" s="466"/>
      <c r="M360" s="466"/>
      <c r="N360" s="465">
        <f t="shared" si="23"/>
        <v>0</v>
      </c>
      <c r="O360" s="465">
        <f t="shared" si="6"/>
        <v>16668.43972</v>
      </c>
      <c r="P360" s="467"/>
    </row>
    <row r="361" ht="26.25" customHeight="1">
      <c r="A361" s="459">
        <v>45960.0</v>
      </c>
      <c r="B361" s="460" t="s">
        <v>20</v>
      </c>
      <c r="C361" s="461" t="str">
        <f t="shared" si="1"/>
        <v>الخميس</v>
      </c>
      <c r="D361" s="462">
        <v>0.3347222222222222</v>
      </c>
      <c r="E361" s="462">
        <v>0.7159722222222222</v>
      </c>
      <c r="F361" s="463">
        <v>425000.0</v>
      </c>
      <c r="G361" s="464">
        <f t="shared" si="21"/>
        <v>1808.510638</v>
      </c>
      <c r="H361" s="464">
        <f t="shared" si="7"/>
        <v>9.15</v>
      </c>
      <c r="I361" s="464">
        <f t="shared" si="3"/>
        <v>0</v>
      </c>
      <c r="J361" s="464">
        <f t="shared" si="4"/>
        <v>0</v>
      </c>
      <c r="K361" s="465">
        <f t="shared" si="5"/>
        <v>16547.87234</v>
      </c>
      <c r="L361" s="466"/>
      <c r="M361" s="465">
        <v>10000.0</v>
      </c>
      <c r="N361" s="465">
        <f t="shared" si="23"/>
        <v>60.28368794</v>
      </c>
      <c r="O361" s="465">
        <f t="shared" si="6"/>
        <v>6487.588652</v>
      </c>
      <c r="P361" s="467"/>
    </row>
    <row r="362" ht="26.25" customHeight="1">
      <c r="A362" s="459">
        <v>45931.0</v>
      </c>
      <c r="B362" s="460" t="s">
        <v>24</v>
      </c>
      <c r="C362" s="461" t="str">
        <f t="shared" si="1"/>
        <v>الأربعاء</v>
      </c>
      <c r="D362" s="462">
        <v>0.3763888888888889</v>
      </c>
      <c r="E362" s="462">
        <v>0.7534722222222222</v>
      </c>
      <c r="F362" s="463">
        <v>400000.0</v>
      </c>
      <c r="G362" s="464">
        <f t="shared" si="21"/>
        <v>1702.12766</v>
      </c>
      <c r="H362" s="464">
        <f t="shared" si="7"/>
        <v>8.966666667</v>
      </c>
      <c r="I362" s="464">
        <f t="shared" si="3"/>
        <v>0.08333333333</v>
      </c>
      <c r="J362" s="464">
        <f t="shared" si="4"/>
        <v>0</v>
      </c>
      <c r="K362" s="465">
        <f t="shared" si="5"/>
        <v>15475.1773</v>
      </c>
      <c r="L362" s="466"/>
      <c r="M362" s="465">
        <v>100000.0</v>
      </c>
      <c r="N362" s="465">
        <f t="shared" si="23"/>
        <v>1758.865248</v>
      </c>
      <c r="O362" s="465">
        <f t="shared" si="6"/>
        <v>-86283.68794</v>
      </c>
      <c r="P362" s="467"/>
    </row>
    <row r="363" ht="26.25" customHeight="1">
      <c r="A363" s="459">
        <v>45932.0</v>
      </c>
      <c r="B363" s="460" t="s">
        <v>24</v>
      </c>
      <c r="C363" s="461" t="str">
        <f t="shared" si="1"/>
        <v>الخميس</v>
      </c>
      <c r="D363" s="462">
        <v>0.375</v>
      </c>
      <c r="E363" s="462">
        <v>0.7145833333333333</v>
      </c>
      <c r="F363" s="463">
        <v>400000.0</v>
      </c>
      <c r="G363" s="464">
        <f t="shared" si="21"/>
        <v>1702.12766</v>
      </c>
      <c r="H363" s="464">
        <f t="shared" si="7"/>
        <v>8.15</v>
      </c>
      <c r="I363" s="464">
        <f t="shared" si="3"/>
        <v>0</v>
      </c>
      <c r="J363" s="464">
        <f t="shared" si="4"/>
        <v>0</v>
      </c>
      <c r="K363" s="465">
        <f t="shared" si="5"/>
        <v>13872.34043</v>
      </c>
      <c r="L363" s="465">
        <v>52000.0</v>
      </c>
      <c r="M363" s="466"/>
      <c r="N363" s="465">
        <f t="shared" si="23"/>
        <v>1702.12766</v>
      </c>
      <c r="O363" s="465">
        <f t="shared" si="6"/>
        <v>64170.21277</v>
      </c>
      <c r="P363" s="468" t="s">
        <v>2487</v>
      </c>
    </row>
    <row r="364" ht="26.25" customHeight="1">
      <c r="A364" s="459">
        <v>45937.0</v>
      </c>
      <c r="B364" s="460" t="s">
        <v>24</v>
      </c>
      <c r="C364" s="461" t="str">
        <f t="shared" si="1"/>
        <v>الثلاثاء</v>
      </c>
      <c r="D364" s="462">
        <v>0.3388888888888889</v>
      </c>
      <c r="E364" s="462">
        <v>0.8708333333333333</v>
      </c>
      <c r="F364" s="463">
        <v>400000.0</v>
      </c>
      <c r="G364" s="464">
        <f t="shared" si="21"/>
        <v>1702.12766</v>
      </c>
      <c r="H364" s="464">
        <f t="shared" si="7"/>
        <v>9.866666667</v>
      </c>
      <c r="I364" s="464">
        <f t="shared" si="3"/>
        <v>2.9</v>
      </c>
      <c r="J364" s="464">
        <f t="shared" si="4"/>
        <v>0</v>
      </c>
      <c r="K364" s="465">
        <f t="shared" si="5"/>
        <v>24198.58156</v>
      </c>
      <c r="L364" s="466"/>
      <c r="M364" s="466"/>
      <c r="N364" s="465">
        <f t="shared" si="23"/>
        <v>226.9503546</v>
      </c>
      <c r="O364" s="465">
        <f t="shared" si="6"/>
        <v>23971.63121</v>
      </c>
      <c r="P364" s="467"/>
    </row>
    <row r="365" ht="26.25" customHeight="1">
      <c r="A365" s="459">
        <v>45939.0</v>
      </c>
      <c r="B365" s="460" t="s">
        <v>24</v>
      </c>
      <c r="C365" s="461" t="str">
        <f t="shared" si="1"/>
        <v>الخميس</v>
      </c>
      <c r="D365" s="462">
        <v>0.3375</v>
      </c>
      <c r="E365" s="462">
        <v>0.7229166666666667</v>
      </c>
      <c r="F365" s="463">
        <v>400000.0</v>
      </c>
      <c r="G365" s="464">
        <f t="shared" si="21"/>
        <v>1702.12766</v>
      </c>
      <c r="H365" s="464">
        <f t="shared" si="7"/>
        <v>9.25</v>
      </c>
      <c r="I365" s="464">
        <f t="shared" si="3"/>
        <v>0</v>
      </c>
      <c r="J365" s="464">
        <f t="shared" si="4"/>
        <v>0</v>
      </c>
      <c r="K365" s="465">
        <f t="shared" si="5"/>
        <v>15744.68085</v>
      </c>
      <c r="L365" s="466"/>
      <c r="M365" s="466"/>
      <c r="N365" s="465">
        <f t="shared" si="23"/>
        <v>170.212766</v>
      </c>
      <c r="O365" s="465">
        <f t="shared" si="6"/>
        <v>15574.46809</v>
      </c>
      <c r="P365" s="467"/>
    </row>
    <row r="366" ht="26.25" customHeight="1">
      <c r="A366" s="459">
        <v>45941.0</v>
      </c>
      <c r="B366" s="460" t="s">
        <v>24</v>
      </c>
      <c r="C366" s="461" t="str">
        <f t="shared" si="1"/>
        <v>السبت</v>
      </c>
      <c r="D366" s="462">
        <v>0.3770833333333333</v>
      </c>
      <c r="E366" s="462">
        <v>0.7166666666666667</v>
      </c>
      <c r="F366" s="463">
        <v>400000.0</v>
      </c>
      <c r="G366" s="464">
        <f t="shared" si="21"/>
        <v>1702.12766</v>
      </c>
      <c r="H366" s="464">
        <f t="shared" si="7"/>
        <v>8.15</v>
      </c>
      <c r="I366" s="464">
        <f t="shared" si="3"/>
        <v>0</v>
      </c>
      <c r="J366" s="464">
        <f t="shared" si="4"/>
        <v>0</v>
      </c>
      <c r="K366" s="465">
        <f t="shared" si="5"/>
        <v>13872.34043</v>
      </c>
      <c r="L366" s="466"/>
      <c r="M366" s="466"/>
      <c r="N366" s="465">
        <f t="shared" si="23"/>
        <v>1787.234043</v>
      </c>
      <c r="O366" s="465">
        <f t="shared" si="6"/>
        <v>12085.10638</v>
      </c>
      <c r="P366" s="467"/>
    </row>
    <row r="367" ht="26.25" customHeight="1">
      <c r="A367" s="459">
        <v>45944.0</v>
      </c>
      <c r="B367" s="460" t="s">
        <v>24</v>
      </c>
      <c r="C367" s="461" t="str">
        <f t="shared" si="1"/>
        <v>الثلاثاء</v>
      </c>
      <c r="D367" s="462">
        <v>0.5409722222222222</v>
      </c>
      <c r="E367" s="462">
        <v>0.7083333333333334</v>
      </c>
      <c r="F367" s="463">
        <v>400000.0</v>
      </c>
      <c r="G367" s="464">
        <f t="shared" si="21"/>
        <v>1702.12766</v>
      </c>
      <c r="H367" s="464">
        <f t="shared" si="7"/>
        <v>4.016666667</v>
      </c>
      <c r="I367" s="464">
        <f t="shared" si="3"/>
        <v>0</v>
      </c>
      <c r="J367" s="464">
        <f t="shared" si="4"/>
        <v>0</v>
      </c>
      <c r="K367" s="465">
        <f t="shared" si="5"/>
        <v>6836.879433</v>
      </c>
      <c r="L367" s="466"/>
      <c r="M367" s="466"/>
      <c r="N367" s="465">
        <v>0.0</v>
      </c>
      <c r="O367" s="465">
        <f t="shared" si="6"/>
        <v>6836.879433</v>
      </c>
      <c r="P367" s="467"/>
    </row>
    <row r="368" ht="26.25" customHeight="1">
      <c r="A368" s="459">
        <v>45945.0</v>
      </c>
      <c r="B368" s="460" t="s">
        <v>24</v>
      </c>
      <c r="C368" s="461" t="str">
        <f t="shared" si="1"/>
        <v>الأربعاء</v>
      </c>
      <c r="D368" s="462">
        <v>0.5444444444444444</v>
      </c>
      <c r="E368" s="462">
        <v>0.7083333333333334</v>
      </c>
      <c r="F368" s="463">
        <v>400000.0</v>
      </c>
      <c r="G368" s="464">
        <f t="shared" si="21"/>
        <v>1702.12766</v>
      </c>
      <c r="H368" s="464">
        <f t="shared" si="7"/>
        <v>3.933333333</v>
      </c>
      <c r="I368" s="464">
        <f t="shared" si="3"/>
        <v>0</v>
      </c>
      <c r="J368" s="464">
        <f t="shared" si="4"/>
        <v>0</v>
      </c>
      <c r="K368" s="465">
        <f t="shared" si="5"/>
        <v>6695.035461</v>
      </c>
      <c r="L368" s="466"/>
      <c r="M368" s="466"/>
      <c r="N368" s="465">
        <v>0.0</v>
      </c>
      <c r="O368" s="465">
        <f t="shared" si="6"/>
        <v>6695.035461</v>
      </c>
      <c r="P368" s="467"/>
    </row>
    <row r="369" ht="26.25" customHeight="1">
      <c r="A369" s="459">
        <v>45946.0</v>
      </c>
      <c r="B369" s="460" t="s">
        <v>24</v>
      </c>
      <c r="C369" s="461" t="str">
        <f t="shared" si="1"/>
        <v>الخميس</v>
      </c>
      <c r="D369" s="462">
        <v>0.44513888888888886</v>
      </c>
      <c r="E369" s="462">
        <v>0.7083333333333334</v>
      </c>
      <c r="F369" s="463">
        <v>400000.0</v>
      </c>
      <c r="G369" s="464">
        <f t="shared" si="21"/>
        <v>1702.12766</v>
      </c>
      <c r="H369" s="464">
        <f t="shared" si="7"/>
        <v>6.316666667</v>
      </c>
      <c r="I369" s="464">
        <f t="shared" si="3"/>
        <v>0</v>
      </c>
      <c r="J369" s="464">
        <f t="shared" si="4"/>
        <v>0</v>
      </c>
      <c r="K369" s="465">
        <f t="shared" si="5"/>
        <v>10751.77305</v>
      </c>
      <c r="L369" s="466"/>
      <c r="M369" s="466"/>
      <c r="N369" s="465">
        <v>0.0</v>
      </c>
      <c r="O369" s="465">
        <f t="shared" si="6"/>
        <v>10751.77305</v>
      </c>
      <c r="P369" s="467"/>
    </row>
    <row r="370" ht="26.25" customHeight="1">
      <c r="A370" s="459">
        <v>45948.0</v>
      </c>
      <c r="B370" s="460" t="s">
        <v>24</v>
      </c>
      <c r="C370" s="461" t="str">
        <f t="shared" si="1"/>
        <v>السبت</v>
      </c>
      <c r="D370" s="462">
        <v>0.3333333333333333</v>
      </c>
      <c r="E370" s="462">
        <v>0.7083333333333334</v>
      </c>
      <c r="F370" s="463">
        <v>400000.0</v>
      </c>
      <c r="G370" s="464">
        <f t="shared" si="21"/>
        <v>1702.12766</v>
      </c>
      <c r="H370" s="464">
        <f t="shared" si="7"/>
        <v>9</v>
      </c>
      <c r="I370" s="464">
        <f t="shared" si="3"/>
        <v>0</v>
      </c>
      <c r="J370" s="464">
        <f t="shared" si="4"/>
        <v>0</v>
      </c>
      <c r="K370" s="465">
        <f t="shared" si="5"/>
        <v>15319.14894</v>
      </c>
      <c r="L370" s="466"/>
      <c r="M370" s="466"/>
      <c r="N370" s="465">
        <f>IF(C370="الجمعة",0,IF(D370&gt;TIME(8,0,0),(D370-TIME(8,0,0))*24*60*(G370/60),0))</f>
        <v>0</v>
      </c>
      <c r="O370" s="465">
        <f t="shared" si="6"/>
        <v>15319.14894</v>
      </c>
      <c r="P370" s="467"/>
    </row>
    <row r="371" ht="26.25" customHeight="1">
      <c r="A371" s="459">
        <v>45949.0</v>
      </c>
      <c r="B371" s="460" t="s">
        <v>24</v>
      </c>
      <c r="C371" s="461" t="str">
        <f t="shared" si="1"/>
        <v>الأحد</v>
      </c>
      <c r="D371" s="462">
        <v>0.4583333333333333</v>
      </c>
      <c r="E371" s="462">
        <v>0.7083333333333334</v>
      </c>
      <c r="F371" s="463">
        <v>400000.0</v>
      </c>
      <c r="G371" s="464">
        <f t="shared" si="21"/>
        <v>1702.12766</v>
      </c>
      <c r="H371" s="464">
        <f t="shared" si="7"/>
        <v>6</v>
      </c>
      <c r="I371" s="464">
        <f t="shared" si="3"/>
        <v>0</v>
      </c>
      <c r="J371" s="464">
        <f t="shared" si="4"/>
        <v>0</v>
      </c>
      <c r="K371" s="465">
        <f t="shared" si="5"/>
        <v>10212.76596</v>
      </c>
      <c r="L371" s="466"/>
      <c r="M371" s="466"/>
      <c r="N371" s="465">
        <v>0.0</v>
      </c>
      <c r="O371" s="465">
        <f t="shared" si="6"/>
        <v>10212.76596</v>
      </c>
      <c r="P371" s="467"/>
    </row>
    <row r="372" ht="26.25" customHeight="1">
      <c r="A372" s="459">
        <v>45950.0</v>
      </c>
      <c r="B372" s="460" t="s">
        <v>24</v>
      </c>
      <c r="C372" s="461" t="str">
        <f t="shared" si="1"/>
        <v>الاثنين</v>
      </c>
      <c r="D372" s="462">
        <v>0.3333333333333333</v>
      </c>
      <c r="E372" s="462">
        <v>0.7083333333333334</v>
      </c>
      <c r="F372" s="463">
        <v>400000.0</v>
      </c>
      <c r="G372" s="464">
        <f t="shared" si="21"/>
        <v>1702.12766</v>
      </c>
      <c r="H372" s="464">
        <f t="shared" si="7"/>
        <v>9</v>
      </c>
      <c r="I372" s="464">
        <f t="shared" si="3"/>
        <v>0</v>
      </c>
      <c r="J372" s="464">
        <f t="shared" si="4"/>
        <v>0</v>
      </c>
      <c r="K372" s="465">
        <f t="shared" si="5"/>
        <v>15319.14894</v>
      </c>
      <c r="L372" s="466"/>
      <c r="M372" s="466"/>
      <c r="N372" s="465">
        <f>IF(C372="الجمعة",0,IF(D372&gt;TIME(8,0,0),(D372-TIME(8,0,0))*24*60*(G372/60),0))</f>
        <v>0</v>
      </c>
      <c r="O372" s="465">
        <f t="shared" si="6"/>
        <v>15319.14894</v>
      </c>
      <c r="P372" s="467"/>
    </row>
    <row r="373" ht="26.25" customHeight="1">
      <c r="A373" s="459">
        <v>45951.0</v>
      </c>
      <c r="B373" s="460" t="s">
        <v>24</v>
      </c>
      <c r="C373" s="461" t="str">
        <f t="shared" si="1"/>
        <v>الثلاثاء</v>
      </c>
      <c r="D373" s="462">
        <v>0.5395833333333333</v>
      </c>
      <c r="E373" s="462">
        <v>0.7083333333333334</v>
      </c>
      <c r="F373" s="463">
        <v>400000.0</v>
      </c>
      <c r="G373" s="464">
        <f t="shared" si="21"/>
        <v>1702.12766</v>
      </c>
      <c r="H373" s="464">
        <f t="shared" si="7"/>
        <v>4.05</v>
      </c>
      <c r="I373" s="464">
        <f t="shared" si="3"/>
        <v>0</v>
      </c>
      <c r="J373" s="464">
        <f t="shared" si="4"/>
        <v>0</v>
      </c>
      <c r="K373" s="465">
        <f t="shared" si="5"/>
        <v>6893.617021</v>
      </c>
      <c r="L373" s="466"/>
      <c r="M373" s="466"/>
      <c r="N373" s="465">
        <v>0.0</v>
      </c>
      <c r="O373" s="465">
        <f t="shared" si="6"/>
        <v>6893.617021</v>
      </c>
      <c r="P373" s="467"/>
    </row>
    <row r="374" ht="26.25" customHeight="1">
      <c r="A374" s="459">
        <v>45953.0</v>
      </c>
      <c r="B374" s="460" t="s">
        <v>24</v>
      </c>
      <c r="C374" s="461" t="str">
        <f t="shared" si="1"/>
        <v>الخميس</v>
      </c>
      <c r="D374" s="462">
        <v>0.5493055555555556</v>
      </c>
      <c r="E374" s="462">
        <v>0.7083333333333334</v>
      </c>
      <c r="F374" s="463">
        <v>400000.0</v>
      </c>
      <c r="G374" s="464">
        <f t="shared" si="21"/>
        <v>1702.12766</v>
      </c>
      <c r="H374" s="464">
        <f t="shared" si="7"/>
        <v>3.816666667</v>
      </c>
      <c r="I374" s="464">
        <f t="shared" si="3"/>
        <v>0</v>
      </c>
      <c r="J374" s="464">
        <f t="shared" si="4"/>
        <v>0</v>
      </c>
      <c r="K374" s="465">
        <f t="shared" si="5"/>
        <v>6496.453901</v>
      </c>
      <c r="L374" s="466"/>
      <c r="M374" s="466"/>
      <c r="N374" s="465">
        <v>0.0</v>
      </c>
      <c r="O374" s="465">
        <f t="shared" si="6"/>
        <v>6496.453901</v>
      </c>
      <c r="P374" s="467"/>
    </row>
    <row r="375" ht="26.25" customHeight="1">
      <c r="A375" s="459">
        <v>45955.0</v>
      </c>
      <c r="B375" s="460" t="s">
        <v>24</v>
      </c>
      <c r="C375" s="461" t="str">
        <f t="shared" si="1"/>
        <v>السبت</v>
      </c>
      <c r="D375" s="462">
        <v>0.34652777777777777</v>
      </c>
      <c r="E375" s="462">
        <v>0.7083333333333334</v>
      </c>
      <c r="F375" s="463">
        <v>400000.0</v>
      </c>
      <c r="G375" s="464">
        <f t="shared" si="21"/>
        <v>1702.12766</v>
      </c>
      <c r="H375" s="464">
        <f t="shared" si="7"/>
        <v>8.683333333</v>
      </c>
      <c r="I375" s="464">
        <f t="shared" si="3"/>
        <v>0</v>
      </c>
      <c r="J375" s="464">
        <f t="shared" si="4"/>
        <v>0</v>
      </c>
      <c r="K375" s="465">
        <f t="shared" si="5"/>
        <v>14780.14184</v>
      </c>
      <c r="L375" s="466"/>
      <c r="M375" s="466"/>
      <c r="N375" s="465">
        <f>IF(C375="الجمعة",0,IF(D375&gt;TIME(8,0,0),(D375-TIME(8,0,0))*24*60*(G375/60),0))</f>
        <v>539.0070922</v>
      </c>
      <c r="O375" s="465">
        <f t="shared" si="6"/>
        <v>14241.13475</v>
      </c>
      <c r="P375" s="467"/>
    </row>
    <row r="376" ht="26.25" customHeight="1">
      <c r="A376" s="459">
        <v>45956.0</v>
      </c>
      <c r="B376" s="460" t="s">
        <v>24</v>
      </c>
      <c r="C376" s="461" t="str">
        <f t="shared" si="1"/>
        <v>الأحد</v>
      </c>
      <c r="D376" s="462">
        <v>0.5152777777777777</v>
      </c>
      <c r="E376" s="462">
        <v>0.7104166666666667</v>
      </c>
      <c r="F376" s="463">
        <v>400000.0</v>
      </c>
      <c r="G376" s="464">
        <f t="shared" si="21"/>
        <v>1702.12766</v>
      </c>
      <c r="H376" s="464">
        <f t="shared" si="7"/>
        <v>4.683333333</v>
      </c>
      <c r="I376" s="464">
        <f t="shared" si="3"/>
        <v>0</v>
      </c>
      <c r="J376" s="464">
        <f t="shared" si="4"/>
        <v>0</v>
      </c>
      <c r="K376" s="465">
        <f t="shared" si="5"/>
        <v>7971.631206</v>
      </c>
      <c r="L376" s="466"/>
      <c r="M376" s="466"/>
      <c r="N376" s="465">
        <v>0.0</v>
      </c>
      <c r="O376" s="465">
        <f t="shared" si="6"/>
        <v>7971.631206</v>
      </c>
      <c r="P376" s="467"/>
    </row>
    <row r="377" ht="26.25" customHeight="1">
      <c r="A377" s="459">
        <v>45957.0</v>
      </c>
      <c r="B377" s="460" t="s">
        <v>24</v>
      </c>
      <c r="C377" s="461" t="str">
        <f t="shared" si="1"/>
        <v>الاثنين</v>
      </c>
      <c r="D377" s="462">
        <v>0.5111111111111111</v>
      </c>
      <c r="E377" s="462">
        <v>0.725</v>
      </c>
      <c r="F377" s="463">
        <v>400000.0</v>
      </c>
      <c r="G377" s="464">
        <f t="shared" si="21"/>
        <v>1702.12766</v>
      </c>
      <c r="H377" s="464">
        <f t="shared" si="7"/>
        <v>5.133333333</v>
      </c>
      <c r="I377" s="464">
        <f t="shared" si="3"/>
        <v>0</v>
      </c>
      <c r="J377" s="464">
        <f t="shared" si="4"/>
        <v>0</v>
      </c>
      <c r="K377" s="465">
        <f t="shared" si="5"/>
        <v>8737.588652</v>
      </c>
      <c r="L377" s="466"/>
      <c r="M377" s="466"/>
      <c r="N377" s="465">
        <v>0.0</v>
      </c>
      <c r="O377" s="465">
        <f t="shared" si="6"/>
        <v>8737.588652</v>
      </c>
      <c r="P377" s="467"/>
    </row>
    <row r="378" ht="26.25" customHeight="1">
      <c r="A378" s="459">
        <v>45958.0</v>
      </c>
      <c r="B378" s="460" t="s">
        <v>24</v>
      </c>
      <c r="C378" s="461" t="str">
        <f t="shared" si="1"/>
        <v>الثلاثاء</v>
      </c>
      <c r="D378" s="462">
        <v>0.5131944444444444</v>
      </c>
      <c r="E378" s="462">
        <v>0.7090277777777778</v>
      </c>
      <c r="F378" s="463">
        <v>400000.0</v>
      </c>
      <c r="G378" s="464">
        <f t="shared" si="21"/>
        <v>1702.12766</v>
      </c>
      <c r="H378" s="464">
        <f t="shared" si="7"/>
        <v>4.7</v>
      </c>
      <c r="I378" s="464">
        <f t="shared" si="3"/>
        <v>0</v>
      </c>
      <c r="J378" s="464">
        <f t="shared" si="4"/>
        <v>0</v>
      </c>
      <c r="K378" s="465">
        <f t="shared" si="5"/>
        <v>8000</v>
      </c>
      <c r="L378" s="466"/>
      <c r="M378" s="466"/>
      <c r="N378" s="466"/>
      <c r="O378" s="465">
        <f t="shared" si="6"/>
        <v>8000</v>
      </c>
      <c r="P378" s="470"/>
    </row>
    <row r="379" ht="26.25" customHeight="1">
      <c r="A379" s="459">
        <v>45959.0</v>
      </c>
      <c r="B379" s="460" t="s">
        <v>24</v>
      </c>
      <c r="C379" s="461" t="str">
        <f t="shared" si="1"/>
        <v>الأربعاء</v>
      </c>
      <c r="D379" s="462">
        <v>0.49444444444444446</v>
      </c>
      <c r="E379" s="462">
        <v>0.7090277777777778</v>
      </c>
      <c r="F379" s="463">
        <v>400000.0</v>
      </c>
      <c r="G379" s="464">
        <f t="shared" si="21"/>
        <v>1702.12766</v>
      </c>
      <c r="H379" s="464">
        <f t="shared" si="7"/>
        <v>5.15</v>
      </c>
      <c r="I379" s="464">
        <f t="shared" si="3"/>
        <v>0</v>
      </c>
      <c r="J379" s="464">
        <f t="shared" si="4"/>
        <v>0</v>
      </c>
      <c r="K379" s="465">
        <f t="shared" si="5"/>
        <v>8765.957447</v>
      </c>
      <c r="L379" s="466"/>
      <c r="M379" s="465">
        <v>50000.0</v>
      </c>
      <c r="N379" s="466"/>
      <c r="O379" s="465">
        <f t="shared" si="6"/>
        <v>-41234.04255</v>
      </c>
      <c r="P379" s="470"/>
    </row>
    <row r="380" ht="26.25" customHeight="1">
      <c r="A380" s="459">
        <v>45960.0</v>
      </c>
      <c r="B380" s="460" t="s">
        <v>24</v>
      </c>
      <c r="C380" s="461" t="str">
        <f t="shared" si="1"/>
        <v>الخميس</v>
      </c>
      <c r="D380" s="462">
        <v>0.5076388888888889</v>
      </c>
      <c r="E380" s="462">
        <v>0.7104166666666667</v>
      </c>
      <c r="F380" s="463">
        <v>400000.0</v>
      </c>
      <c r="G380" s="464">
        <f t="shared" si="21"/>
        <v>1702.12766</v>
      </c>
      <c r="H380" s="464">
        <f t="shared" si="7"/>
        <v>4.866666667</v>
      </c>
      <c r="I380" s="464">
        <f t="shared" si="3"/>
        <v>0</v>
      </c>
      <c r="J380" s="464">
        <f t="shared" si="4"/>
        <v>0</v>
      </c>
      <c r="K380" s="465">
        <f t="shared" si="5"/>
        <v>8283.687943</v>
      </c>
      <c r="L380" s="466"/>
      <c r="M380" s="466"/>
      <c r="N380" s="466"/>
      <c r="O380" s="465">
        <f t="shared" si="6"/>
        <v>8283.687943</v>
      </c>
      <c r="P380" s="467"/>
    </row>
    <row r="381" ht="26.25" customHeight="1">
      <c r="A381" s="459">
        <v>45931.0</v>
      </c>
      <c r="B381" s="460" t="s">
        <v>21</v>
      </c>
      <c r="C381" s="461" t="str">
        <f t="shared" si="1"/>
        <v>الأربعاء</v>
      </c>
      <c r="D381" s="462">
        <v>0.4152777777777778</v>
      </c>
      <c r="E381" s="462">
        <v>0.7569444444444444</v>
      </c>
      <c r="F381" s="463">
        <v>600000.0</v>
      </c>
      <c r="G381" s="464">
        <f t="shared" si="21"/>
        <v>2553.191489</v>
      </c>
      <c r="H381" s="464">
        <f t="shared" si="7"/>
        <v>8.033333333</v>
      </c>
      <c r="I381" s="464">
        <f t="shared" si="3"/>
        <v>0.1666666667</v>
      </c>
      <c r="J381" s="464">
        <f t="shared" si="4"/>
        <v>0</v>
      </c>
      <c r="K381" s="465">
        <f t="shared" si="5"/>
        <v>21148.93617</v>
      </c>
      <c r="L381" s="466"/>
      <c r="M381" s="466"/>
      <c r="N381" s="465">
        <f t="shared" ref="N381:N404" si="24">IF(C381="الجمعة",0,IF(D381&gt;TIME(8,0,0),(D381-TIME(8,0,0))*24*60*(G381/60),0))</f>
        <v>5021.276596</v>
      </c>
      <c r="O381" s="465">
        <f t="shared" si="6"/>
        <v>16127.65957</v>
      </c>
      <c r="P381" s="467"/>
    </row>
    <row r="382" ht="26.25" customHeight="1">
      <c r="A382" s="459">
        <v>45932.0</v>
      </c>
      <c r="B382" s="460" t="s">
        <v>21</v>
      </c>
      <c r="C382" s="461" t="str">
        <f t="shared" si="1"/>
        <v>الخميس</v>
      </c>
      <c r="D382" s="462">
        <v>0.3402777777777778</v>
      </c>
      <c r="E382" s="462">
        <v>0.7166666666666667</v>
      </c>
      <c r="F382" s="463">
        <v>600000.0</v>
      </c>
      <c r="G382" s="464">
        <f t="shared" si="21"/>
        <v>2553.191489</v>
      </c>
      <c r="H382" s="464">
        <f t="shared" si="7"/>
        <v>9.033333333</v>
      </c>
      <c r="I382" s="464">
        <f t="shared" si="3"/>
        <v>0</v>
      </c>
      <c r="J382" s="464">
        <f t="shared" si="4"/>
        <v>0</v>
      </c>
      <c r="K382" s="465">
        <f t="shared" si="5"/>
        <v>23063.82979</v>
      </c>
      <c r="L382" s="466"/>
      <c r="M382" s="466"/>
      <c r="N382" s="465">
        <f t="shared" si="24"/>
        <v>425.5319149</v>
      </c>
      <c r="O382" s="465">
        <f t="shared" si="6"/>
        <v>22638.29787</v>
      </c>
      <c r="P382" s="467"/>
    </row>
    <row r="383" ht="26.25" customHeight="1">
      <c r="A383" s="459">
        <v>45934.0</v>
      </c>
      <c r="B383" s="460" t="s">
        <v>21</v>
      </c>
      <c r="C383" s="461" t="str">
        <f t="shared" si="1"/>
        <v>السبت</v>
      </c>
      <c r="D383" s="462">
        <v>0.3402777777777778</v>
      </c>
      <c r="E383" s="462">
        <v>0.5972222222222222</v>
      </c>
      <c r="F383" s="463">
        <v>600000.0</v>
      </c>
      <c r="G383" s="464">
        <f t="shared" si="21"/>
        <v>2553.191489</v>
      </c>
      <c r="H383" s="464">
        <f t="shared" si="7"/>
        <v>6.166666667</v>
      </c>
      <c r="I383" s="464">
        <f t="shared" si="3"/>
        <v>0</v>
      </c>
      <c r="J383" s="464">
        <f t="shared" si="4"/>
        <v>0</v>
      </c>
      <c r="K383" s="465">
        <f t="shared" si="5"/>
        <v>15744.68085</v>
      </c>
      <c r="L383" s="466"/>
      <c r="M383" s="466"/>
      <c r="N383" s="465">
        <f t="shared" si="24"/>
        <v>425.5319149</v>
      </c>
      <c r="O383" s="465">
        <f t="shared" si="6"/>
        <v>15319.14894</v>
      </c>
      <c r="P383" s="467"/>
    </row>
    <row r="384" ht="26.25" customHeight="1">
      <c r="A384" s="459">
        <v>45935.0</v>
      </c>
      <c r="B384" s="460" t="s">
        <v>21</v>
      </c>
      <c r="C384" s="461" t="str">
        <f t="shared" si="1"/>
        <v>الأحد</v>
      </c>
      <c r="D384" s="462">
        <v>0.33958333333333335</v>
      </c>
      <c r="E384" s="462">
        <v>0.7506944444444444</v>
      </c>
      <c r="F384" s="463">
        <v>600000.0</v>
      </c>
      <c r="G384" s="464">
        <f t="shared" si="21"/>
        <v>2553.191489</v>
      </c>
      <c r="H384" s="464">
        <f t="shared" si="7"/>
        <v>9.85</v>
      </c>
      <c r="I384" s="464">
        <f t="shared" si="3"/>
        <v>0.01666666667</v>
      </c>
      <c r="J384" s="464">
        <f t="shared" si="4"/>
        <v>0</v>
      </c>
      <c r="K384" s="465">
        <f t="shared" si="5"/>
        <v>25212.76596</v>
      </c>
      <c r="L384" s="466"/>
      <c r="M384" s="466"/>
      <c r="N384" s="465">
        <f t="shared" si="24"/>
        <v>382.9787234</v>
      </c>
      <c r="O384" s="465">
        <f t="shared" si="6"/>
        <v>24829.78723</v>
      </c>
      <c r="P384" s="467"/>
    </row>
    <row r="385" ht="26.25" customHeight="1">
      <c r="A385" s="459">
        <v>45936.0</v>
      </c>
      <c r="B385" s="460" t="s">
        <v>21</v>
      </c>
      <c r="C385" s="461" t="str">
        <f t="shared" si="1"/>
        <v>الاثنين</v>
      </c>
      <c r="D385" s="462">
        <v>0.33819444444444446</v>
      </c>
      <c r="E385" s="462">
        <v>0.7215277777777778</v>
      </c>
      <c r="F385" s="463">
        <v>600000.0</v>
      </c>
      <c r="G385" s="464">
        <f t="shared" si="21"/>
        <v>2553.191489</v>
      </c>
      <c r="H385" s="464">
        <f t="shared" si="7"/>
        <v>9.2</v>
      </c>
      <c r="I385" s="464">
        <f t="shared" si="3"/>
        <v>0</v>
      </c>
      <c r="J385" s="464">
        <f t="shared" si="4"/>
        <v>0</v>
      </c>
      <c r="K385" s="465">
        <f t="shared" si="5"/>
        <v>23489.3617</v>
      </c>
      <c r="L385" s="466"/>
      <c r="M385" s="466"/>
      <c r="N385" s="465">
        <f t="shared" si="24"/>
        <v>297.8723404</v>
      </c>
      <c r="O385" s="465">
        <f t="shared" si="6"/>
        <v>23191.48936</v>
      </c>
      <c r="P385" s="467"/>
    </row>
    <row r="386" ht="26.25" customHeight="1">
      <c r="A386" s="459">
        <v>45937.0</v>
      </c>
      <c r="B386" s="460" t="s">
        <v>21</v>
      </c>
      <c r="C386" s="461" t="str">
        <f t="shared" si="1"/>
        <v>الثلاثاء</v>
      </c>
      <c r="D386" s="462">
        <v>0.3402777777777778</v>
      </c>
      <c r="E386" s="462">
        <v>0.7104166666666667</v>
      </c>
      <c r="F386" s="463">
        <v>600000.0</v>
      </c>
      <c r="G386" s="464">
        <f t="shared" si="21"/>
        <v>2553.191489</v>
      </c>
      <c r="H386" s="464">
        <f t="shared" si="7"/>
        <v>8.883333333</v>
      </c>
      <c r="I386" s="464">
        <f t="shared" si="3"/>
        <v>0</v>
      </c>
      <c r="J386" s="464">
        <f t="shared" si="4"/>
        <v>0</v>
      </c>
      <c r="K386" s="465">
        <f t="shared" si="5"/>
        <v>22680.85106</v>
      </c>
      <c r="L386" s="466"/>
      <c r="M386" s="466"/>
      <c r="N386" s="465">
        <f t="shared" si="24"/>
        <v>425.5319149</v>
      </c>
      <c r="O386" s="465">
        <f t="shared" si="6"/>
        <v>22255.31915</v>
      </c>
      <c r="P386" s="467"/>
    </row>
    <row r="387" ht="26.25" customHeight="1">
      <c r="A387" s="459">
        <v>45938.0</v>
      </c>
      <c r="B387" s="460" t="s">
        <v>21</v>
      </c>
      <c r="C387" s="461" t="str">
        <f t="shared" si="1"/>
        <v>الأربعاء</v>
      </c>
      <c r="D387" s="462">
        <v>0.3333333333333333</v>
      </c>
      <c r="E387" s="462">
        <v>0.7236111111111111</v>
      </c>
      <c r="F387" s="463">
        <v>600000.0</v>
      </c>
      <c r="G387" s="464">
        <f t="shared" si="21"/>
        <v>2553.191489</v>
      </c>
      <c r="H387" s="464">
        <f t="shared" si="7"/>
        <v>9.366666667</v>
      </c>
      <c r="I387" s="464">
        <f t="shared" si="3"/>
        <v>0</v>
      </c>
      <c r="J387" s="464">
        <f t="shared" si="4"/>
        <v>0</v>
      </c>
      <c r="K387" s="465">
        <f t="shared" si="5"/>
        <v>23914.89362</v>
      </c>
      <c r="L387" s="466"/>
      <c r="M387" s="466"/>
      <c r="N387" s="465">
        <f t="shared" si="24"/>
        <v>0</v>
      </c>
      <c r="O387" s="465">
        <f t="shared" si="6"/>
        <v>23914.89362</v>
      </c>
      <c r="P387" s="468" t="s">
        <v>2488</v>
      </c>
    </row>
    <row r="388" ht="26.25" customHeight="1">
      <c r="A388" s="459">
        <v>45939.0</v>
      </c>
      <c r="B388" s="460" t="s">
        <v>21</v>
      </c>
      <c r="C388" s="461" t="str">
        <f t="shared" si="1"/>
        <v>الخميس</v>
      </c>
      <c r="D388" s="462">
        <v>0.3333333333333333</v>
      </c>
      <c r="E388" s="462">
        <v>0.7916666666666666</v>
      </c>
      <c r="F388" s="463">
        <v>600000.0</v>
      </c>
      <c r="G388" s="464">
        <f t="shared" si="21"/>
        <v>2553.191489</v>
      </c>
      <c r="H388" s="464">
        <f t="shared" si="7"/>
        <v>10</v>
      </c>
      <c r="I388" s="464">
        <f t="shared" si="3"/>
        <v>1</v>
      </c>
      <c r="J388" s="464">
        <f t="shared" si="4"/>
        <v>0</v>
      </c>
      <c r="K388" s="465">
        <f t="shared" si="5"/>
        <v>29361.70213</v>
      </c>
      <c r="L388" s="466"/>
      <c r="M388" s="466"/>
      <c r="N388" s="465">
        <f t="shared" si="24"/>
        <v>0</v>
      </c>
      <c r="O388" s="465">
        <f t="shared" si="6"/>
        <v>29361.70213</v>
      </c>
      <c r="P388" s="468" t="s">
        <v>2489</v>
      </c>
    </row>
    <row r="389" ht="26.25" customHeight="1">
      <c r="A389" s="459">
        <v>45941.0</v>
      </c>
      <c r="B389" s="460" t="s">
        <v>21</v>
      </c>
      <c r="C389" s="461" t="str">
        <f t="shared" si="1"/>
        <v>السبت</v>
      </c>
      <c r="D389" s="462">
        <v>0.27569444444444446</v>
      </c>
      <c r="E389" s="462">
        <v>0.7145833333333333</v>
      </c>
      <c r="F389" s="463">
        <v>600000.0</v>
      </c>
      <c r="G389" s="464">
        <f t="shared" si="21"/>
        <v>2553.191489</v>
      </c>
      <c r="H389" s="464">
        <f t="shared" si="7"/>
        <v>10.53333333</v>
      </c>
      <c r="I389" s="464">
        <f t="shared" si="3"/>
        <v>0</v>
      </c>
      <c r="J389" s="464">
        <f t="shared" si="4"/>
        <v>0</v>
      </c>
      <c r="K389" s="465">
        <f t="shared" si="5"/>
        <v>26893.61702</v>
      </c>
      <c r="L389" s="466"/>
      <c r="M389" s="466"/>
      <c r="N389" s="465">
        <f t="shared" si="24"/>
        <v>0</v>
      </c>
      <c r="O389" s="465">
        <f t="shared" si="6"/>
        <v>26893.61702</v>
      </c>
      <c r="P389" s="475" t="s">
        <v>2490</v>
      </c>
    </row>
    <row r="390" ht="26.25" customHeight="1">
      <c r="A390" s="459">
        <v>45942.0</v>
      </c>
      <c r="B390" s="460" t="s">
        <v>21</v>
      </c>
      <c r="C390" s="461" t="str">
        <f t="shared" si="1"/>
        <v>الأحد</v>
      </c>
      <c r="D390" s="462">
        <v>0.3333333333333333</v>
      </c>
      <c r="E390" s="462">
        <v>0.7180555555555556</v>
      </c>
      <c r="F390" s="463">
        <v>600000.0</v>
      </c>
      <c r="G390" s="464">
        <f t="shared" si="21"/>
        <v>2553.191489</v>
      </c>
      <c r="H390" s="464">
        <f t="shared" si="7"/>
        <v>9.233333333</v>
      </c>
      <c r="I390" s="464">
        <f t="shared" si="3"/>
        <v>0</v>
      </c>
      <c r="J390" s="464">
        <f t="shared" si="4"/>
        <v>0</v>
      </c>
      <c r="K390" s="465">
        <f t="shared" si="5"/>
        <v>23574.46809</v>
      </c>
      <c r="L390" s="466"/>
      <c r="M390" s="466"/>
      <c r="N390" s="465">
        <f t="shared" si="24"/>
        <v>0</v>
      </c>
      <c r="O390" s="465">
        <f t="shared" si="6"/>
        <v>23574.46809</v>
      </c>
      <c r="P390" s="467"/>
    </row>
    <row r="391" ht="26.25" customHeight="1">
      <c r="A391" s="459">
        <v>45943.0</v>
      </c>
      <c r="B391" s="460" t="s">
        <v>21</v>
      </c>
      <c r="C391" s="461" t="str">
        <f t="shared" si="1"/>
        <v>الاثنين</v>
      </c>
      <c r="D391" s="462">
        <v>0.3333333333333333</v>
      </c>
      <c r="E391" s="462">
        <v>0.9395833333333333</v>
      </c>
      <c r="F391" s="463">
        <v>600000.0</v>
      </c>
      <c r="G391" s="464">
        <f t="shared" si="21"/>
        <v>2553.191489</v>
      </c>
      <c r="H391" s="464">
        <f t="shared" si="7"/>
        <v>10</v>
      </c>
      <c r="I391" s="464">
        <f t="shared" si="3"/>
        <v>4.55</v>
      </c>
      <c r="J391" s="464">
        <f t="shared" si="4"/>
        <v>0</v>
      </c>
      <c r="K391" s="465">
        <f t="shared" si="5"/>
        <v>42957.44681</v>
      </c>
      <c r="L391" s="466"/>
      <c r="M391" s="466"/>
      <c r="N391" s="465">
        <f t="shared" si="24"/>
        <v>0</v>
      </c>
      <c r="O391" s="465">
        <f t="shared" si="6"/>
        <v>42957.44681</v>
      </c>
      <c r="P391" s="468" t="s">
        <v>2491</v>
      </c>
    </row>
    <row r="392" ht="26.25" customHeight="1">
      <c r="A392" s="459">
        <v>45944.0</v>
      </c>
      <c r="B392" s="460" t="s">
        <v>21</v>
      </c>
      <c r="C392" s="461" t="str">
        <f t="shared" si="1"/>
        <v>الثلاثاء</v>
      </c>
      <c r="D392" s="462">
        <v>0.3333333333333333</v>
      </c>
      <c r="E392" s="462">
        <v>0.7416666666666667</v>
      </c>
      <c r="F392" s="463">
        <v>600000.0</v>
      </c>
      <c r="G392" s="464">
        <f t="shared" si="21"/>
        <v>2553.191489</v>
      </c>
      <c r="H392" s="464">
        <f t="shared" si="7"/>
        <v>9.8</v>
      </c>
      <c r="I392" s="464">
        <f t="shared" si="3"/>
        <v>0</v>
      </c>
      <c r="J392" s="464">
        <f t="shared" si="4"/>
        <v>0</v>
      </c>
      <c r="K392" s="465">
        <f t="shared" si="5"/>
        <v>25021.2766</v>
      </c>
      <c r="L392" s="466"/>
      <c r="M392" s="466"/>
      <c r="N392" s="465">
        <f t="shared" si="24"/>
        <v>0</v>
      </c>
      <c r="O392" s="465">
        <f t="shared" si="6"/>
        <v>25021.2766</v>
      </c>
      <c r="P392" s="467"/>
    </row>
    <row r="393" ht="26.25" customHeight="1">
      <c r="A393" s="459">
        <v>45945.0</v>
      </c>
      <c r="B393" s="460" t="s">
        <v>21</v>
      </c>
      <c r="C393" s="461" t="str">
        <f t="shared" si="1"/>
        <v>الأربعاء</v>
      </c>
      <c r="D393" s="462">
        <v>0.35138888888888886</v>
      </c>
      <c r="E393" s="462">
        <v>0.8902777777777777</v>
      </c>
      <c r="F393" s="463">
        <v>600000.0</v>
      </c>
      <c r="G393" s="464">
        <f t="shared" si="21"/>
        <v>2553.191489</v>
      </c>
      <c r="H393" s="464">
        <f t="shared" si="7"/>
        <v>9.566666667</v>
      </c>
      <c r="I393" s="464">
        <f t="shared" si="3"/>
        <v>3.366666667</v>
      </c>
      <c r="J393" s="464">
        <f t="shared" si="4"/>
        <v>0</v>
      </c>
      <c r="K393" s="465">
        <f t="shared" si="5"/>
        <v>37319.14894</v>
      </c>
      <c r="L393" s="466"/>
      <c r="M393" s="466"/>
      <c r="N393" s="465">
        <f t="shared" si="24"/>
        <v>1106.382979</v>
      </c>
      <c r="O393" s="465">
        <f t="shared" si="6"/>
        <v>36212.76596</v>
      </c>
      <c r="P393" s="467"/>
    </row>
    <row r="394" ht="26.25" customHeight="1">
      <c r="A394" s="459">
        <v>45946.0</v>
      </c>
      <c r="B394" s="460" t="s">
        <v>21</v>
      </c>
      <c r="C394" s="461" t="str">
        <f t="shared" si="1"/>
        <v>الخميس</v>
      </c>
      <c r="D394" s="462">
        <v>0.3333333333333333</v>
      </c>
      <c r="E394" s="462">
        <v>0.8652777777777778</v>
      </c>
      <c r="F394" s="463">
        <v>600000.0</v>
      </c>
      <c r="G394" s="464">
        <f t="shared" si="21"/>
        <v>2553.191489</v>
      </c>
      <c r="H394" s="464">
        <f t="shared" si="7"/>
        <v>10</v>
      </c>
      <c r="I394" s="464">
        <f t="shared" si="3"/>
        <v>2.766666667</v>
      </c>
      <c r="J394" s="464">
        <f t="shared" si="4"/>
        <v>0</v>
      </c>
      <c r="K394" s="465">
        <f t="shared" si="5"/>
        <v>36127.65957</v>
      </c>
      <c r="L394" s="466"/>
      <c r="M394" s="466"/>
      <c r="N394" s="465">
        <f t="shared" si="24"/>
        <v>0</v>
      </c>
      <c r="O394" s="465">
        <f t="shared" si="6"/>
        <v>36127.65957</v>
      </c>
      <c r="P394" s="468" t="s">
        <v>2492</v>
      </c>
    </row>
    <row r="395" ht="26.25" customHeight="1">
      <c r="A395" s="459">
        <v>45948.0</v>
      </c>
      <c r="B395" s="460" t="s">
        <v>21</v>
      </c>
      <c r="C395" s="461" t="str">
        <f t="shared" si="1"/>
        <v>السبت</v>
      </c>
      <c r="D395" s="462">
        <v>0.3333333333333333</v>
      </c>
      <c r="E395" s="462">
        <v>0.7784722222222222</v>
      </c>
      <c r="F395" s="463">
        <v>600000.0</v>
      </c>
      <c r="G395" s="464">
        <f t="shared" si="21"/>
        <v>2553.191489</v>
      </c>
      <c r="H395" s="464">
        <f t="shared" si="7"/>
        <v>10</v>
      </c>
      <c r="I395" s="464">
        <f t="shared" si="3"/>
        <v>0.6833333333</v>
      </c>
      <c r="J395" s="464">
        <f t="shared" si="4"/>
        <v>0</v>
      </c>
      <c r="K395" s="465">
        <f t="shared" si="5"/>
        <v>28148.93617</v>
      </c>
      <c r="L395" s="466"/>
      <c r="M395" s="466"/>
      <c r="N395" s="465">
        <f t="shared" si="24"/>
        <v>0</v>
      </c>
      <c r="O395" s="465">
        <f t="shared" si="6"/>
        <v>28148.93617</v>
      </c>
      <c r="P395" s="467"/>
    </row>
    <row r="396" ht="26.25" customHeight="1">
      <c r="A396" s="459">
        <v>45949.0</v>
      </c>
      <c r="B396" s="460" t="s">
        <v>21</v>
      </c>
      <c r="C396" s="461" t="str">
        <f t="shared" si="1"/>
        <v>الأحد</v>
      </c>
      <c r="D396" s="462">
        <v>0.3527777777777778</v>
      </c>
      <c r="E396" s="462">
        <v>0.7256944444444444</v>
      </c>
      <c r="F396" s="463">
        <v>600000.0</v>
      </c>
      <c r="G396" s="464">
        <f t="shared" si="21"/>
        <v>2553.191489</v>
      </c>
      <c r="H396" s="464">
        <f t="shared" si="7"/>
        <v>8.95</v>
      </c>
      <c r="I396" s="464">
        <f t="shared" si="3"/>
        <v>0</v>
      </c>
      <c r="J396" s="464">
        <f t="shared" si="4"/>
        <v>0</v>
      </c>
      <c r="K396" s="465">
        <f t="shared" si="5"/>
        <v>22851.06383</v>
      </c>
      <c r="L396" s="466"/>
      <c r="M396" s="466"/>
      <c r="N396" s="465">
        <f t="shared" si="24"/>
        <v>1191.489362</v>
      </c>
      <c r="O396" s="465">
        <f t="shared" si="6"/>
        <v>21659.57447</v>
      </c>
      <c r="P396" s="467"/>
    </row>
    <row r="397" ht="26.25" customHeight="1">
      <c r="A397" s="459">
        <v>45950.0</v>
      </c>
      <c r="B397" s="460" t="s">
        <v>21</v>
      </c>
      <c r="C397" s="461" t="str">
        <f t="shared" si="1"/>
        <v>الاثنين</v>
      </c>
      <c r="D397" s="462">
        <v>0.3333333333333333</v>
      </c>
      <c r="E397" s="462">
        <v>0.8243055555555555</v>
      </c>
      <c r="F397" s="463">
        <v>600000.0</v>
      </c>
      <c r="G397" s="464">
        <f t="shared" si="21"/>
        <v>2553.191489</v>
      </c>
      <c r="H397" s="464">
        <f t="shared" si="7"/>
        <v>10</v>
      </c>
      <c r="I397" s="464">
        <f t="shared" si="3"/>
        <v>1.783333333</v>
      </c>
      <c r="J397" s="464">
        <f t="shared" si="4"/>
        <v>0</v>
      </c>
      <c r="K397" s="465">
        <f t="shared" si="5"/>
        <v>32361.70213</v>
      </c>
      <c r="L397" s="466"/>
      <c r="M397" s="466"/>
      <c r="N397" s="465">
        <f t="shared" si="24"/>
        <v>0</v>
      </c>
      <c r="O397" s="465">
        <f t="shared" si="6"/>
        <v>32361.70213</v>
      </c>
      <c r="P397" s="468" t="s">
        <v>2493</v>
      </c>
    </row>
    <row r="398" ht="26.25" customHeight="1">
      <c r="A398" s="459">
        <v>45953.0</v>
      </c>
      <c r="B398" s="460" t="s">
        <v>21</v>
      </c>
      <c r="C398" s="461" t="str">
        <f t="shared" si="1"/>
        <v>الخميس</v>
      </c>
      <c r="D398" s="462">
        <v>0.3541666666666667</v>
      </c>
      <c r="E398" s="462">
        <v>0.7069444444444445</v>
      </c>
      <c r="F398" s="463">
        <v>600000.0</v>
      </c>
      <c r="G398" s="464">
        <f t="shared" si="21"/>
        <v>2553.191489</v>
      </c>
      <c r="H398" s="464">
        <f t="shared" si="7"/>
        <v>8.466666667</v>
      </c>
      <c r="I398" s="464">
        <f t="shared" si="3"/>
        <v>0</v>
      </c>
      <c r="J398" s="464">
        <f t="shared" si="4"/>
        <v>0</v>
      </c>
      <c r="K398" s="465">
        <f t="shared" si="5"/>
        <v>21617.02128</v>
      </c>
      <c r="L398" s="466"/>
      <c r="M398" s="466"/>
      <c r="N398" s="465">
        <f t="shared" si="24"/>
        <v>1276.595745</v>
      </c>
      <c r="O398" s="465">
        <f t="shared" si="6"/>
        <v>20340.42553</v>
      </c>
      <c r="P398" s="468">
        <v>20000.0</v>
      </c>
    </row>
    <row r="399" ht="26.25" customHeight="1">
      <c r="A399" s="459">
        <v>45955.0</v>
      </c>
      <c r="B399" s="460" t="s">
        <v>21</v>
      </c>
      <c r="C399" s="461" t="str">
        <f t="shared" si="1"/>
        <v>السبت</v>
      </c>
      <c r="D399" s="462">
        <v>0.33055555555555555</v>
      </c>
      <c r="E399" s="462">
        <v>0.7138888888888889</v>
      </c>
      <c r="F399" s="463">
        <v>600000.0</v>
      </c>
      <c r="G399" s="464">
        <f t="shared" si="21"/>
        <v>2553.191489</v>
      </c>
      <c r="H399" s="464">
        <f t="shared" si="7"/>
        <v>9.2</v>
      </c>
      <c r="I399" s="464">
        <f t="shared" si="3"/>
        <v>0</v>
      </c>
      <c r="J399" s="464">
        <f t="shared" si="4"/>
        <v>0</v>
      </c>
      <c r="K399" s="465">
        <f t="shared" si="5"/>
        <v>23489.3617</v>
      </c>
      <c r="L399" s="466"/>
      <c r="M399" s="466"/>
      <c r="N399" s="465">
        <f t="shared" si="24"/>
        <v>0</v>
      </c>
      <c r="O399" s="465">
        <f t="shared" si="6"/>
        <v>23489.3617</v>
      </c>
      <c r="P399" s="468" t="s">
        <v>2494</v>
      </c>
    </row>
    <row r="400" ht="26.25" customHeight="1">
      <c r="A400" s="459">
        <v>45956.0</v>
      </c>
      <c r="B400" s="460" t="s">
        <v>21</v>
      </c>
      <c r="C400" s="461" t="str">
        <f t="shared" si="1"/>
        <v>الأحد</v>
      </c>
      <c r="D400" s="462">
        <v>0.36666666666666664</v>
      </c>
      <c r="E400" s="462">
        <v>0.7097222222222223</v>
      </c>
      <c r="F400" s="463">
        <v>600000.0</v>
      </c>
      <c r="G400" s="464">
        <f t="shared" si="21"/>
        <v>2553.191489</v>
      </c>
      <c r="H400" s="464">
        <f t="shared" si="7"/>
        <v>8.233333333</v>
      </c>
      <c r="I400" s="464">
        <f t="shared" si="3"/>
        <v>0</v>
      </c>
      <c r="J400" s="464">
        <f t="shared" si="4"/>
        <v>0</v>
      </c>
      <c r="K400" s="465">
        <f t="shared" si="5"/>
        <v>21021.2766</v>
      </c>
      <c r="L400" s="466"/>
      <c r="M400" s="466"/>
      <c r="N400" s="465">
        <f t="shared" si="24"/>
        <v>2042.553191</v>
      </c>
      <c r="O400" s="465">
        <f t="shared" si="6"/>
        <v>18978.7234</v>
      </c>
      <c r="P400" s="468" t="s">
        <v>2495</v>
      </c>
    </row>
    <row r="401" ht="26.25" customHeight="1">
      <c r="A401" s="459">
        <v>45957.0</v>
      </c>
      <c r="B401" s="460" t="s">
        <v>21</v>
      </c>
      <c r="C401" s="461" t="str">
        <f t="shared" si="1"/>
        <v>الاثنين</v>
      </c>
      <c r="D401" s="462">
        <v>0.3333333333333333</v>
      </c>
      <c r="E401" s="462">
        <v>0.7083333333333334</v>
      </c>
      <c r="F401" s="463">
        <v>600000.0</v>
      </c>
      <c r="G401" s="464">
        <f t="shared" si="21"/>
        <v>2553.191489</v>
      </c>
      <c r="H401" s="464">
        <f t="shared" si="7"/>
        <v>9</v>
      </c>
      <c r="I401" s="464">
        <f t="shared" si="3"/>
        <v>0</v>
      </c>
      <c r="J401" s="464">
        <f t="shared" si="4"/>
        <v>0</v>
      </c>
      <c r="K401" s="465">
        <f t="shared" si="5"/>
        <v>22978.7234</v>
      </c>
      <c r="L401" s="466"/>
      <c r="M401" s="466"/>
      <c r="N401" s="465">
        <f t="shared" si="24"/>
        <v>0</v>
      </c>
      <c r="O401" s="465">
        <f t="shared" si="6"/>
        <v>22978.7234</v>
      </c>
      <c r="P401" s="468" t="s">
        <v>2496</v>
      </c>
    </row>
    <row r="402" ht="26.25" customHeight="1">
      <c r="A402" s="459">
        <v>45958.0</v>
      </c>
      <c r="B402" s="460" t="s">
        <v>21</v>
      </c>
      <c r="C402" s="461" t="str">
        <f t="shared" si="1"/>
        <v>الثلاثاء</v>
      </c>
      <c r="D402" s="462">
        <v>0.3333333333333333</v>
      </c>
      <c r="E402" s="462">
        <v>0.75</v>
      </c>
      <c r="F402" s="463">
        <v>600000.0</v>
      </c>
      <c r="G402" s="464">
        <f t="shared" si="21"/>
        <v>2553.191489</v>
      </c>
      <c r="H402" s="464">
        <f t="shared" si="7"/>
        <v>10</v>
      </c>
      <c r="I402" s="464">
        <f t="shared" si="3"/>
        <v>0</v>
      </c>
      <c r="J402" s="464">
        <f t="shared" si="4"/>
        <v>0</v>
      </c>
      <c r="K402" s="465">
        <f t="shared" si="5"/>
        <v>25531.91489</v>
      </c>
      <c r="L402" s="465">
        <v>106000.0</v>
      </c>
      <c r="M402" s="466"/>
      <c r="N402" s="465">
        <f t="shared" si="24"/>
        <v>0</v>
      </c>
      <c r="O402" s="465">
        <f t="shared" si="6"/>
        <v>131531.9149</v>
      </c>
      <c r="P402" s="468" t="s">
        <v>2497</v>
      </c>
    </row>
    <row r="403" ht="26.25" customHeight="1">
      <c r="A403" s="459">
        <v>45959.0</v>
      </c>
      <c r="B403" s="460" t="s">
        <v>21</v>
      </c>
      <c r="C403" s="461" t="str">
        <f t="shared" si="1"/>
        <v>الأربعاء</v>
      </c>
      <c r="D403" s="462">
        <v>0.3215277777777778</v>
      </c>
      <c r="E403" s="462">
        <v>0.7097222222222223</v>
      </c>
      <c r="F403" s="463">
        <v>600000.0</v>
      </c>
      <c r="G403" s="464">
        <f t="shared" si="21"/>
        <v>2553.191489</v>
      </c>
      <c r="H403" s="464">
        <f t="shared" si="7"/>
        <v>9.316666667</v>
      </c>
      <c r="I403" s="464">
        <f t="shared" si="3"/>
        <v>0</v>
      </c>
      <c r="J403" s="464">
        <f t="shared" si="4"/>
        <v>0</v>
      </c>
      <c r="K403" s="465">
        <f t="shared" si="5"/>
        <v>23787.23404</v>
      </c>
      <c r="L403" s="465">
        <v>61700.0</v>
      </c>
      <c r="M403" s="466"/>
      <c r="N403" s="465">
        <f t="shared" si="24"/>
        <v>0</v>
      </c>
      <c r="O403" s="465">
        <f t="shared" si="6"/>
        <v>85487.23404</v>
      </c>
      <c r="P403" s="468" t="s">
        <v>2498</v>
      </c>
    </row>
    <row r="404" ht="26.25" customHeight="1">
      <c r="A404" s="459">
        <v>45960.0</v>
      </c>
      <c r="B404" s="460" t="s">
        <v>21</v>
      </c>
      <c r="C404" s="461" t="str">
        <f t="shared" si="1"/>
        <v>الخميس</v>
      </c>
      <c r="D404" s="462">
        <v>0.33611111111111114</v>
      </c>
      <c r="E404" s="462">
        <v>0.7090277777777778</v>
      </c>
      <c r="F404" s="463">
        <v>600000.0</v>
      </c>
      <c r="G404" s="464">
        <f t="shared" si="21"/>
        <v>2553.191489</v>
      </c>
      <c r="H404" s="464">
        <f t="shared" si="7"/>
        <v>8.95</v>
      </c>
      <c r="I404" s="464">
        <f t="shared" si="3"/>
        <v>0</v>
      </c>
      <c r="J404" s="464">
        <f t="shared" si="4"/>
        <v>0</v>
      </c>
      <c r="K404" s="465">
        <f t="shared" si="5"/>
        <v>22851.06383</v>
      </c>
      <c r="L404" s="466"/>
      <c r="M404" s="466"/>
      <c r="N404" s="465">
        <f t="shared" si="24"/>
        <v>170.212766</v>
      </c>
      <c r="O404" s="465">
        <f t="shared" si="6"/>
        <v>22680.85106</v>
      </c>
      <c r="P404" s="467"/>
    </row>
    <row r="405" ht="26.25" customHeight="1">
      <c r="A405" s="459">
        <v>45931.0</v>
      </c>
      <c r="B405" s="469" t="s">
        <v>17</v>
      </c>
      <c r="C405" s="461" t="str">
        <f t="shared" si="1"/>
        <v>الأربعاء</v>
      </c>
      <c r="D405" s="462">
        <v>0.4201388888888889</v>
      </c>
      <c r="E405" s="462">
        <v>0.75</v>
      </c>
      <c r="F405" s="463">
        <v>650000.0</v>
      </c>
      <c r="G405" s="464">
        <f t="shared" si="21"/>
        <v>2765.957447</v>
      </c>
      <c r="H405" s="464">
        <f t="shared" si="7"/>
        <v>7.916666667</v>
      </c>
      <c r="I405" s="464">
        <f t="shared" si="3"/>
        <v>0</v>
      </c>
      <c r="J405" s="464">
        <f t="shared" si="4"/>
        <v>0</v>
      </c>
      <c r="K405" s="465">
        <f t="shared" si="5"/>
        <v>21897.16312</v>
      </c>
      <c r="L405" s="466"/>
      <c r="M405" s="466"/>
      <c r="N405" s="465">
        <v>0.0</v>
      </c>
      <c r="O405" s="465">
        <f t="shared" si="6"/>
        <v>21897.16312</v>
      </c>
      <c r="P405" s="467"/>
    </row>
    <row r="406" ht="26.25" customHeight="1">
      <c r="A406" s="459">
        <v>45932.0</v>
      </c>
      <c r="B406" s="469" t="s">
        <v>17</v>
      </c>
      <c r="C406" s="461" t="str">
        <f t="shared" si="1"/>
        <v>الخميس</v>
      </c>
      <c r="D406" s="462">
        <v>0.3736111111111111</v>
      </c>
      <c r="E406" s="462">
        <v>0.6138888888888889</v>
      </c>
      <c r="F406" s="463">
        <v>650000.0</v>
      </c>
      <c r="G406" s="464">
        <f t="shared" si="21"/>
        <v>2765.957447</v>
      </c>
      <c r="H406" s="464">
        <f t="shared" si="7"/>
        <v>5.766666667</v>
      </c>
      <c r="I406" s="464">
        <f t="shared" si="3"/>
        <v>0</v>
      </c>
      <c r="J406" s="464">
        <f t="shared" si="4"/>
        <v>0</v>
      </c>
      <c r="K406" s="465">
        <f t="shared" si="5"/>
        <v>15950.35461</v>
      </c>
      <c r="L406" s="466"/>
      <c r="M406" s="466"/>
      <c r="N406" s="465">
        <v>0.0</v>
      </c>
      <c r="O406" s="465">
        <f t="shared" si="6"/>
        <v>15950.35461</v>
      </c>
      <c r="P406" s="467"/>
    </row>
    <row r="407" ht="26.25" customHeight="1">
      <c r="A407" s="459">
        <v>45935.0</v>
      </c>
      <c r="B407" s="469" t="s">
        <v>17</v>
      </c>
      <c r="C407" s="461" t="str">
        <f t="shared" si="1"/>
        <v>الأحد</v>
      </c>
      <c r="D407" s="462">
        <v>0.4013888888888889</v>
      </c>
      <c r="E407" s="462">
        <v>0.7229166666666667</v>
      </c>
      <c r="F407" s="463">
        <v>650000.0</v>
      </c>
      <c r="G407" s="464">
        <f t="shared" si="21"/>
        <v>2765.957447</v>
      </c>
      <c r="H407" s="464">
        <f t="shared" si="7"/>
        <v>7.716666667</v>
      </c>
      <c r="I407" s="464">
        <f t="shared" si="3"/>
        <v>0</v>
      </c>
      <c r="J407" s="464">
        <f t="shared" si="4"/>
        <v>0</v>
      </c>
      <c r="K407" s="465">
        <f t="shared" si="5"/>
        <v>21343.97163</v>
      </c>
      <c r="L407" s="466"/>
      <c r="M407" s="465">
        <v>26600.0</v>
      </c>
      <c r="N407" s="465">
        <v>0.0</v>
      </c>
      <c r="O407" s="465">
        <f t="shared" si="6"/>
        <v>-5256.028369</v>
      </c>
      <c r="P407" s="467"/>
    </row>
    <row r="408" ht="26.25" customHeight="1">
      <c r="A408" s="459">
        <v>45936.0</v>
      </c>
      <c r="B408" s="460" t="s">
        <v>17</v>
      </c>
      <c r="C408" s="461" t="str">
        <f t="shared" si="1"/>
        <v>الاثنين</v>
      </c>
      <c r="D408" s="462">
        <v>0.3597222222222222</v>
      </c>
      <c r="E408" s="462">
        <v>0.7430555555555556</v>
      </c>
      <c r="F408" s="463">
        <v>650000.0</v>
      </c>
      <c r="G408" s="464">
        <f t="shared" si="21"/>
        <v>2765.957447</v>
      </c>
      <c r="H408" s="464">
        <f t="shared" si="7"/>
        <v>9.2</v>
      </c>
      <c r="I408" s="464">
        <f t="shared" si="3"/>
        <v>0</v>
      </c>
      <c r="J408" s="464">
        <f t="shared" si="4"/>
        <v>0</v>
      </c>
      <c r="K408" s="465">
        <f t="shared" si="5"/>
        <v>25446.80851</v>
      </c>
      <c r="L408" s="466"/>
      <c r="M408" s="466"/>
      <c r="N408" s="465">
        <f>IF(C408="الجمعة",0,IF(D408&gt;TIME(8,0,0),(D408-TIME(8,0,0))*24*60*(G408/60),0))</f>
        <v>1751.77305</v>
      </c>
      <c r="O408" s="465">
        <f t="shared" si="6"/>
        <v>23695.03546</v>
      </c>
      <c r="P408" s="467"/>
    </row>
    <row r="409" ht="26.25" customHeight="1">
      <c r="A409" s="459">
        <v>45937.0</v>
      </c>
      <c r="B409" s="460" t="s">
        <v>17</v>
      </c>
      <c r="C409" s="461" t="str">
        <f t="shared" si="1"/>
        <v>الثلاثاء</v>
      </c>
      <c r="D409" s="462">
        <v>0.4166666666666667</v>
      </c>
      <c r="E409" s="462">
        <v>0.71875</v>
      </c>
      <c r="F409" s="463">
        <v>650000.0</v>
      </c>
      <c r="G409" s="464">
        <f t="shared" si="21"/>
        <v>2765.957447</v>
      </c>
      <c r="H409" s="464">
        <f t="shared" si="7"/>
        <v>7.25</v>
      </c>
      <c r="I409" s="464">
        <f t="shared" si="3"/>
        <v>0</v>
      </c>
      <c r="J409" s="464">
        <f t="shared" si="4"/>
        <v>0</v>
      </c>
      <c r="K409" s="465">
        <f t="shared" si="5"/>
        <v>20053.19149</v>
      </c>
      <c r="L409" s="466"/>
      <c r="M409" s="466"/>
      <c r="N409" s="465">
        <v>0.0</v>
      </c>
      <c r="O409" s="465">
        <f t="shared" si="6"/>
        <v>20053.19149</v>
      </c>
      <c r="P409" s="467"/>
    </row>
    <row r="410" ht="26.25" customHeight="1">
      <c r="A410" s="459">
        <v>45938.0</v>
      </c>
      <c r="B410" s="460" t="s">
        <v>17</v>
      </c>
      <c r="C410" s="461" t="str">
        <f t="shared" si="1"/>
        <v>الأربعاء</v>
      </c>
      <c r="D410" s="462">
        <v>0.37777777777777777</v>
      </c>
      <c r="E410" s="462">
        <v>0.7444444444444445</v>
      </c>
      <c r="F410" s="463">
        <v>650000.0</v>
      </c>
      <c r="G410" s="464">
        <f t="shared" si="21"/>
        <v>2765.957447</v>
      </c>
      <c r="H410" s="464">
        <f t="shared" si="7"/>
        <v>8.8</v>
      </c>
      <c r="I410" s="464">
        <f t="shared" si="3"/>
        <v>0</v>
      </c>
      <c r="J410" s="464">
        <f t="shared" si="4"/>
        <v>0</v>
      </c>
      <c r="K410" s="465">
        <f t="shared" si="5"/>
        <v>24340.42553</v>
      </c>
      <c r="L410" s="466"/>
      <c r="M410" s="466"/>
      <c r="N410" s="465">
        <v>0.0</v>
      </c>
      <c r="O410" s="465">
        <f t="shared" si="6"/>
        <v>24340.42553</v>
      </c>
      <c r="P410" s="467"/>
    </row>
    <row r="411" ht="26.25" customHeight="1">
      <c r="A411" s="459">
        <v>45939.0</v>
      </c>
      <c r="B411" s="460" t="s">
        <v>17</v>
      </c>
      <c r="C411" s="461" t="str">
        <f t="shared" si="1"/>
        <v>الخميس</v>
      </c>
      <c r="D411" s="462">
        <v>0.4111111111111111</v>
      </c>
      <c r="E411" s="462">
        <v>0.7083333333333334</v>
      </c>
      <c r="F411" s="463">
        <v>650000.0</v>
      </c>
      <c r="G411" s="464">
        <f t="shared" si="21"/>
        <v>2765.957447</v>
      </c>
      <c r="H411" s="464">
        <f t="shared" si="7"/>
        <v>7.133333333</v>
      </c>
      <c r="I411" s="464">
        <f t="shared" si="3"/>
        <v>0</v>
      </c>
      <c r="J411" s="464">
        <f t="shared" si="4"/>
        <v>0</v>
      </c>
      <c r="K411" s="465">
        <f t="shared" si="5"/>
        <v>19730.49645</v>
      </c>
      <c r="L411" s="466"/>
      <c r="M411" s="466"/>
      <c r="N411" s="465">
        <v>0.0</v>
      </c>
      <c r="O411" s="465">
        <f t="shared" si="6"/>
        <v>19730.49645</v>
      </c>
      <c r="P411" s="467"/>
    </row>
    <row r="412" ht="26.25" customHeight="1">
      <c r="A412" s="459">
        <v>45931.0</v>
      </c>
      <c r="B412" s="460" t="s">
        <v>2466</v>
      </c>
      <c r="C412" s="461" t="str">
        <f t="shared" si="1"/>
        <v>الأربعاء</v>
      </c>
      <c r="D412" s="462">
        <v>0.5854166666666667</v>
      </c>
      <c r="E412" s="462">
        <v>0.8916666666666667</v>
      </c>
      <c r="F412" s="463">
        <v>300000.0</v>
      </c>
      <c r="G412" s="464">
        <f t="shared" si="21"/>
        <v>1276.595745</v>
      </c>
      <c r="H412" s="464">
        <f t="shared" si="7"/>
        <v>3.95</v>
      </c>
      <c r="I412" s="464">
        <f t="shared" si="3"/>
        <v>3.4</v>
      </c>
      <c r="J412" s="464">
        <f t="shared" si="4"/>
        <v>0</v>
      </c>
      <c r="K412" s="465">
        <f t="shared" si="5"/>
        <v>11553.19149</v>
      </c>
      <c r="L412" s="466"/>
      <c r="M412" s="466"/>
      <c r="N412" s="465">
        <v>0.0</v>
      </c>
      <c r="O412" s="465">
        <f t="shared" si="6"/>
        <v>11553.19149</v>
      </c>
      <c r="P412" s="467"/>
    </row>
    <row r="413" ht="26.25" customHeight="1">
      <c r="A413" s="459">
        <v>45932.0</v>
      </c>
      <c r="B413" s="460" t="s">
        <v>2466</v>
      </c>
      <c r="C413" s="461" t="str">
        <f t="shared" si="1"/>
        <v>الخميس</v>
      </c>
      <c r="D413" s="462">
        <v>0.5881944444444445</v>
      </c>
      <c r="E413" s="462">
        <v>0.75</v>
      </c>
      <c r="F413" s="463">
        <v>300000.0</v>
      </c>
      <c r="G413" s="464">
        <f t="shared" si="21"/>
        <v>1276.595745</v>
      </c>
      <c r="H413" s="464">
        <f t="shared" si="7"/>
        <v>3.883333333</v>
      </c>
      <c r="I413" s="464">
        <f t="shared" si="3"/>
        <v>0</v>
      </c>
      <c r="J413" s="464">
        <f t="shared" si="4"/>
        <v>0</v>
      </c>
      <c r="K413" s="465">
        <f t="shared" si="5"/>
        <v>4957.446809</v>
      </c>
      <c r="L413" s="466"/>
      <c r="M413" s="466"/>
      <c r="N413" s="465">
        <v>0.0</v>
      </c>
      <c r="O413" s="465">
        <f t="shared" si="6"/>
        <v>4957.446809</v>
      </c>
      <c r="P413" s="467"/>
    </row>
    <row r="414" ht="26.25" customHeight="1">
      <c r="A414" s="459">
        <v>45934.0</v>
      </c>
      <c r="B414" s="460" t="s">
        <v>2466</v>
      </c>
      <c r="C414" s="461" t="str">
        <f t="shared" si="1"/>
        <v>السبت</v>
      </c>
      <c r="D414" s="462">
        <v>0.39375</v>
      </c>
      <c r="E414" s="462">
        <v>0.6</v>
      </c>
      <c r="F414" s="463">
        <v>300000.0</v>
      </c>
      <c r="G414" s="464">
        <f t="shared" si="21"/>
        <v>1276.595745</v>
      </c>
      <c r="H414" s="464">
        <f t="shared" si="7"/>
        <v>4.95</v>
      </c>
      <c r="I414" s="464">
        <f t="shared" si="3"/>
        <v>0</v>
      </c>
      <c r="J414" s="464">
        <f t="shared" si="4"/>
        <v>0</v>
      </c>
      <c r="K414" s="465">
        <f t="shared" si="5"/>
        <v>6319.148936</v>
      </c>
      <c r="L414" s="466"/>
      <c r="M414" s="466"/>
      <c r="N414" s="465">
        <f>IF(C414="الجمعة",0,IF(D414&gt;TIME(8,0,0),(D414-TIME(8,0,0))*24*60*(G414/60),0))</f>
        <v>1851.06383</v>
      </c>
      <c r="O414" s="465">
        <f t="shared" si="6"/>
        <v>4468.085106</v>
      </c>
      <c r="P414" s="467"/>
    </row>
    <row r="415" ht="26.25" customHeight="1">
      <c r="A415" s="459">
        <v>45936.0</v>
      </c>
      <c r="B415" s="460" t="s">
        <v>2466</v>
      </c>
      <c r="C415" s="461" t="str">
        <f t="shared" si="1"/>
        <v>الاثنين</v>
      </c>
      <c r="D415" s="462">
        <v>0.5784722222222223</v>
      </c>
      <c r="E415" s="462">
        <v>0.875</v>
      </c>
      <c r="F415" s="463">
        <v>300000.0</v>
      </c>
      <c r="G415" s="464">
        <f t="shared" si="21"/>
        <v>1276.595745</v>
      </c>
      <c r="H415" s="464">
        <f t="shared" si="7"/>
        <v>4.116666667</v>
      </c>
      <c r="I415" s="464">
        <f t="shared" si="3"/>
        <v>3</v>
      </c>
      <c r="J415" s="464">
        <f t="shared" si="4"/>
        <v>0</v>
      </c>
      <c r="K415" s="465">
        <f t="shared" si="5"/>
        <v>11000</v>
      </c>
      <c r="L415" s="466"/>
      <c r="M415" s="466"/>
      <c r="N415" s="465">
        <v>0.0</v>
      </c>
      <c r="O415" s="465">
        <f t="shared" si="6"/>
        <v>11000</v>
      </c>
      <c r="P415" s="467"/>
    </row>
    <row r="416" ht="26.25" customHeight="1">
      <c r="A416" s="459">
        <v>45937.0</v>
      </c>
      <c r="B416" s="460" t="s">
        <v>2466</v>
      </c>
      <c r="C416" s="461" t="str">
        <f t="shared" si="1"/>
        <v>الثلاثاء</v>
      </c>
      <c r="D416" s="462">
        <v>0.3423611111111111</v>
      </c>
      <c r="E416" s="462">
        <v>0.7076388888888889</v>
      </c>
      <c r="F416" s="463">
        <v>300000.0</v>
      </c>
      <c r="G416" s="464">
        <f t="shared" si="21"/>
        <v>1276.595745</v>
      </c>
      <c r="H416" s="464">
        <f t="shared" si="7"/>
        <v>8.766666667</v>
      </c>
      <c r="I416" s="464">
        <f t="shared" si="3"/>
        <v>0</v>
      </c>
      <c r="J416" s="464">
        <f t="shared" si="4"/>
        <v>0</v>
      </c>
      <c r="K416" s="465">
        <f t="shared" si="5"/>
        <v>11191.48936</v>
      </c>
      <c r="L416" s="466"/>
      <c r="M416" s="466"/>
      <c r="N416" s="465">
        <f t="shared" ref="N416:N419" si="25">IF(C416="الجمعة",0,IF(D416&gt;TIME(8,0,0),(D416-TIME(8,0,0))*24*60*(G416/60),0))</f>
        <v>276.5957447</v>
      </c>
      <c r="O416" s="465">
        <f t="shared" si="6"/>
        <v>10914.89362</v>
      </c>
      <c r="P416" s="467"/>
    </row>
    <row r="417" ht="26.25" customHeight="1">
      <c r="A417" s="459">
        <v>45938.0</v>
      </c>
      <c r="B417" s="460" t="s">
        <v>2466</v>
      </c>
      <c r="C417" s="461" t="str">
        <f t="shared" si="1"/>
        <v>الأربعاء</v>
      </c>
      <c r="D417" s="462">
        <v>0.3375</v>
      </c>
      <c r="E417" s="462">
        <v>0.7125</v>
      </c>
      <c r="F417" s="463">
        <v>300000.0</v>
      </c>
      <c r="G417" s="464">
        <f t="shared" si="21"/>
        <v>1276.595745</v>
      </c>
      <c r="H417" s="464">
        <f t="shared" si="7"/>
        <v>9</v>
      </c>
      <c r="I417" s="464">
        <f t="shared" si="3"/>
        <v>0</v>
      </c>
      <c r="J417" s="464">
        <f t="shared" si="4"/>
        <v>0</v>
      </c>
      <c r="K417" s="465">
        <f t="shared" si="5"/>
        <v>11489.3617</v>
      </c>
      <c r="L417" s="466"/>
      <c r="M417" s="466"/>
      <c r="N417" s="465">
        <f t="shared" si="25"/>
        <v>127.6595745</v>
      </c>
      <c r="O417" s="465">
        <f t="shared" si="6"/>
        <v>11361.70213</v>
      </c>
      <c r="P417" s="467"/>
    </row>
    <row r="418" ht="26.25" customHeight="1">
      <c r="A418" s="459">
        <v>45939.0</v>
      </c>
      <c r="B418" s="460" t="s">
        <v>2466</v>
      </c>
      <c r="C418" s="461" t="str">
        <f t="shared" si="1"/>
        <v>الخميس</v>
      </c>
      <c r="D418" s="462">
        <v>0.3333333333333333</v>
      </c>
      <c r="E418" s="462">
        <v>0.7152777777777778</v>
      </c>
      <c r="F418" s="463">
        <v>300000.0</v>
      </c>
      <c r="G418" s="464">
        <f t="shared" si="21"/>
        <v>1276.595745</v>
      </c>
      <c r="H418" s="464">
        <f t="shared" si="7"/>
        <v>9.166666667</v>
      </c>
      <c r="I418" s="464">
        <f t="shared" si="3"/>
        <v>0</v>
      </c>
      <c r="J418" s="464">
        <f t="shared" si="4"/>
        <v>0</v>
      </c>
      <c r="K418" s="465">
        <f t="shared" si="5"/>
        <v>11702.12766</v>
      </c>
      <c r="L418" s="466"/>
      <c r="M418" s="466"/>
      <c r="N418" s="465">
        <f t="shared" si="25"/>
        <v>0</v>
      </c>
      <c r="O418" s="465">
        <f t="shared" si="6"/>
        <v>11702.12766</v>
      </c>
      <c r="P418" s="467"/>
    </row>
    <row r="419" ht="26.25" customHeight="1">
      <c r="A419" s="459">
        <v>45940.0</v>
      </c>
      <c r="B419" s="460" t="s">
        <v>2466</v>
      </c>
      <c r="C419" s="461" t="str">
        <f t="shared" si="1"/>
        <v>الجمعة</v>
      </c>
      <c r="D419" s="462">
        <v>0.3333333333333333</v>
      </c>
      <c r="E419" s="462">
        <v>0.7243055555555555</v>
      </c>
      <c r="F419" s="463">
        <v>300000.0</v>
      </c>
      <c r="G419" s="464">
        <f t="shared" si="21"/>
        <v>1276.595745</v>
      </c>
      <c r="H419" s="464">
        <f t="shared" si="7"/>
        <v>0</v>
      </c>
      <c r="I419" s="464">
        <f t="shared" si="3"/>
        <v>0</v>
      </c>
      <c r="J419" s="464">
        <f t="shared" si="4"/>
        <v>9.383333333</v>
      </c>
      <c r="K419" s="465">
        <f t="shared" si="5"/>
        <v>23957.44681</v>
      </c>
      <c r="L419" s="466"/>
      <c r="M419" s="466"/>
      <c r="N419" s="465">
        <f t="shared" si="25"/>
        <v>0</v>
      </c>
      <c r="O419" s="465">
        <f t="shared" si="6"/>
        <v>23957.44681</v>
      </c>
      <c r="P419" s="467"/>
    </row>
    <row r="420" ht="26.25" customHeight="1">
      <c r="A420" s="459">
        <v>45941.0</v>
      </c>
      <c r="B420" s="460" t="s">
        <v>2466</v>
      </c>
      <c r="C420" s="461" t="str">
        <f t="shared" si="1"/>
        <v>السبت</v>
      </c>
      <c r="D420" s="462">
        <v>0.3333333333333333</v>
      </c>
      <c r="E420" s="462">
        <v>0.7284722222222222</v>
      </c>
      <c r="F420" s="463">
        <v>300000.0</v>
      </c>
      <c r="G420" s="464">
        <f t="shared" si="21"/>
        <v>1276.595745</v>
      </c>
      <c r="H420" s="464">
        <f t="shared" si="7"/>
        <v>9.483333333</v>
      </c>
      <c r="I420" s="464">
        <f t="shared" si="3"/>
        <v>0</v>
      </c>
      <c r="J420" s="464">
        <f t="shared" si="4"/>
        <v>0</v>
      </c>
      <c r="K420" s="465">
        <f t="shared" si="5"/>
        <v>12106.38298</v>
      </c>
      <c r="L420" s="466"/>
      <c r="M420" s="466"/>
      <c r="N420" s="465">
        <v>7500.0</v>
      </c>
      <c r="O420" s="465">
        <f t="shared" si="6"/>
        <v>4606.382979</v>
      </c>
      <c r="P420" s="470"/>
    </row>
    <row r="421" ht="26.25" customHeight="1">
      <c r="A421" s="459">
        <v>45942.0</v>
      </c>
      <c r="B421" s="460" t="s">
        <v>2466</v>
      </c>
      <c r="C421" s="461" t="str">
        <f t="shared" si="1"/>
        <v>الأحد</v>
      </c>
      <c r="D421" s="462">
        <v>0.33541666666666664</v>
      </c>
      <c r="E421" s="462">
        <v>0.7083333333333334</v>
      </c>
      <c r="F421" s="463">
        <v>300000.0</v>
      </c>
      <c r="G421" s="464">
        <f t="shared" si="21"/>
        <v>1276.595745</v>
      </c>
      <c r="H421" s="464">
        <f t="shared" si="7"/>
        <v>8.95</v>
      </c>
      <c r="I421" s="464">
        <f t="shared" si="3"/>
        <v>0</v>
      </c>
      <c r="J421" s="464">
        <f t="shared" si="4"/>
        <v>0</v>
      </c>
      <c r="K421" s="465">
        <f t="shared" si="5"/>
        <v>11425.53191</v>
      </c>
      <c r="L421" s="466"/>
      <c r="M421" s="466"/>
      <c r="N421" s="465">
        <f t="shared" ref="N421:N432" si="26">IF(C421="الجمعة",0,IF(D421&gt;TIME(8,0,0),(D421-TIME(8,0,0))*24*60*(G421/60),0))</f>
        <v>63.82978723</v>
      </c>
      <c r="O421" s="465">
        <f t="shared" si="6"/>
        <v>11361.70213</v>
      </c>
      <c r="P421" s="467"/>
    </row>
    <row r="422" ht="26.25" customHeight="1">
      <c r="A422" s="459">
        <v>45943.0</v>
      </c>
      <c r="B422" s="460" t="s">
        <v>2466</v>
      </c>
      <c r="C422" s="461" t="str">
        <f t="shared" si="1"/>
        <v>الاثنين</v>
      </c>
      <c r="D422" s="462">
        <v>0.3284722222222222</v>
      </c>
      <c r="E422" s="462">
        <v>0.7083333333333334</v>
      </c>
      <c r="F422" s="463">
        <v>300000.0</v>
      </c>
      <c r="G422" s="464">
        <f t="shared" si="21"/>
        <v>1276.595745</v>
      </c>
      <c r="H422" s="464">
        <f t="shared" si="7"/>
        <v>9.116666667</v>
      </c>
      <c r="I422" s="464">
        <f t="shared" si="3"/>
        <v>0</v>
      </c>
      <c r="J422" s="464">
        <f t="shared" si="4"/>
        <v>0</v>
      </c>
      <c r="K422" s="465">
        <f t="shared" si="5"/>
        <v>11638.29787</v>
      </c>
      <c r="L422" s="466"/>
      <c r="M422" s="466"/>
      <c r="N422" s="465">
        <f t="shared" si="26"/>
        <v>0</v>
      </c>
      <c r="O422" s="465">
        <f t="shared" si="6"/>
        <v>11638.29787</v>
      </c>
      <c r="P422" s="467"/>
    </row>
    <row r="423" ht="26.25" customHeight="1">
      <c r="A423" s="459">
        <v>45944.0</v>
      </c>
      <c r="B423" s="460" t="s">
        <v>2466</v>
      </c>
      <c r="C423" s="461" t="str">
        <f t="shared" si="1"/>
        <v>الثلاثاء</v>
      </c>
      <c r="D423" s="462">
        <v>0.3326388888888889</v>
      </c>
      <c r="E423" s="462">
        <v>0.7083333333333334</v>
      </c>
      <c r="F423" s="463">
        <v>300000.0</v>
      </c>
      <c r="G423" s="464">
        <f t="shared" si="21"/>
        <v>1276.595745</v>
      </c>
      <c r="H423" s="464">
        <f t="shared" si="7"/>
        <v>9.016666667</v>
      </c>
      <c r="I423" s="464">
        <f t="shared" si="3"/>
        <v>0</v>
      </c>
      <c r="J423" s="464">
        <f t="shared" si="4"/>
        <v>0</v>
      </c>
      <c r="K423" s="465">
        <f t="shared" si="5"/>
        <v>11510.6383</v>
      </c>
      <c r="L423" s="466"/>
      <c r="M423" s="466"/>
      <c r="N423" s="465">
        <f t="shared" si="26"/>
        <v>0</v>
      </c>
      <c r="O423" s="465">
        <f t="shared" si="6"/>
        <v>11510.6383</v>
      </c>
      <c r="P423" s="467"/>
    </row>
    <row r="424" ht="26.25" customHeight="1">
      <c r="A424" s="459">
        <v>45945.0</v>
      </c>
      <c r="B424" s="460" t="s">
        <v>2466</v>
      </c>
      <c r="C424" s="461" t="str">
        <f t="shared" si="1"/>
        <v>الأربعاء</v>
      </c>
      <c r="D424" s="462">
        <v>0.3333333333333333</v>
      </c>
      <c r="E424" s="462">
        <v>0.7083333333333334</v>
      </c>
      <c r="F424" s="463">
        <v>300000.0</v>
      </c>
      <c r="G424" s="464">
        <f t="shared" si="21"/>
        <v>1276.595745</v>
      </c>
      <c r="H424" s="464">
        <f t="shared" si="7"/>
        <v>9</v>
      </c>
      <c r="I424" s="464">
        <f t="shared" si="3"/>
        <v>0</v>
      </c>
      <c r="J424" s="464">
        <f t="shared" si="4"/>
        <v>0</v>
      </c>
      <c r="K424" s="465">
        <f t="shared" si="5"/>
        <v>11489.3617</v>
      </c>
      <c r="L424" s="466"/>
      <c r="M424" s="466"/>
      <c r="N424" s="465">
        <f t="shared" si="26"/>
        <v>0</v>
      </c>
      <c r="O424" s="465">
        <f t="shared" si="6"/>
        <v>11489.3617</v>
      </c>
      <c r="P424" s="467"/>
    </row>
    <row r="425" ht="26.25" customHeight="1">
      <c r="A425" s="459">
        <v>45946.0</v>
      </c>
      <c r="B425" s="460" t="s">
        <v>2466</v>
      </c>
      <c r="C425" s="461" t="str">
        <f t="shared" si="1"/>
        <v>الخميس</v>
      </c>
      <c r="D425" s="462">
        <v>0.32916666666666666</v>
      </c>
      <c r="E425" s="462">
        <v>0.7083333333333334</v>
      </c>
      <c r="F425" s="463">
        <v>300000.0</v>
      </c>
      <c r="G425" s="464">
        <f t="shared" si="21"/>
        <v>1276.595745</v>
      </c>
      <c r="H425" s="464">
        <f t="shared" si="7"/>
        <v>9.1</v>
      </c>
      <c r="I425" s="464">
        <f t="shared" si="3"/>
        <v>0</v>
      </c>
      <c r="J425" s="464">
        <f t="shared" si="4"/>
        <v>0</v>
      </c>
      <c r="K425" s="465">
        <f t="shared" si="5"/>
        <v>11617.02128</v>
      </c>
      <c r="L425" s="466"/>
      <c r="M425" s="465">
        <v>15000.0</v>
      </c>
      <c r="N425" s="465">
        <f t="shared" si="26"/>
        <v>0</v>
      </c>
      <c r="O425" s="465">
        <f t="shared" si="6"/>
        <v>-3382.978723</v>
      </c>
      <c r="P425" s="467"/>
    </row>
    <row r="426" ht="26.25" customHeight="1">
      <c r="A426" s="459">
        <v>45948.0</v>
      </c>
      <c r="B426" s="460" t="s">
        <v>2466</v>
      </c>
      <c r="C426" s="461" t="str">
        <f t="shared" si="1"/>
        <v>السبت</v>
      </c>
      <c r="D426" s="462">
        <v>0.125</v>
      </c>
      <c r="E426" s="462">
        <v>0.7166666666666667</v>
      </c>
      <c r="F426" s="463">
        <v>300000.0</v>
      </c>
      <c r="G426" s="464">
        <f t="shared" si="21"/>
        <v>1276.595745</v>
      </c>
      <c r="H426" s="464">
        <f t="shared" si="7"/>
        <v>11.2</v>
      </c>
      <c r="I426" s="464">
        <f t="shared" si="3"/>
        <v>3</v>
      </c>
      <c r="J426" s="464">
        <f t="shared" si="4"/>
        <v>0</v>
      </c>
      <c r="K426" s="465">
        <f t="shared" si="5"/>
        <v>20042.55319</v>
      </c>
      <c r="L426" s="466"/>
      <c r="M426" s="466"/>
      <c r="N426" s="465">
        <f t="shared" si="26"/>
        <v>0</v>
      </c>
      <c r="O426" s="465">
        <f t="shared" si="6"/>
        <v>20042.55319</v>
      </c>
      <c r="P426" s="467"/>
    </row>
    <row r="427" ht="26.25" customHeight="1">
      <c r="A427" s="459">
        <v>45949.0</v>
      </c>
      <c r="B427" s="460" t="s">
        <v>2466</v>
      </c>
      <c r="C427" s="461" t="str">
        <f t="shared" si="1"/>
        <v>الأحد</v>
      </c>
      <c r="D427" s="462">
        <v>0.3333333333333333</v>
      </c>
      <c r="E427" s="462">
        <v>0.7083333333333334</v>
      </c>
      <c r="F427" s="463">
        <v>300000.0</v>
      </c>
      <c r="G427" s="464">
        <f t="shared" si="21"/>
        <v>1276.595745</v>
      </c>
      <c r="H427" s="464">
        <f t="shared" si="7"/>
        <v>9</v>
      </c>
      <c r="I427" s="464">
        <f t="shared" si="3"/>
        <v>0</v>
      </c>
      <c r="J427" s="464">
        <f t="shared" si="4"/>
        <v>0</v>
      </c>
      <c r="K427" s="465">
        <f t="shared" si="5"/>
        <v>11489.3617</v>
      </c>
      <c r="L427" s="466"/>
      <c r="M427" s="466"/>
      <c r="N427" s="465">
        <f t="shared" si="26"/>
        <v>0</v>
      </c>
      <c r="O427" s="465">
        <f t="shared" si="6"/>
        <v>11489.3617</v>
      </c>
      <c r="P427" s="467"/>
    </row>
    <row r="428" ht="26.25" customHeight="1">
      <c r="A428" s="459">
        <v>45950.0</v>
      </c>
      <c r="B428" s="460" t="s">
        <v>2466</v>
      </c>
      <c r="C428" s="461" t="str">
        <f t="shared" si="1"/>
        <v>الاثنين</v>
      </c>
      <c r="D428" s="462">
        <v>0.325</v>
      </c>
      <c r="E428" s="462">
        <v>0.7083333333333334</v>
      </c>
      <c r="F428" s="463">
        <v>300000.0</v>
      </c>
      <c r="G428" s="464">
        <f t="shared" si="21"/>
        <v>1276.595745</v>
      </c>
      <c r="H428" s="464">
        <f t="shared" si="7"/>
        <v>9.2</v>
      </c>
      <c r="I428" s="464">
        <f t="shared" si="3"/>
        <v>0</v>
      </c>
      <c r="J428" s="464">
        <f t="shared" si="4"/>
        <v>0</v>
      </c>
      <c r="K428" s="465">
        <f t="shared" si="5"/>
        <v>11744.68085</v>
      </c>
      <c r="L428" s="466"/>
      <c r="M428" s="466"/>
      <c r="N428" s="465">
        <f t="shared" si="26"/>
        <v>0</v>
      </c>
      <c r="O428" s="465">
        <f t="shared" si="6"/>
        <v>11744.68085</v>
      </c>
      <c r="P428" s="467"/>
    </row>
    <row r="429" ht="26.25" customHeight="1">
      <c r="A429" s="459">
        <v>45951.0</v>
      </c>
      <c r="B429" s="460" t="s">
        <v>2466</v>
      </c>
      <c r="C429" s="461" t="str">
        <f t="shared" si="1"/>
        <v>الثلاثاء</v>
      </c>
      <c r="D429" s="462">
        <v>0.3333333333333333</v>
      </c>
      <c r="E429" s="462">
        <v>0.7083333333333334</v>
      </c>
      <c r="F429" s="463">
        <v>300000.0</v>
      </c>
      <c r="G429" s="464">
        <f t="shared" si="21"/>
        <v>1276.595745</v>
      </c>
      <c r="H429" s="464">
        <f t="shared" si="7"/>
        <v>9</v>
      </c>
      <c r="I429" s="464">
        <f t="shared" si="3"/>
        <v>0</v>
      </c>
      <c r="J429" s="464">
        <f t="shared" si="4"/>
        <v>0</v>
      </c>
      <c r="K429" s="465">
        <f t="shared" si="5"/>
        <v>11489.3617</v>
      </c>
      <c r="L429" s="466"/>
      <c r="M429" s="466"/>
      <c r="N429" s="465">
        <f t="shared" si="26"/>
        <v>0</v>
      </c>
      <c r="O429" s="465">
        <f t="shared" si="6"/>
        <v>11489.3617</v>
      </c>
      <c r="P429" s="467"/>
    </row>
    <row r="430" ht="26.25" customHeight="1">
      <c r="A430" s="459">
        <v>45952.0</v>
      </c>
      <c r="B430" s="460" t="s">
        <v>2466</v>
      </c>
      <c r="C430" s="461" t="str">
        <f t="shared" si="1"/>
        <v>الأربعاء</v>
      </c>
      <c r="D430" s="462">
        <v>0.3333333333333333</v>
      </c>
      <c r="E430" s="462">
        <v>0.7083333333333334</v>
      </c>
      <c r="F430" s="463">
        <v>300000.0</v>
      </c>
      <c r="G430" s="464">
        <f t="shared" si="21"/>
        <v>1276.595745</v>
      </c>
      <c r="H430" s="464">
        <f t="shared" si="7"/>
        <v>9</v>
      </c>
      <c r="I430" s="464">
        <f t="shared" si="3"/>
        <v>0</v>
      </c>
      <c r="J430" s="464">
        <f t="shared" si="4"/>
        <v>0</v>
      </c>
      <c r="K430" s="465">
        <f t="shared" si="5"/>
        <v>11489.3617</v>
      </c>
      <c r="L430" s="466"/>
      <c r="M430" s="466"/>
      <c r="N430" s="465">
        <f t="shared" si="26"/>
        <v>0</v>
      </c>
      <c r="O430" s="465">
        <f t="shared" si="6"/>
        <v>11489.3617</v>
      </c>
      <c r="P430" s="467"/>
    </row>
    <row r="431" ht="26.25" customHeight="1">
      <c r="A431" s="459">
        <v>45953.0</v>
      </c>
      <c r="B431" s="460" t="s">
        <v>2466</v>
      </c>
      <c r="C431" s="461" t="str">
        <f t="shared" si="1"/>
        <v>الخميس</v>
      </c>
      <c r="D431" s="462">
        <v>0.3333333333333333</v>
      </c>
      <c r="E431" s="462">
        <v>0.7083333333333334</v>
      </c>
      <c r="F431" s="463">
        <v>300000.0</v>
      </c>
      <c r="G431" s="464">
        <f t="shared" si="21"/>
        <v>1276.595745</v>
      </c>
      <c r="H431" s="464">
        <f t="shared" si="7"/>
        <v>9</v>
      </c>
      <c r="I431" s="464">
        <f t="shared" si="3"/>
        <v>0</v>
      </c>
      <c r="J431" s="464">
        <f t="shared" si="4"/>
        <v>0</v>
      </c>
      <c r="K431" s="465">
        <f t="shared" si="5"/>
        <v>11489.3617</v>
      </c>
      <c r="L431" s="466"/>
      <c r="M431" s="466"/>
      <c r="N431" s="465">
        <f t="shared" si="26"/>
        <v>0</v>
      </c>
      <c r="O431" s="465">
        <f t="shared" si="6"/>
        <v>11489.3617</v>
      </c>
      <c r="P431" s="467"/>
    </row>
    <row r="432" ht="26.25" customHeight="1">
      <c r="A432" s="459">
        <v>45955.0</v>
      </c>
      <c r="B432" s="461" t="s">
        <v>2466</v>
      </c>
      <c r="C432" s="461" t="str">
        <f t="shared" si="1"/>
        <v>السبت</v>
      </c>
      <c r="D432" s="462">
        <v>0.05625</v>
      </c>
      <c r="E432" s="462">
        <v>0.7083333333333334</v>
      </c>
      <c r="F432" s="463">
        <v>300000.0</v>
      </c>
      <c r="G432" s="464">
        <f t="shared" si="21"/>
        <v>1276.595745</v>
      </c>
      <c r="H432" s="464">
        <f t="shared" si="7"/>
        <v>11</v>
      </c>
      <c r="I432" s="464">
        <f t="shared" si="3"/>
        <v>4.65</v>
      </c>
      <c r="J432" s="464">
        <f t="shared" si="4"/>
        <v>0</v>
      </c>
      <c r="K432" s="465">
        <f t="shared" si="5"/>
        <v>22946.80851</v>
      </c>
      <c r="L432" s="466"/>
      <c r="M432" s="466"/>
      <c r="N432" s="465">
        <f t="shared" si="26"/>
        <v>0</v>
      </c>
      <c r="O432" s="465">
        <f t="shared" si="6"/>
        <v>22946.80851</v>
      </c>
      <c r="P432" s="467"/>
    </row>
    <row r="433" ht="26.25" customHeight="1">
      <c r="A433" s="459">
        <v>45956.0</v>
      </c>
      <c r="B433" s="461" t="s">
        <v>2466</v>
      </c>
      <c r="C433" s="461" t="str">
        <f t="shared" si="1"/>
        <v>الأحد</v>
      </c>
      <c r="D433" s="462">
        <v>0.3333333333333333</v>
      </c>
      <c r="E433" s="462">
        <v>0.7111111111111111</v>
      </c>
      <c r="F433" s="463">
        <v>300000.0</v>
      </c>
      <c r="G433" s="464">
        <f t="shared" si="21"/>
        <v>1276.595745</v>
      </c>
      <c r="H433" s="464">
        <f t="shared" si="7"/>
        <v>9.066666667</v>
      </c>
      <c r="I433" s="464">
        <f t="shared" si="3"/>
        <v>0</v>
      </c>
      <c r="J433" s="464">
        <f t="shared" si="4"/>
        <v>0</v>
      </c>
      <c r="K433" s="465">
        <f t="shared" si="5"/>
        <v>11574.46809</v>
      </c>
      <c r="L433" s="466"/>
      <c r="M433" s="466"/>
      <c r="N433" s="465">
        <v>0.0</v>
      </c>
      <c r="O433" s="465">
        <f t="shared" si="6"/>
        <v>11574.46809</v>
      </c>
      <c r="P433" s="467"/>
    </row>
    <row r="434" ht="26.25" customHeight="1">
      <c r="A434" s="459">
        <v>45957.0</v>
      </c>
      <c r="B434" s="461" t="s">
        <v>2466</v>
      </c>
      <c r="C434" s="461" t="str">
        <f t="shared" si="1"/>
        <v>الاثنين</v>
      </c>
      <c r="D434" s="462">
        <v>0.3277777777777778</v>
      </c>
      <c r="E434" s="462">
        <v>0.7256944444444444</v>
      </c>
      <c r="F434" s="463">
        <v>300000.0</v>
      </c>
      <c r="G434" s="464">
        <f t="shared" si="21"/>
        <v>1276.595745</v>
      </c>
      <c r="H434" s="464">
        <f t="shared" si="7"/>
        <v>9.55</v>
      </c>
      <c r="I434" s="464">
        <f t="shared" si="3"/>
        <v>0</v>
      </c>
      <c r="J434" s="464">
        <f t="shared" si="4"/>
        <v>0</v>
      </c>
      <c r="K434" s="465">
        <f t="shared" si="5"/>
        <v>12191.48936</v>
      </c>
      <c r="L434" s="466"/>
      <c r="M434" s="466"/>
      <c r="N434" s="465">
        <v>0.0</v>
      </c>
      <c r="O434" s="465">
        <f t="shared" si="6"/>
        <v>12191.48936</v>
      </c>
      <c r="P434" s="467"/>
    </row>
    <row r="435" ht="26.25" customHeight="1">
      <c r="A435" s="459">
        <v>45958.0</v>
      </c>
      <c r="B435" s="461" t="s">
        <v>2466</v>
      </c>
      <c r="C435" s="461" t="str">
        <f t="shared" si="1"/>
        <v>الثلاثاء</v>
      </c>
      <c r="D435" s="462">
        <v>0.3333333333333333</v>
      </c>
      <c r="E435" s="462">
        <v>0.5354166666666667</v>
      </c>
      <c r="F435" s="463">
        <v>300000.0</v>
      </c>
      <c r="G435" s="464">
        <f t="shared" si="21"/>
        <v>1276.595745</v>
      </c>
      <c r="H435" s="464">
        <f t="shared" si="7"/>
        <v>4.85</v>
      </c>
      <c r="I435" s="464">
        <f t="shared" si="3"/>
        <v>0</v>
      </c>
      <c r="J435" s="464">
        <f t="shared" si="4"/>
        <v>0</v>
      </c>
      <c r="K435" s="465">
        <f t="shared" si="5"/>
        <v>6191.489362</v>
      </c>
      <c r="L435" s="466"/>
      <c r="M435" s="466"/>
      <c r="N435" s="465">
        <f t="shared" ref="N435:N437" si="27">IF(C435="الجمعة",0,IF(D435&gt;TIME(8,0,0),(D435-TIME(8,0,0))*24*60*(G435/60),0))</f>
        <v>0</v>
      </c>
      <c r="O435" s="465">
        <f t="shared" si="6"/>
        <v>6191.489362</v>
      </c>
      <c r="P435" s="467"/>
    </row>
    <row r="436" ht="26.25" customHeight="1">
      <c r="A436" s="459">
        <v>45959.0</v>
      </c>
      <c r="B436" s="461" t="s">
        <v>2466</v>
      </c>
      <c r="C436" s="461" t="str">
        <f t="shared" si="1"/>
        <v>الأربعاء</v>
      </c>
      <c r="D436" s="462">
        <v>0.3347222222222222</v>
      </c>
      <c r="E436" s="462">
        <v>0.7090277777777778</v>
      </c>
      <c r="F436" s="463">
        <v>300000.0</v>
      </c>
      <c r="G436" s="464">
        <f t="shared" si="21"/>
        <v>1276.595745</v>
      </c>
      <c r="H436" s="464">
        <f t="shared" si="7"/>
        <v>8.983333333</v>
      </c>
      <c r="I436" s="464">
        <f t="shared" si="3"/>
        <v>0</v>
      </c>
      <c r="J436" s="464">
        <f t="shared" si="4"/>
        <v>0</v>
      </c>
      <c r="K436" s="465">
        <f t="shared" si="5"/>
        <v>11468.08511</v>
      </c>
      <c r="L436" s="466"/>
      <c r="M436" s="466"/>
      <c r="N436" s="465">
        <f t="shared" si="27"/>
        <v>42.55319149</v>
      </c>
      <c r="O436" s="465">
        <f t="shared" si="6"/>
        <v>11425.53191</v>
      </c>
      <c r="P436" s="467"/>
    </row>
    <row r="437" ht="26.25" customHeight="1">
      <c r="A437" s="459">
        <v>45960.0</v>
      </c>
      <c r="B437" s="461" t="s">
        <v>2466</v>
      </c>
      <c r="C437" s="461" t="str">
        <f t="shared" si="1"/>
        <v>الخميس</v>
      </c>
      <c r="D437" s="462">
        <v>0.3368055555555556</v>
      </c>
      <c r="E437" s="462">
        <v>0.7090277777777778</v>
      </c>
      <c r="F437" s="463">
        <v>300000.0</v>
      </c>
      <c r="G437" s="464">
        <f t="shared" si="21"/>
        <v>1276.595745</v>
      </c>
      <c r="H437" s="464">
        <f t="shared" si="7"/>
        <v>8.933333333</v>
      </c>
      <c r="I437" s="464">
        <f t="shared" si="3"/>
        <v>0</v>
      </c>
      <c r="J437" s="464">
        <f t="shared" si="4"/>
        <v>0</v>
      </c>
      <c r="K437" s="465">
        <f t="shared" si="5"/>
        <v>11404.25532</v>
      </c>
      <c r="L437" s="466"/>
      <c r="M437" s="465">
        <v>50000.0</v>
      </c>
      <c r="N437" s="465">
        <f t="shared" si="27"/>
        <v>106.3829787</v>
      </c>
      <c r="O437" s="465">
        <f t="shared" si="6"/>
        <v>-38702.12766</v>
      </c>
      <c r="P437" s="467"/>
    </row>
    <row r="438" ht="26.25" customHeight="1">
      <c r="A438" s="459">
        <v>45931.0</v>
      </c>
      <c r="B438" s="461" t="s">
        <v>2468</v>
      </c>
      <c r="C438" s="461" t="str">
        <f t="shared" si="1"/>
        <v>الأربعاء</v>
      </c>
      <c r="D438" s="462">
        <v>0.3333333333333333</v>
      </c>
      <c r="E438" s="462">
        <v>0.7083333333333334</v>
      </c>
      <c r="F438" s="463">
        <v>400000.0</v>
      </c>
      <c r="G438" s="464">
        <f t="shared" si="21"/>
        <v>1702.12766</v>
      </c>
      <c r="H438" s="464">
        <f t="shared" si="7"/>
        <v>9</v>
      </c>
      <c r="I438" s="464">
        <f t="shared" si="3"/>
        <v>0</v>
      </c>
      <c r="J438" s="464">
        <f t="shared" si="4"/>
        <v>0</v>
      </c>
      <c r="K438" s="465">
        <f t="shared" si="5"/>
        <v>15319.14894</v>
      </c>
      <c r="L438" s="466"/>
      <c r="M438" s="466"/>
      <c r="N438" s="465">
        <f t="shared" ref="N438:N456" si="28">IF(C438="الجمعة",0,IF(D438&gt;TIME(9,0,0),(D438-TIME(9,0,0))*24*60*(G438/60),0))</f>
        <v>0</v>
      </c>
      <c r="O438" s="465">
        <f t="shared" si="6"/>
        <v>15319.14894</v>
      </c>
      <c r="P438" s="467"/>
    </row>
    <row r="439" ht="26.25" customHeight="1">
      <c r="A439" s="459">
        <v>45932.0</v>
      </c>
      <c r="B439" s="460" t="s">
        <v>2468</v>
      </c>
      <c r="C439" s="461" t="str">
        <f t="shared" si="1"/>
        <v>الخميس</v>
      </c>
      <c r="D439" s="462">
        <v>0.3333333333333333</v>
      </c>
      <c r="E439" s="462">
        <v>0.7083333333333334</v>
      </c>
      <c r="F439" s="463">
        <v>400000.0</v>
      </c>
      <c r="G439" s="464">
        <f t="shared" si="21"/>
        <v>1702.12766</v>
      </c>
      <c r="H439" s="464">
        <f t="shared" si="7"/>
        <v>9</v>
      </c>
      <c r="I439" s="464">
        <f t="shared" si="3"/>
        <v>0</v>
      </c>
      <c r="J439" s="464">
        <f t="shared" si="4"/>
        <v>0</v>
      </c>
      <c r="K439" s="465">
        <f t="shared" si="5"/>
        <v>15319.14894</v>
      </c>
      <c r="L439" s="466"/>
      <c r="M439" s="466"/>
      <c r="N439" s="465">
        <f t="shared" si="28"/>
        <v>0</v>
      </c>
      <c r="O439" s="465">
        <f t="shared" si="6"/>
        <v>15319.14894</v>
      </c>
      <c r="P439" s="467"/>
    </row>
    <row r="440" ht="26.25" customHeight="1">
      <c r="A440" s="459">
        <v>45934.0</v>
      </c>
      <c r="B440" s="460" t="s">
        <v>2468</v>
      </c>
      <c r="C440" s="461" t="str">
        <f t="shared" si="1"/>
        <v>السبت</v>
      </c>
      <c r="D440" s="462">
        <v>0.3333333333333333</v>
      </c>
      <c r="E440" s="462">
        <v>0.7083333333333334</v>
      </c>
      <c r="F440" s="463">
        <v>400000.0</v>
      </c>
      <c r="G440" s="464">
        <f t="shared" si="21"/>
        <v>1702.12766</v>
      </c>
      <c r="H440" s="464">
        <f t="shared" si="7"/>
        <v>9</v>
      </c>
      <c r="I440" s="464">
        <f t="shared" si="3"/>
        <v>0</v>
      </c>
      <c r="J440" s="464">
        <f t="shared" si="4"/>
        <v>0</v>
      </c>
      <c r="K440" s="465">
        <f t="shared" si="5"/>
        <v>15319.14894</v>
      </c>
      <c r="L440" s="466"/>
      <c r="M440" s="466"/>
      <c r="N440" s="465">
        <f t="shared" si="28"/>
        <v>0</v>
      </c>
      <c r="O440" s="465">
        <f t="shared" si="6"/>
        <v>15319.14894</v>
      </c>
      <c r="P440" s="467"/>
    </row>
    <row r="441" ht="26.25" customHeight="1">
      <c r="A441" s="459">
        <v>45935.0</v>
      </c>
      <c r="B441" s="460" t="s">
        <v>2468</v>
      </c>
      <c r="C441" s="461" t="str">
        <f t="shared" si="1"/>
        <v>الأحد</v>
      </c>
      <c r="D441" s="462">
        <v>0.3333333333333333</v>
      </c>
      <c r="E441" s="462">
        <v>0.7083333333333334</v>
      </c>
      <c r="F441" s="463">
        <v>400000.0</v>
      </c>
      <c r="G441" s="464">
        <f t="shared" si="21"/>
        <v>1702.12766</v>
      </c>
      <c r="H441" s="464">
        <f t="shared" si="7"/>
        <v>9</v>
      </c>
      <c r="I441" s="464">
        <f t="shared" si="3"/>
        <v>0</v>
      </c>
      <c r="J441" s="464">
        <f t="shared" si="4"/>
        <v>0</v>
      </c>
      <c r="K441" s="465">
        <f t="shared" si="5"/>
        <v>15319.14894</v>
      </c>
      <c r="L441" s="466"/>
      <c r="M441" s="466"/>
      <c r="N441" s="465">
        <f t="shared" si="28"/>
        <v>0</v>
      </c>
      <c r="O441" s="465">
        <f t="shared" si="6"/>
        <v>15319.14894</v>
      </c>
      <c r="P441" s="467"/>
    </row>
    <row r="442" ht="26.25" customHeight="1">
      <c r="A442" s="459">
        <v>45936.0</v>
      </c>
      <c r="B442" s="460" t="s">
        <v>2468</v>
      </c>
      <c r="C442" s="461" t="str">
        <f t="shared" si="1"/>
        <v>الاثنين</v>
      </c>
      <c r="D442" s="462">
        <v>0.3333333333333333</v>
      </c>
      <c r="E442" s="462">
        <v>0.7104166666666667</v>
      </c>
      <c r="F442" s="463">
        <v>400000.0</v>
      </c>
      <c r="G442" s="464">
        <f t="shared" si="21"/>
        <v>1702.12766</v>
      </c>
      <c r="H442" s="464">
        <f t="shared" si="7"/>
        <v>9.05</v>
      </c>
      <c r="I442" s="464">
        <f t="shared" si="3"/>
        <v>0</v>
      </c>
      <c r="J442" s="464">
        <f t="shared" si="4"/>
        <v>0</v>
      </c>
      <c r="K442" s="465">
        <f t="shared" si="5"/>
        <v>15404.25532</v>
      </c>
      <c r="L442" s="466"/>
      <c r="M442" s="466"/>
      <c r="N442" s="465">
        <f t="shared" si="28"/>
        <v>0</v>
      </c>
      <c r="O442" s="465">
        <f t="shared" si="6"/>
        <v>15404.25532</v>
      </c>
      <c r="P442" s="467"/>
    </row>
    <row r="443" ht="26.25" customHeight="1">
      <c r="A443" s="459">
        <v>45938.0</v>
      </c>
      <c r="B443" s="460" t="s">
        <v>2468</v>
      </c>
      <c r="C443" s="461" t="str">
        <f t="shared" si="1"/>
        <v>الأربعاء</v>
      </c>
      <c r="D443" s="462">
        <v>0.3333333333333333</v>
      </c>
      <c r="E443" s="462">
        <v>0.7083333333333334</v>
      </c>
      <c r="F443" s="463">
        <v>400000.0</v>
      </c>
      <c r="G443" s="464">
        <f t="shared" si="21"/>
        <v>1702.12766</v>
      </c>
      <c r="H443" s="464">
        <f t="shared" si="7"/>
        <v>9</v>
      </c>
      <c r="I443" s="464">
        <f t="shared" si="3"/>
        <v>0</v>
      </c>
      <c r="J443" s="464">
        <f t="shared" si="4"/>
        <v>0</v>
      </c>
      <c r="K443" s="465">
        <f t="shared" si="5"/>
        <v>15319.14894</v>
      </c>
      <c r="L443" s="466"/>
      <c r="M443" s="466"/>
      <c r="N443" s="465">
        <f t="shared" si="28"/>
        <v>0</v>
      </c>
      <c r="O443" s="465">
        <f t="shared" si="6"/>
        <v>15319.14894</v>
      </c>
      <c r="P443" s="467"/>
    </row>
    <row r="444" ht="26.25" customHeight="1">
      <c r="A444" s="459">
        <v>45939.0</v>
      </c>
      <c r="B444" s="460" t="s">
        <v>2468</v>
      </c>
      <c r="C444" s="461" t="str">
        <f t="shared" si="1"/>
        <v>الخميس</v>
      </c>
      <c r="D444" s="462">
        <v>0.3333333333333333</v>
      </c>
      <c r="E444" s="462">
        <v>0.7104166666666667</v>
      </c>
      <c r="F444" s="463">
        <v>400000.0</v>
      </c>
      <c r="G444" s="464">
        <f t="shared" si="21"/>
        <v>1702.12766</v>
      </c>
      <c r="H444" s="464">
        <f t="shared" si="7"/>
        <v>9.05</v>
      </c>
      <c r="I444" s="464">
        <f t="shared" si="3"/>
        <v>0</v>
      </c>
      <c r="J444" s="464">
        <f t="shared" si="4"/>
        <v>0</v>
      </c>
      <c r="K444" s="465">
        <f t="shared" si="5"/>
        <v>15404.25532</v>
      </c>
      <c r="L444" s="466"/>
      <c r="M444" s="465">
        <v>100000.0</v>
      </c>
      <c r="N444" s="465">
        <f t="shared" si="28"/>
        <v>0</v>
      </c>
      <c r="O444" s="465">
        <f t="shared" si="6"/>
        <v>-84595.74468</v>
      </c>
      <c r="P444" s="467"/>
    </row>
    <row r="445" ht="26.25" customHeight="1">
      <c r="A445" s="459">
        <v>45941.0</v>
      </c>
      <c r="B445" s="460" t="s">
        <v>2468</v>
      </c>
      <c r="C445" s="461" t="str">
        <f t="shared" si="1"/>
        <v>السبت</v>
      </c>
      <c r="D445" s="462">
        <v>0.2916666666666667</v>
      </c>
      <c r="E445" s="462">
        <v>0.7083333333333334</v>
      </c>
      <c r="F445" s="463">
        <v>400000.0</v>
      </c>
      <c r="G445" s="464">
        <f t="shared" si="21"/>
        <v>1702.12766</v>
      </c>
      <c r="H445" s="464">
        <f t="shared" si="7"/>
        <v>10</v>
      </c>
      <c r="I445" s="464">
        <f t="shared" si="3"/>
        <v>0</v>
      </c>
      <c r="J445" s="464">
        <f t="shared" si="4"/>
        <v>0</v>
      </c>
      <c r="K445" s="465">
        <f t="shared" si="5"/>
        <v>17021.2766</v>
      </c>
      <c r="L445" s="466"/>
      <c r="M445" s="466"/>
      <c r="N445" s="465">
        <f t="shared" si="28"/>
        <v>0</v>
      </c>
      <c r="O445" s="465">
        <f t="shared" si="6"/>
        <v>17021.2766</v>
      </c>
      <c r="P445" s="467"/>
    </row>
    <row r="446" ht="26.25" customHeight="1">
      <c r="A446" s="459">
        <v>45942.0</v>
      </c>
      <c r="B446" s="460" t="s">
        <v>2468</v>
      </c>
      <c r="C446" s="461" t="str">
        <f t="shared" si="1"/>
        <v>الأحد</v>
      </c>
      <c r="D446" s="462">
        <v>0.3347222222222222</v>
      </c>
      <c r="E446" s="462">
        <v>0.7125</v>
      </c>
      <c r="F446" s="463">
        <v>400000.0</v>
      </c>
      <c r="G446" s="464">
        <f t="shared" si="21"/>
        <v>1702.12766</v>
      </c>
      <c r="H446" s="464">
        <f t="shared" si="7"/>
        <v>9.066666667</v>
      </c>
      <c r="I446" s="464">
        <f t="shared" si="3"/>
        <v>0</v>
      </c>
      <c r="J446" s="464">
        <f t="shared" si="4"/>
        <v>0</v>
      </c>
      <c r="K446" s="465">
        <f t="shared" si="5"/>
        <v>15432.62411</v>
      </c>
      <c r="L446" s="466"/>
      <c r="M446" s="466"/>
      <c r="N446" s="465">
        <f t="shared" si="28"/>
        <v>0</v>
      </c>
      <c r="O446" s="465">
        <f t="shared" si="6"/>
        <v>15432.62411</v>
      </c>
      <c r="P446" s="467"/>
    </row>
    <row r="447" ht="26.25" customHeight="1">
      <c r="A447" s="459">
        <v>45943.0</v>
      </c>
      <c r="B447" s="460" t="s">
        <v>2468</v>
      </c>
      <c r="C447" s="461" t="str">
        <f t="shared" si="1"/>
        <v>الاثنين</v>
      </c>
      <c r="D447" s="462">
        <v>0.3333333333333333</v>
      </c>
      <c r="E447" s="462">
        <v>0.7138888888888889</v>
      </c>
      <c r="F447" s="463">
        <v>400000.0</v>
      </c>
      <c r="G447" s="464">
        <f t="shared" si="21"/>
        <v>1702.12766</v>
      </c>
      <c r="H447" s="464">
        <f t="shared" si="7"/>
        <v>9.133333333</v>
      </c>
      <c r="I447" s="464">
        <f t="shared" si="3"/>
        <v>0</v>
      </c>
      <c r="J447" s="464">
        <f t="shared" si="4"/>
        <v>0</v>
      </c>
      <c r="K447" s="465">
        <f t="shared" si="5"/>
        <v>15546.09929</v>
      </c>
      <c r="L447" s="466"/>
      <c r="M447" s="466"/>
      <c r="N447" s="465">
        <f t="shared" si="28"/>
        <v>0</v>
      </c>
      <c r="O447" s="465">
        <f t="shared" si="6"/>
        <v>15546.09929</v>
      </c>
      <c r="P447" s="467"/>
    </row>
    <row r="448" ht="26.25" customHeight="1">
      <c r="A448" s="459">
        <v>45944.0</v>
      </c>
      <c r="B448" s="460" t="s">
        <v>2468</v>
      </c>
      <c r="C448" s="461" t="str">
        <f t="shared" si="1"/>
        <v>الثلاثاء</v>
      </c>
      <c r="D448" s="462">
        <v>0.3333333333333333</v>
      </c>
      <c r="E448" s="462">
        <v>0.7097222222222223</v>
      </c>
      <c r="F448" s="463">
        <v>400000.0</v>
      </c>
      <c r="G448" s="464">
        <f t="shared" si="21"/>
        <v>1702.12766</v>
      </c>
      <c r="H448" s="464">
        <f t="shared" si="7"/>
        <v>9.033333333</v>
      </c>
      <c r="I448" s="464">
        <f t="shared" si="3"/>
        <v>0</v>
      </c>
      <c r="J448" s="464">
        <f t="shared" si="4"/>
        <v>0</v>
      </c>
      <c r="K448" s="465">
        <f t="shared" si="5"/>
        <v>15375.88652</v>
      </c>
      <c r="L448" s="466"/>
      <c r="M448" s="466"/>
      <c r="N448" s="465">
        <f t="shared" si="28"/>
        <v>0</v>
      </c>
      <c r="O448" s="465">
        <f t="shared" si="6"/>
        <v>15375.88652</v>
      </c>
      <c r="P448" s="467"/>
    </row>
    <row r="449" ht="26.25" customHeight="1">
      <c r="A449" s="459">
        <v>45945.0</v>
      </c>
      <c r="B449" s="460" t="s">
        <v>2468</v>
      </c>
      <c r="C449" s="461" t="str">
        <f t="shared" si="1"/>
        <v>الأربعاء</v>
      </c>
      <c r="D449" s="462">
        <v>0.3326388888888889</v>
      </c>
      <c r="E449" s="462">
        <v>0.7083333333333334</v>
      </c>
      <c r="F449" s="463">
        <v>400000.0</v>
      </c>
      <c r="G449" s="464">
        <f t="shared" si="21"/>
        <v>1702.12766</v>
      </c>
      <c r="H449" s="464">
        <f t="shared" si="7"/>
        <v>9.016666667</v>
      </c>
      <c r="I449" s="464">
        <f t="shared" si="3"/>
        <v>0</v>
      </c>
      <c r="J449" s="464">
        <f t="shared" si="4"/>
        <v>0</v>
      </c>
      <c r="K449" s="465">
        <f t="shared" si="5"/>
        <v>15347.51773</v>
      </c>
      <c r="L449" s="466"/>
      <c r="M449" s="466"/>
      <c r="N449" s="465">
        <f t="shared" si="28"/>
        <v>0</v>
      </c>
      <c r="O449" s="465">
        <f t="shared" si="6"/>
        <v>15347.51773</v>
      </c>
      <c r="P449" s="467"/>
    </row>
    <row r="450" ht="26.25" customHeight="1">
      <c r="A450" s="459">
        <v>45946.0</v>
      </c>
      <c r="B450" s="460" t="s">
        <v>2468</v>
      </c>
      <c r="C450" s="461" t="str">
        <f t="shared" si="1"/>
        <v>الخميس</v>
      </c>
      <c r="D450" s="462">
        <v>0.3333333333333333</v>
      </c>
      <c r="E450" s="462">
        <v>0.7083333333333334</v>
      </c>
      <c r="F450" s="463">
        <v>400000.0</v>
      </c>
      <c r="G450" s="464">
        <f t="shared" si="21"/>
        <v>1702.12766</v>
      </c>
      <c r="H450" s="464">
        <f t="shared" si="7"/>
        <v>9</v>
      </c>
      <c r="I450" s="464">
        <f t="shared" si="3"/>
        <v>0</v>
      </c>
      <c r="J450" s="464">
        <f t="shared" si="4"/>
        <v>0</v>
      </c>
      <c r="K450" s="465">
        <f t="shared" si="5"/>
        <v>15319.14894</v>
      </c>
      <c r="L450" s="466"/>
      <c r="M450" s="466"/>
      <c r="N450" s="465">
        <f t="shared" si="28"/>
        <v>0</v>
      </c>
      <c r="O450" s="465">
        <f t="shared" si="6"/>
        <v>15319.14894</v>
      </c>
      <c r="P450" s="467"/>
    </row>
    <row r="451" ht="26.25" customHeight="1">
      <c r="A451" s="459">
        <v>45948.0</v>
      </c>
      <c r="B451" s="460" t="s">
        <v>2468</v>
      </c>
      <c r="C451" s="461" t="str">
        <f t="shared" si="1"/>
        <v>السبت</v>
      </c>
      <c r="D451" s="462">
        <v>0.3770833333333333</v>
      </c>
      <c r="E451" s="462">
        <v>0.7083333333333334</v>
      </c>
      <c r="F451" s="463">
        <v>400000.0</v>
      </c>
      <c r="G451" s="464">
        <f t="shared" si="21"/>
        <v>1702.12766</v>
      </c>
      <c r="H451" s="464">
        <f t="shared" si="7"/>
        <v>7.95</v>
      </c>
      <c r="I451" s="464">
        <f t="shared" si="3"/>
        <v>0</v>
      </c>
      <c r="J451" s="464">
        <f t="shared" si="4"/>
        <v>0</v>
      </c>
      <c r="K451" s="465">
        <f t="shared" si="5"/>
        <v>13531.91489</v>
      </c>
      <c r="L451" s="466"/>
      <c r="M451" s="466"/>
      <c r="N451" s="465">
        <f t="shared" si="28"/>
        <v>85.10638298</v>
      </c>
      <c r="O451" s="465">
        <f t="shared" si="6"/>
        <v>13446.80851</v>
      </c>
      <c r="P451" s="467"/>
    </row>
    <row r="452" ht="26.25" customHeight="1">
      <c r="A452" s="459">
        <v>45949.0</v>
      </c>
      <c r="B452" s="460" t="s">
        <v>2468</v>
      </c>
      <c r="C452" s="461" t="str">
        <f t="shared" si="1"/>
        <v>الأحد</v>
      </c>
      <c r="D452" s="462">
        <v>0.3333333333333333</v>
      </c>
      <c r="E452" s="462">
        <v>0.7083333333333334</v>
      </c>
      <c r="F452" s="463">
        <v>400000.0</v>
      </c>
      <c r="G452" s="464">
        <f t="shared" si="21"/>
        <v>1702.12766</v>
      </c>
      <c r="H452" s="464">
        <f t="shared" si="7"/>
        <v>9</v>
      </c>
      <c r="I452" s="464">
        <f t="shared" si="3"/>
        <v>0</v>
      </c>
      <c r="J452" s="464">
        <f t="shared" si="4"/>
        <v>0</v>
      </c>
      <c r="K452" s="465">
        <f t="shared" si="5"/>
        <v>15319.14894</v>
      </c>
      <c r="L452" s="466"/>
      <c r="M452" s="466"/>
      <c r="N452" s="465">
        <f t="shared" si="28"/>
        <v>0</v>
      </c>
      <c r="O452" s="465">
        <f t="shared" si="6"/>
        <v>15319.14894</v>
      </c>
      <c r="P452" s="467"/>
    </row>
    <row r="453" ht="26.25" customHeight="1">
      <c r="A453" s="459">
        <v>45950.0</v>
      </c>
      <c r="B453" s="460" t="s">
        <v>2468</v>
      </c>
      <c r="C453" s="461" t="str">
        <f t="shared" si="1"/>
        <v>الاثنين</v>
      </c>
      <c r="D453" s="462">
        <v>0.3333333333333333</v>
      </c>
      <c r="E453" s="462">
        <v>0.7090277777777778</v>
      </c>
      <c r="F453" s="463">
        <v>400000.0</v>
      </c>
      <c r="G453" s="464">
        <f t="shared" si="21"/>
        <v>1702.12766</v>
      </c>
      <c r="H453" s="464">
        <f t="shared" si="7"/>
        <v>9.016666667</v>
      </c>
      <c r="I453" s="464">
        <f t="shared" si="3"/>
        <v>0</v>
      </c>
      <c r="J453" s="464">
        <f t="shared" si="4"/>
        <v>0</v>
      </c>
      <c r="K453" s="465">
        <f t="shared" si="5"/>
        <v>15347.51773</v>
      </c>
      <c r="L453" s="466"/>
      <c r="M453" s="466"/>
      <c r="N453" s="465">
        <f t="shared" si="28"/>
        <v>0</v>
      </c>
      <c r="O453" s="465">
        <f t="shared" si="6"/>
        <v>15347.51773</v>
      </c>
      <c r="P453" s="467"/>
    </row>
    <row r="454" ht="26.25" customHeight="1">
      <c r="A454" s="459">
        <v>45951.0</v>
      </c>
      <c r="B454" s="460" t="s">
        <v>2468</v>
      </c>
      <c r="C454" s="461" t="str">
        <f t="shared" si="1"/>
        <v>الثلاثاء</v>
      </c>
      <c r="D454" s="462">
        <v>0.3333333333333333</v>
      </c>
      <c r="E454" s="462">
        <v>0.7097222222222223</v>
      </c>
      <c r="F454" s="463">
        <v>400000.0</v>
      </c>
      <c r="G454" s="464">
        <f t="shared" si="21"/>
        <v>1702.12766</v>
      </c>
      <c r="H454" s="464">
        <f t="shared" si="7"/>
        <v>9.033333333</v>
      </c>
      <c r="I454" s="464">
        <f t="shared" si="3"/>
        <v>0</v>
      </c>
      <c r="J454" s="464">
        <f t="shared" si="4"/>
        <v>0</v>
      </c>
      <c r="K454" s="465">
        <f t="shared" si="5"/>
        <v>15375.88652</v>
      </c>
      <c r="L454" s="466"/>
      <c r="M454" s="466"/>
      <c r="N454" s="465">
        <f t="shared" si="28"/>
        <v>0</v>
      </c>
      <c r="O454" s="465">
        <f t="shared" si="6"/>
        <v>15375.88652</v>
      </c>
      <c r="P454" s="467"/>
    </row>
    <row r="455" ht="26.25" customHeight="1">
      <c r="A455" s="459">
        <v>45952.0</v>
      </c>
      <c r="B455" s="460" t="s">
        <v>2468</v>
      </c>
      <c r="C455" s="461" t="str">
        <f t="shared" si="1"/>
        <v>الأربعاء</v>
      </c>
      <c r="D455" s="462">
        <v>0.3333333333333333</v>
      </c>
      <c r="E455" s="462">
        <v>0.7083333333333334</v>
      </c>
      <c r="F455" s="463">
        <v>400000.0</v>
      </c>
      <c r="G455" s="464">
        <f t="shared" si="21"/>
        <v>1702.12766</v>
      </c>
      <c r="H455" s="464">
        <f t="shared" si="7"/>
        <v>9</v>
      </c>
      <c r="I455" s="464">
        <f t="shared" si="3"/>
        <v>0</v>
      </c>
      <c r="J455" s="464">
        <f t="shared" si="4"/>
        <v>0</v>
      </c>
      <c r="K455" s="465">
        <f t="shared" si="5"/>
        <v>15319.14894</v>
      </c>
      <c r="L455" s="466"/>
      <c r="M455" s="466"/>
      <c r="N455" s="465">
        <f t="shared" si="28"/>
        <v>0</v>
      </c>
      <c r="O455" s="465">
        <f t="shared" si="6"/>
        <v>15319.14894</v>
      </c>
      <c r="P455" s="467"/>
    </row>
    <row r="456" ht="26.25" customHeight="1">
      <c r="A456" s="459">
        <v>45956.0</v>
      </c>
      <c r="B456" s="460" t="s">
        <v>2468</v>
      </c>
      <c r="C456" s="461" t="str">
        <f t="shared" si="1"/>
        <v>الأحد</v>
      </c>
      <c r="D456" s="462">
        <v>0.3333333333333333</v>
      </c>
      <c r="E456" s="462">
        <v>0.7083333333333334</v>
      </c>
      <c r="F456" s="463">
        <v>400000.0</v>
      </c>
      <c r="G456" s="464">
        <f t="shared" si="21"/>
        <v>1702.12766</v>
      </c>
      <c r="H456" s="464">
        <f t="shared" si="7"/>
        <v>9</v>
      </c>
      <c r="I456" s="464">
        <f t="shared" si="3"/>
        <v>0</v>
      </c>
      <c r="J456" s="464">
        <f t="shared" si="4"/>
        <v>0</v>
      </c>
      <c r="K456" s="465">
        <f t="shared" si="5"/>
        <v>15319.14894</v>
      </c>
      <c r="L456" s="466"/>
      <c r="M456" s="466"/>
      <c r="N456" s="465">
        <f t="shared" si="28"/>
        <v>0</v>
      </c>
      <c r="O456" s="465">
        <f t="shared" si="6"/>
        <v>15319.14894</v>
      </c>
      <c r="P456" s="467"/>
    </row>
    <row r="457" ht="26.25" customHeight="1">
      <c r="A457" s="459">
        <v>45931.0</v>
      </c>
      <c r="B457" s="460" t="s">
        <v>31</v>
      </c>
      <c r="C457" s="461" t="str">
        <f t="shared" si="1"/>
        <v>الأربعاء</v>
      </c>
      <c r="D457" s="462">
        <v>0.44583333333333336</v>
      </c>
      <c r="E457" s="476">
        <v>0.7493055555555556</v>
      </c>
      <c r="F457" s="463">
        <v>700000.0</v>
      </c>
      <c r="G457" s="464">
        <f t="shared" si="21"/>
        <v>2978.723404</v>
      </c>
      <c r="H457" s="464">
        <f t="shared" si="7"/>
        <v>7.283333333</v>
      </c>
      <c r="I457" s="464">
        <f t="shared" si="3"/>
        <v>0</v>
      </c>
      <c r="J457" s="464">
        <f t="shared" si="4"/>
        <v>0</v>
      </c>
      <c r="K457" s="465">
        <f t="shared" si="5"/>
        <v>21695.03546</v>
      </c>
      <c r="L457" s="466"/>
      <c r="M457" s="465">
        <v>0.0</v>
      </c>
      <c r="N457" s="465">
        <f t="shared" ref="N457:N473" si="29">IF(C457="الجمعة",0,IF(D457&gt;TIME(8,0,0),(D457-TIME(8,0,0))*24*60*(G457/60),0))</f>
        <v>8042.553191</v>
      </c>
      <c r="O457" s="465">
        <f t="shared" si="6"/>
        <v>13652.48227</v>
      </c>
      <c r="P457" s="467"/>
    </row>
    <row r="458" ht="26.25" customHeight="1">
      <c r="A458" s="459">
        <v>45932.0</v>
      </c>
      <c r="B458" s="460" t="s">
        <v>31</v>
      </c>
      <c r="C458" s="461" t="str">
        <f t="shared" si="1"/>
        <v>الخميس</v>
      </c>
      <c r="D458" s="462">
        <v>0.3645833333333333</v>
      </c>
      <c r="E458" s="476">
        <v>0.7243055555555555</v>
      </c>
      <c r="F458" s="463">
        <v>700000.0</v>
      </c>
      <c r="G458" s="464">
        <f t="shared" si="21"/>
        <v>2978.723404</v>
      </c>
      <c r="H458" s="464">
        <f t="shared" si="7"/>
        <v>8.633333333</v>
      </c>
      <c r="I458" s="464">
        <f t="shared" si="3"/>
        <v>0</v>
      </c>
      <c r="J458" s="464">
        <f t="shared" si="4"/>
        <v>0</v>
      </c>
      <c r="K458" s="465">
        <f t="shared" si="5"/>
        <v>25716.31206</v>
      </c>
      <c r="L458" s="466"/>
      <c r="M458" s="466"/>
      <c r="N458" s="465">
        <f t="shared" si="29"/>
        <v>2234.042553</v>
      </c>
      <c r="O458" s="465">
        <f t="shared" si="6"/>
        <v>23482.2695</v>
      </c>
      <c r="P458" s="467"/>
    </row>
    <row r="459" ht="26.25" customHeight="1">
      <c r="A459" s="459">
        <v>45934.0</v>
      </c>
      <c r="B459" s="460" t="s">
        <v>31</v>
      </c>
      <c r="C459" s="461" t="str">
        <f t="shared" si="1"/>
        <v>السبت</v>
      </c>
      <c r="D459" s="462">
        <v>0.3458333333333333</v>
      </c>
      <c r="E459" s="476">
        <v>0.75</v>
      </c>
      <c r="F459" s="463">
        <v>700000.0</v>
      </c>
      <c r="G459" s="464">
        <f t="shared" si="21"/>
        <v>2978.723404</v>
      </c>
      <c r="H459" s="464">
        <f t="shared" si="7"/>
        <v>9.7</v>
      </c>
      <c r="I459" s="464">
        <f t="shared" si="3"/>
        <v>0</v>
      </c>
      <c r="J459" s="464">
        <f t="shared" si="4"/>
        <v>0</v>
      </c>
      <c r="K459" s="465">
        <f t="shared" si="5"/>
        <v>28893.61702</v>
      </c>
      <c r="L459" s="466"/>
      <c r="M459" s="466"/>
      <c r="N459" s="465">
        <f t="shared" si="29"/>
        <v>893.6170213</v>
      </c>
      <c r="O459" s="465">
        <f t="shared" si="6"/>
        <v>28000</v>
      </c>
      <c r="P459" s="467"/>
    </row>
    <row r="460" ht="26.25" customHeight="1">
      <c r="A460" s="459">
        <v>45935.0</v>
      </c>
      <c r="B460" s="460" t="s">
        <v>31</v>
      </c>
      <c r="C460" s="461" t="str">
        <f t="shared" si="1"/>
        <v>الأحد</v>
      </c>
      <c r="D460" s="462">
        <v>0.36944444444444446</v>
      </c>
      <c r="E460" s="476">
        <v>0.7083333333333334</v>
      </c>
      <c r="F460" s="463">
        <v>700000.0</v>
      </c>
      <c r="G460" s="464">
        <f t="shared" si="21"/>
        <v>2978.723404</v>
      </c>
      <c r="H460" s="464">
        <f t="shared" si="7"/>
        <v>8.133333333</v>
      </c>
      <c r="I460" s="464">
        <f t="shared" si="3"/>
        <v>0</v>
      </c>
      <c r="J460" s="464">
        <f t="shared" si="4"/>
        <v>0</v>
      </c>
      <c r="K460" s="465">
        <f t="shared" si="5"/>
        <v>24226.95035</v>
      </c>
      <c r="L460" s="466"/>
      <c r="M460" s="466"/>
      <c r="N460" s="465">
        <f t="shared" si="29"/>
        <v>2581.560284</v>
      </c>
      <c r="O460" s="465">
        <f t="shared" si="6"/>
        <v>21645.39007</v>
      </c>
      <c r="P460" s="467"/>
    </row>
    <row r="461" ht="26.25" customHeight="1">
      <c r="A461" s="459">
        <v>45936.0</v>
      </c>
      <c r="B461" s="460" t="s">
        <v>31</v>
      </c>
      <c r="C461" s="461" t="str">
        <f t="shared" si="1"/>
        <v>الاثنين</v>
      </c>
      <c r="D461" s="462">
        <v>0.3784722222222222</v>
      </c>
      <c r="E461" s="476">
        <v>0.6708333333333333</v>
      </c>
      <c r="F461" s="463">
        <v>700000.0</v>
      </c>
      <c r="G461" s="464">
        <f t="shared" si="21"/>
        <v>2978.723404</v>
      </c>
      <c r="H461" s="464">
        <f t="shared" si="7"/>
        <v>7.016666667</v>
      </c>
      <c r="I461" s="464">
        <f t="shared" si="3"/>
        <v>0</v>
      </c>
      <c r="J461" s="464">
        <f t="shared" si="4"/>
        <v>0</v>
      </c>
      <c r="K461" s="465">
        <f t="shared" si="5"/>
        <v>20900.70922</v>
      </c>
      <c r="L461" s="466"/>
      <c r="M461" s="466"/>
      <c r="N461" s="465">
        <f t="shared" si="29"/>
        <v>3226.950355</v>
      </c>
      <c r="O461" s="465">
        <f t="shared" si="6"/>
        <v>17673.75887</v>
      </c>
      <c r="P461" s="467"/>
    </row>
    <row r="462" ht="26.25" customHeight="1">
      <c r="A462" s="459">
        <v>45937.0</v>
      </c>
      <c r="B462" s="460" t="s">
        <v>31</v>
      </c>
      <c r="C462" s="461" t="str">
        <f t="shared" si="1"/>
        <v>الثلاثاء</v>
      </c>
      <c r="D462" s="462">
        <v>0.3333333333333333</v>
      </c>
      <c r="E462" s="476">
        <v>0.7131944444444445</v>
      </c>
      <c r="F462" s="463">
        <v>700000.0</v>
      </c>
      <c r="G462" s="464">
        <f t="shared" si="21"/>
        <v>2978.723404</v>
      </c>
      <c r="H462" s="464">
        <f t="shared" si="7"/>
        <v>9.116666667</v>
      </c>
      <c r="I462" s="464">
        <f t="shared" si="3"/>
        <v>0</v>
      </c>
      <c r="J462" s="464">
        <f t="shared" si="4"/>
        <v>0</v>
      </c>
      <c r="K462" s="465">
        <f t="shared" si="5"/>
        <v>27156.02837</v>
      </c>
      <c r="L462" s="466"/>
      <c r="M462" s="466"/>
      <c r="N462" s="465">
        <f t="shared" si="29"/>
        <v>0</v>
      </c>
      <c r="O462" s="465">
        <f t="shared" si="6"/>
        <v>27156.02837</v>
      </c>
      <c r="P462" s="467"/>
    </row>
    <row r="463" ht="26.25" customHeight="1">
      <c r="A463" s="459">
        <v>45938.0</v>
      </c>
      <c r="B463" s="472" t="s">
        <v>31</v>
      </c>
      <c r="C463" s="461" t="str">
        <f t="shared" si="1"/>
        <v>الأربعاء</v>
      </c>
      <c r="D463" s="462">
        <v>0.3472222222222222</v>
      </c>
      <c r="E463" s="473">
        <v>0.6763888888888889</v>
      </c>
      <c r="F463" s="463">
        <v>700000.0</v>
      </c>
      <c r="G463" s="464">
        <f t="shared" si="21"/>
        <v>2978.723404</v>
      </c>
      <c r="H463" s="464">
        <f t="shared" si="7"/>
        <v>7.9</v>
      </c>
      <c r="I463" s="464">
        <f t="shared" si="3"/>
        <v>0</v>
      </c>
      <c r="J463" s="464">
        <f t="shared" si="4"/>
        <v>0</v>
      </c>
      <c r="K463" s="465">
        <f t="shared" si="5"/>
        <v>23531.91489</v>
      </c>
      <c r="L463" s="466"/>
      <c r="M463" s="466"/>
      <c r="N463" s="465">
        <f t="shared" si="29"/>
        <v>992.9078014</v>
      </c>
      <c r="O463" s="465">
        <f t="shared" si="6"/>
        <v>22539.00709</v>
      </c>
      <c r="P463" s="467"/>
    </row>
    <row r="464" ht="26.25" customHeight="1">
      <c r="A464" s="459">
        <v>45941.0</v>
      </c>
      <c r="B464" s="472" t="s">
        <v>31</v>
      </c>
      <c r="C464" s="461" t="str">
        <f t="shared" si="1"/>
        <v>السبت</v>
      </c>
      <c r="D464" s="462">
        <v>0.3506944444444444</v>
      </c>
      <c r="E464" s="476">
        <v>0.7215277777777778</v>
      </c>
      <c r="F464" s="463">
        <v>700000.0</v>
      </c>
      <c r="G464" s="464">
        <f t="shared" si="21"/>
        <v>2978.723404</v>
      </c>
      <c r="H464" s="464">
        <f t="shared" si="7"/>
        <v>8.9</v>
      </c>
      <c r="I464" s="464">
        <f t="shared" si="3"/>
        <v>0</v>
      </c>
      <c r="J464" s="464">
        <f t="shared" si="4"/>
        <v>0</v>
      </c>
      <c r="K464" s="465">
        <f t="shared" si="5"/>
        <v>26510.6383</v>
      </c>
      <c r="L464" s="466"/>
      <c r="M464" s="466"/>
      <c r="N464" s="465">
        <f t="shared" si="29"/>
        <v>1241.134752</v>
      </c>
      <c r="O464" s="465">
        <f t="shared" si="6"/>
        <v>25269.50355</v>
      </c>
      <c r="P464" s="467"/>
    </row>
    <row r="465" ht="26.25" customHeight="1">
      <c r="A465" s="459">
        <v>45942.0</v>
      </c>
      <c r="B465" s="472" t="s">
        <v>31</v>
      </c>
      <c r="C465" s="461" t="str">
        <f t="shared" si="1"/>
        <v>الأحد</v>
      </c>
      <c r="D465" s="462">
        <v>0.3368055555555556</v>
      </c>
      <c r="E465" s="476">
        <v>0.7180555555555556</v>
      </c>
      <c r="F465" s="463">
        <v>700000.0</v>
      </c>
      <c r="G465" s="464">
        <f t="shared" si="21"/>
        <v>2978.723404</v>
      </c>
      <c r="H465" s="464">
        <f t="shared" si="7"/>
        <v>9.15</v>
      </c>
      <c r="I465" s="464">
        <f t="shared" si="3"/>
        <v>0</v>
      </c>
      <c r="J465" s="464">
        <f t="shared" si="4"/>
        <v>0</v>
      </c>
      <c r="K465" s="465">
        <f t="shared" si="5"/>
        <v>27255.31915</v>
      </c>
      <c r="L465" s="466"/>
      <c r="M465" s="466"/>
      <c r="N465" s="465">
        <f t="shared" si="29"/>
        <v>248.2269504</v>
      </c>
      <c r="O465" s="465">
        <f t="shared" si="6"/>
        <v>27007.0922</v>
      </c>
      <c r="P465" s="467"/>
    </row>
    <row r="466" ht="26.25" customHeight="1">
      <c r="A466" s="459">
        <v>45943.0</v>
      </c>
      <c r="B466" s="472" t="s">
        <v>31</v>
      </c>
      <c r="C466" s="461" t="str">
        <f t="shared" si="1"/>
        <v>الاثنين</v>
      </c>
      <c r="D466" s="462">
        <v>0.34652777777777777</v>
      </c>
      <c r="E466" s="476">
        <v>0.5875</v>
      </c>
      <c r="F466" s="463">
        <v>700000.0</v>
      </c>
      <c r="G466" s="464">
        <f t="shared" si="21"/>
        <v>2978.723404</v>
      </c>
      <c r="H466" s="464">
        <f t="shared" si="7"/>
        <v>5.783333333</v>
      </c>
      <c r="I466" s="464">
        <f t="shared" si="3"/>
        <v>0</v>
      </c>
      <c r="J466" s="464">
        <f t="shared" si="4"/>
        <v>0</v>
      </c>
      <c r="K466" s="465">
        <f t="shared" si="5"/>
        <v>17226.95035</v>
      </c>
      <c r="L466" s="466"/>
      <c r="M466" s="466"/>
      <c r="N466" s="465">
        <f t="shared" si="29"/>
        <v>943.2624113</v>
      </c>
      <c r="O466" s="465">
        <f t="shared" si="6"/>
        <v>16283.68794</v>
      </c>
      <c r="P466" s="467"/>
    </row>
    <row r="467" ht="26.25" customHeight="1">
      <c r="A467" s="459">
        <v>45944.0</v>
      </c>
      <c r="B467" s="472" t="s">
        <v>31</v>
      </c>
      <c r="C467" s="461" t="str">
        <f t="shared" si="1"/>
        <v>الثلاثاء</v>
      </c>
      <c r="D467" s="462">
        <v>0.34791666666666665</v>
      </c>
      <c r="E467" s="476">
        <v>0.5277777777777778</v>
      </c>
      <c r="F467" s="463">
        <v>700000.0</v>
      </c>
      <c r="G467" s="464">
        <f t="shared" si="21"/>
        <v>2978.723404</v>
      </c>
      <c r="H467" s="464">
        <f t="shared" si="7"/>
        <v>4.316666667</v>
      </c>
      <c r="I467" s="464">
        <f t="shared" si="3"/>
        <v>0</v>
      </c>
      <c r="J467" s="464">
        <f t="shared" si="4"/>
        <v>0</v>
      </c>
      <c r="K467" s="465">
        <f t="shared" si="5"/>
        <v>12858.15603</v>
      </c>
      <c r="L467" s="466"/>
      <c r="M467" s="466"/>
      <c r="N467" s="465">
        <f t="shared" si="29"/>
        <v>1042.553191</v>
      </c>
      <c r="O467" s="465">
        <f t="shared" si="6"/>
        <v>11815.60284</v>
      </c>
      <c r="P467" s="467"/>
    </row>
    <row r="468" ht="26.25" customHeight="1">
      <c r="A468" s="459">
        <v>45953.0</v>
      </c>
      <c r="B468" s="472" t="s">
        <v>31</v>
      </c>
      <c r="C468" s="461" t="str">
        <f t="shared" si="1"/>
        <v>الخميس</v>
      </c>
      <c r="D468" s="462">
        <v>0.3333333333333333</v>
      </c>
      <c r="E468" s="476">
        <v>0.8534722222222222</v>
      </c>
      <c r="F468" s="463">
        <v>700000.0</v>
      </c>
      <c r="G468" s="464">
        <f t="shared" si="21"/>
        <v>2978.723404</v>
      </c>
      <c r="H468" s="464">
        <f t="shared" si="7"/>
        <v>10</v>
      </c>
      <c r="I468" s="464">
        <f t="shared" si="3"/>
        <v>2.483333333</v>
      </c>
      <c r="J468" s="464">
        <f t="shared" si="4"/>
        <v>0</v>
      </c>
      <c r="K468" s="465">
        <f t="shared" si="5"/>
        <v>40882.97872</v>
      </c>
      <c r="L468" s="466"/>
      <c r="M468" s="466"/>
      <c r="N468" s="465">
        <f t="shared" si="29"/>
        <v>0</v>
      </c>
      <c r="O468" s="465">
        <f t="shared" si="6"/>
        <v>40882.97872</v>
      </c>
      <c r="P468" s="467"/>
    </row>
    <row r="469" ht="26.25" customHeight="1">
      <c r="A469" s="459">
        <v>45954.0</v>
      </c>
      <c r="B469" s="472" t="s">
        <v>31</v>
      </c>
      <c r="C469" s="461" t="str">
        <f t="shared" si="1"/>
        <v>الجمعة</v>
      </c>
      <c r="D469" s="462">
        <v>0.34930555555555554</v>
      </c>
      <c r="E469" s="476">
        <v>0.7083333333333334</v>
      </c>
      <c r="F469" s="463">
        <v>700000.0</v>
      </c>
      <c r="G469" s="464">
        <f t="shared" si="21"/>
        <v>2978.723404</v>
      </c>
      <c r="H469" s="464">
        <f t="shared" si="7"/>
        <v>0</v>
      </c>
      <c r="I469" s="464">
        <f t="shared" si="3"/>
        <v>0</v>
      </c>
      <c r="J469" s="464">
        <f t="shared" si="4"/>
        <v>8.616666667</v>
      </c>
      <c r="K469" s="465">
        <f t="shared" si="5"/>
        <v>51333.33333</v>
      </c>
      <c r="L469" s="466"/>
      <c r="M469" s="466"/>
      <c r="N469" s="465">
        <f t="shared" si="29"/>
        <v>0</v>
      </c>
      <c r="O469" s="465">
        <f t="shared" si="6"/>
        <v>51333.33333</v>
      </c>
      <c r="P469" s="467"/>
    </row>
    <row r="470" ht="26.25" customHeight="1">
      <c r="A470" s="459">
        <v>45955.0</v>
      </c>
      <c r="B470" s="472" t="s">
        <v>31</v>
      </c>
      <c r="C470" s="461" t="str">
        <f t="shared" si="1"/>
        <v>السبت</v>
      </c>
      <c r="D470" s="462">
        <v>0.3590277777777778</v>
      </c>
      <c r="E470" s="476">
        <v>0.7097222222222223</v>
      </c>
      <c r="F470" s="463">
        <v>700000.0</v>
      </c>
      <c r="G470" s="464">
        <f t="shared" si="21"/>
        <v>2978.723404</v>
      </c>
      <c r="H470" s="464">
        <f t="shared" si="7"/>
        <v>8.416666667</v>
      </c>
      <c r="I470" s="464">
        <f t="shared" si="3"/>
        <v>0</v>
      </c>
      <c r="J470" s="464">
        <f t="shared" si="4"/>
        <v>0</v>
      </c>
      <c r="K470" s="465">
        <f t="shared" si="5"/>
        <v>25070.92199</v>
      </c>
      <c r="L470" s="466"/>
      <c r="M470" s="466"/>
      <c r="N470" s="465">
        <f t="shared" si="29"/>
        <v>1836.879433</v>
      </c>
      <c r="O470" s="465">
        <f t="shared" si="6"/>
        <v>23234.04255</v>
      </c>
      <c r="P470" s="467"/>
    </row>
    <row r="471" ht="26.25" customHeight="1">
      <c r="A471" s="459">
        <v>45956.0</v>
      </c>
      <c r="B471" s="472" t="s">
        <v>31</v>
      </c>
      <c r="C471" s="461" t="str">
        <f t="shared" si="1"/>
        <v>الأحد</v>
      </c>
      <c r="D471" s="462">
        <v>0.3590277777777778</v>
      </c>
      <c r="E471" s="462">
        <v>0.7097222222222223</v>
      </c>
      <c r="F471" s="463">
        <v>700000.0</v>
      </c>
      <c r="G471" s="464">
        <f t="shared" si="21"/>
        <v>2978.723404</v>
      </c>
      <c r="H471" s="464">
        <f t="shared" si="7"/>
        <v>8.416666667</v>
      </c>
      <c r="I471" s="464">
        <f t="shared" si="3"/>
        <v>0</v>
      </c>
      <c r="J471" s="464">
        <f t="shared" si="4"/>
        <v>0</v>
      </c>
      <c r="K471" s="465">
        <f t="shared" si="5"/>
        <v>25070.92199</v>
      </c>
      <c r="L471" s="466"/>
      <c r="M471" s="466"/>
      <c r="N471" s="465">
        <f t="shared" si="29"/>
        <v>1836.879433</v>
      </c>
      <c r="O471" s="465">
        <f t="shared" si="6"/>
        <v>23234.04255</v>
      </c>
      <c r="P471" s="467"/>
    </row>
    <row r="472" ht="26.25" customHeight="1">
      <c r="A472" s="459">
        <v>45957.0</v>
      </c>
      <c r="B472" s="472" t="s">
        <v>31</v>
      </c>
      <c r="C472" s="461" t="str">
        <f t="shared" si="1"/>
        <v>الاثنين</v>
      </c>
      <c r="D472" s="462">
        <v>0.33125</v>
      </c>
      <c r="E472" s="462">
        <v>0.7083333333333334</v>
      </c>
      <c r="F472" s="463">
        <v>700000.0</v>
      </c>
      <c r="G472" s="464">
        <f t="shared" si="21"/>
        <v>2978.723404</v>
      </c>
      <c r="H472" s="464">
        <f t="shared" si="7"/>
        <v>9.05</v>
      </c>
      <c r="I472" s="464">
        <f t="shared" si="3"/>
        <v>0</v>
      </c>
      <c r="J472" s="464">
        <f t="shared" si="4"/>
        <v>0</v>
      </c>
      <c r="K472" s="465">
        <f t="shared" si="5"/>
        <v>26957.44681</v>
      </c>
      <c r="L472" s="466"/>
      <c r="M472" s="466"/>
      <c r="N472" s="465">
        <f t="shared" si="29"/>
        <v>0</v>
      </c>
      <c r="O472" s="465">
        <f t="shared" si="6"/>
        <v>26957.44681</v>
      </c>
      <c r="P472" s="467"/>
    </row>
    <row r="473" ht="26.25" customHeight="1">
      <c r="A473" s="459">
        <v>45958.0</v>
      </c>
      <c r="B473" s="472" t="s">
        <v>31</v>
      </c>
      <c r="C473" s="461" t="str">
        <f t="shared" si="1"/>
        <v>الثلاثاء</v>
      </c>
      <c r="D473" s="462">
        <v>0.325</v>
      </c>
      <c r="E473" s="462">
        <v>0.7083333333333334</v>
      </c>
      <c r="F473" s="463">
        <v>700000.0</v>
      </c>
      <c r="G473" s="464">
        <f t="shared" si="21"/>
        <v>2978.723404</v>
      </c>
      <c r="H473" s="464">
        <f t="shared" si="7"/>
        <v>9.2</v>
      </c>
      <c r="I473" s="464">
        <f t="shared" si="3"/>
        <v>0</v>
      </c>
      <c r="J473" s="464">
        <f t="shared" si="4"/>
        <v>0</v>
      </c>
      <c r="K473" s="465">
        <f t="shared" si="5"/>
        <v>27404.25532</v>
      </c>
      <c r="L473" s="466"/>
      <c r="M473" s="466"/>
      <c r="N473" s="465">
        <f t="shared" si="29"/>
        <v>0</v>
      </c>
      <c r="O473" s="465">
        <f t="shared" si="6"/>
        <v>27404.25532</v>
      </c>
      <c r="P473" s="467"/>
    </row>
    <row r="474" ht="26.25" customHeight="1">
      <c r="A474" s="459">
        <v>45959.0</v>
      </c>
      <c r="B474" s="472" t="s">
        <v>31</v>
      </c>
      <c r="C474" s="461" t="str">
        <f t="shared" si="1"/>
        <v>الأربعاء</v>
      </c>
      <c r="D474" s="462">
        <v>0.3840277777777778</v>
      </c>
      <c r="E474" s="462">
        <v>0.6881944444444444</v>
      </c>
      <c r="F474" s="463">
        <v>700000.0</v>
      </c>
      <c r="G474" s="464">
        <f t="shared" si="21"/>
        <v>2978.723404</v>
      </c>
      <c r="H474" s="464">
        <f t="shared" si="7"/>
        <v>7.3</v>
      </c>
      <c r="I474" s="464">
        <f t="shared" si="3"/>
        <v>0</v>
      </c>
      <c r="J474" s="464">
        <f t="shared" si="4"/>
        <v>0</v>
      </c>
      <c r="K474" s="465">
        <f t="shared" si="5"/>
        <v>21744.68085</v>
      </c>
      <c r="L474" s="466"/>
      <c r="M474" s="466"/>
      <c r="N474" s="465">
        <f>IF(C474="الجمعة",0,IF(D474&gt;TIME(9,0,0),(D474-TIME(9,0,0))*24*60*(G474/60),0))</f>
        <v>645.3900709</v>
      </c>
      <c r="O474" s="465">
        <f t="shared" si="6"/>
        <v>21099.29078</v>
      </c>
      <c r="P474" s="467"/>
    </row>
    <row r="475" ht="26.25" customHeight="1">
      <c r="A475" s="459">
        <v>45962.0</v>
      </c>
      <c r="B475" s="477" t="s">
        <v>21</v>
      </c>
      <c r="C475" s="461" t="str">
        <f t="shared" si="1"/>
        <v>السبت</v>
      </c>
      <c r="D475" s="462">
        <v>0.3548611111111111</v>
      </c>
      <c r="E475" s="462">
        <v>0.7125</v>
      </c>
      <c r="F475" s="463">
        <v>600000.0</v>
      </c>
      <c r="G475" s="464">
        <f t="shared" si="21"/>
        <v>2553.191489</v>
      </c>
      <c r="H475" s="464">
        <f t="shared" si="7"/>
        <v>8.583333333</v>
      </c>
      <c r="I475" s="464">
        <f t="shared" si="3"/>
        <v>0</v>
      </c>
      <c r="J475" s="464">
        <f t="shared" si="4"/>
        <v>0</v>
      </c>
      <c r="K475" s="465">
        <f t="shared" si="5"/>
        <v>21914.89362</v>
      </c>
      <c r="L475" s="465">
        <v>6300.0</v>
      </c>
      <c r="M475" s="466"/>
      <c r="N475" s="465">
        <f t="shared" ref="N475:N543" si="30">IF(C475="الجمعة",0,IF(D475&gt;TIME(8,0,0),(D475-TIME(8,0,0))*24*60*(G475/60),0))</f>
        <v>1319.148936</v>
      </c>
      <c r="O475" s="465">
        <f t="shared" si="6"/>
        <v>26895.74468</v>
      </c>
      <c r="P475" s="468" t="s">
        <v>2499</v>
      </c>
    </row>
    <row r="476" ht="26.25" customHeight="1">
      <c r="A476" s="459">
        <v>45963.0</v>
      </c>
      <c r="B476" s="477" t="s">
        <v>21</v>
      </c>
      <c r="C476" s="461" t="str">
        <f t="shared" si="1"/>
        <v>الأحد</v>
      </c>
      <c r="D476" s="462">
        <v>0.3333333333333333</v>
      </c>
      <c r="E476" s="462">
        <v>0.7118055555555556</v>
      </c>
      <c r="F476" s="463">
        <v>600000.0</v>
      </c>
      <c r="G476" s="464">
        <f t="shared" si="21"/>
        <v>2553.191489</v>
      </c>
      <c r="H476" s="464">
        <f t="shared" si="7"/>
        <v>9.083333333</v>
      </c>
      <c r="I476" s="464">
        <f t="shared" si="3"/>
        <v>0</v>
      </c>
      <c r="J476" s="464">
        <f t="shared" si="4"/>
        <v>0</v>
      </c>
      <c r="K476" s="465">
        <f t="shared" si="5"/>
        <v>23191.48936</v>
      </c>
      <c r="L476" s="466"/>
      <c r="M476" s="466"/>
      <c r="N476" s="465">
        <f t="shared" si="30"/>
        <v>0</v>
      </c>
      <c r="O476" s="465">
        <f t="shared" si="6"/>
        <v>23191.48936</v>
      </c>
      <c r="P476" s="468" t="s">
        <v>2500</v>
      </c>
    </row>
    <row r="477" ht="26.25" customHeight="1">
      <c r="A477" s="459">
        <v>45964.0</v>
      </c>
      <c r="B477" s="477" t="s">
        <v>21</v>
      </c>
      <c r="C477" s="461" t="str">
        <f t="shared" si="1"/>
        <v>الاثنين</v>
      </c>
      <c r="D477" s="462">
        <v>0.3902777777777778</v>
      </c>
      <c r="E477" s="462">
        <v>0.7222222222222222</v>
      </c>
      <c r="F477" s="463">
        <v>600000.0</v>
      </c>
      <c r="G477" s="464">
        <f t="shared" si="21"/>
        <v>2553.191489</v>
      </c>
      <c r="H477" s="464">
        <f t="shared" si="7"/>
        <v>7.966666667</v>
      </c>
      <c r="I477" s="464">
        <f t="shared" si="3"/>
        <v>0</v>
      </c>
      <c r="J477" s="464">
        <f t="shared" si="4"/>
        <v>0</v>
      </c>
      <c r="K477" s="465">
        <f t="shared" si="5"/>
        <v>20340.42553</v>
      </c>
      <c r="L477" s="466"/>
      <c r="M477" s="466"/>
      <c r="N477" s="465">
        <f t="shared" si="30"/>
        <v>3489.361702</v>
      </c>
      <c r="O477" s="465">
        <f t="shared" si="6"/>
        <v>16851.06383</v>
      </c>
      <c r="P477" s="467"/>
    </row>
    <row r="478" ht="26.25" customHeight="1">
      <c r="A478" s="459">
        <v>45965.0</v>
      </c>
      <c r="B478" s="477" t="s">
        <v>21</v>
      </c>
      <c r="C478" s="461" t="str">
        <f t="shared" si="1"/>
        <v>الثلاثاء</v>
      </c>
      <c r="D478" s="462">
        <v>0.3416666666666667</v>
      </c>
      <c r="E478" s="462">
        <v>0.7083333333333334</v>
      </c>
      <c r="F478" s="463">
        <v>600000.0</v>
      </c>
      <c r="G478" s="464">
        <f t="shared" si="21"/>
        <v>2553.191489</v>
      </c>
      <c r="H478" s="464">
        <f t="shared" si="7"/>
        <v>8.8</v>
      </c>
      <c r="I478" s="464">
        <f t="shared" si="3"/>
        <v>0</v>
      </c>
      <c r="J478" s="464">
        <f t="shared" si="4"/>
        <v>0</v>
      </c>
      <c r="K478" s="465">
        <f t="shared" si="5"/>
        <v>22468.08511</v>
      </c>
      <c r="L478" s="466"/>
      <c r="M478" s="466"/>
      <c r="N478" s="465">
        <f t="shared" si="30"/>
        <v>510.6382979</v>
      </c>
      <c r="O478" s="465">
        <f t="shared" si="6"/>
        <v>21957.44681</v>
      </c>
      <c r="P478" s="470"/>
    </row>
    <row r="479" ht="26.25" customHeight="1">
      <c r="A479" s="459">
        <v>45966.0</v>
      </c>
      <c r="B479" s="477" t="s">
        <v>21</v>
      </c>
      <c r="C479" s="461" t="str">
        <f t="shared" si="1"/>
        <v>الأربعاء</v>
      </c>
      <c r="D479" s="462">
        <v>0.34652777777777777</v>
      </c>
      <c r="E479" s="462">
        <v>0.7111111111111111</v>
      </c>
      <c r="F479" s="463">
        <v>600000.0</v>
      </c>
      <c r="G479" s="464">
        <f t="shared" si="21"/>
        <v>2553.191489</v>
      </c>
      <c r="H479" s="464">
        <f t="shared" si="7"/>
        <v>8.75</v>
      </c>
      <c r="I479" s="464">
        <f t="shared" si="3"/>
        <v>0</v>
      </c>
      <c r="J479" s="464">
        <f t="shared" si="4"/>
        <v>0</v>
      </c>
      <c r="K479" s="465">
        <f t="shared" si="5"/>
        <v>22340.42553</v>
      </c>
      <c r="L479" s="466"/>
      <c r="M479" s="466"/>
      <c r="N479" s="465">
        <f t="shared" si="30"/>
        <v>808.5106383</v>
      </c>
      <c r="O479" s="465">
        <f t="shared" si="6"/>
        <v>21531.91489</v>
      </c>
      <c r="P479" s="467"/>
    </row>
    <row r="480" ht="26.25" customHeight="1">
      <c r="A480" s="459">
        <v>45967.0</v>
      </c>
      <c r="B480" s="477" t="s">
        <v>21</v>
      </c>
      <c r="C480" s="461" t="str">
        <f t="shared" si="1"/>
        <v>الخميس</v>
      </c>
      <c r="D480" s="462">
        <v>0.3368055555555556</v>
      </c>
      <c r="E480" s="462">
        <v>0.83125</v>
      </c>
      <c r="F480" s="463">
        <v>600000.0</v>
      </c>
      <c r="G480" s="464">
        <f t="shared" si="21"/>
        <v>2553.191489</v>
      </c>
      <c r="H480" s="464">
        <f t="shared" si="7"/>
        <v>9.916666667</v>
      </c>
      <c r="I480" s="464">
        <f t="shared" si="3"/>
        <v>1.95</v>
      </c>
      <c r="J480" s="464">
        <f t="shared" si="4"/>
        <v>0</v>
      </c>
      <c r="K480" s="465">
        <f t="shared" si="5"/>
        <v>32787.23404</v>
      </c>
      <c r="L480" s="466"/>
      <c r="M480" s="466"/>
      <c r="N480" s="465">
        <f t="shared" si="30"/>
        <v>212.7659574</v>
      </c>
      <c r="O480" s="465">
        <f t="shared" si="6"/>
        <v>32574.46809</v>
      </c>
      <c r="P480" s="467"/>
    </row>
    <row r="481" ht="26.25" customHeight="1">
      <c r="A481" s="459">
        <v>45969.0</v>
      </c>
      <c r="B481" s="477" t="s">
        <v>21</v>
      </c>
      <c r="C481" s="461" t="str">
        <f t="shared" si="1"/>
        <v>السبت</v>
      </c>
      <c r="D481" s="462">
        <v>0.35</v>
      </c>
      <c r="E481" s="462">
        <v>0.8326388888888889</v>
      </c>
      <c r="F481" s="463">
        <v>600000.0</v>
      </c>
      <c r="G481" s="464">
        <f t="shared" si="21"/>
        <v>2553.191489</v>
      </c>
      <c r="H481" s="464">
        <f t="shared" si="7"/>
        <v>9.6</v>
      </c>
      <c r="I481" s="464">
        <f t="shared" si="3"/>
        <v>1.983333333</v>
      </c>
      <c r="J481" s="464">
        <f t="shared" si="4"/>
        <v>0</v>
      </c>
      <c r="K481" s="465">
        <f t="shared" si="5"/>
        <v>32106.38298</v>
      </c>
      <c r="L481" s="466"/>
      <c r="M481" s="466"/>
      <c r="N481" s="465">
        <f t="shared" si="30"/>
        <v>1021.276596</v>
      </c>
      <c r="O481" s="465">
        <f t="shared" si="6"/>
        <v>31085.10638</v>
      </c>
      <c r="P481" s="467"/>
    </row>
    <row r="482" ht="26.25" customHeight="1">
      <c r="A482" s="459">
        <v>45971.0</v>
      </c>
      <c r="B482" s="477" t="s">
        <v>21</v>
      </c>
      <c r="C482" s="461" t="str">
        <f t="shared" si="1"/>
        <v>الاثنين</v>
      </c>
      <c r="D482" s="462">
        <v>0.3736111111111111</v>
      </c>
      <c r="E482" s="462">
        <v>0.7138888888888889</v>
      </c>
      <c r="F482" s="463">
        <v>600000.0</v>
      </c>
      <c r="G482" s="464">
        <f t="shared" si="21"/>
        <v>2553.191489</v>
      </c>
      <c r="H482" s="464">
        <f t="shared" si="7"/>
        <v>8.166666667</v>
      </c>
      <c r="I482" s="464">
        <f t="shared" si="3"/>
        <v>0</v>
      </c>
      <c r="J482" s="464">
        <f t="shared" si="4"/>
        <v>0</v>
      </c>
      <c r="K482" s="465">
        <f t="shared" si="5"/>
        <v>20851.06383</v>
      </c>
      <c r="L482" s="466"/>
      <c r="M482" s="466"/>
      <c r="N482" s="465">
        <f t="shared" si="30"/>
        <v>2468.085106</v>
      </c>
      <c r="O482" s="465">
        <f t="shared" si="6"/>
        <v>18382.97872</v>
      </c>
      <c r="P482" s="467"/>
    </row>
    <row r="483" ht="26.25" customHeight="1">
      <c r="A483" s="459">
        <v>45972.0</v>
      </c>
      <c r="B483" s="477" t="s">
        <v>21</v>
      </c>
      <c r="C483" s="461" t="str">
        <f t="shared" si="1"/>
        <v>الثلاثاء</v>
      </c>
      <c r="D483" s="462">
        <v>0.3736111111111111</v>
      </c>
      <c r="E483" s="462">
        <v>0.7138888888888889</v>
      </c>
      <c r="F483" s="463">
        <v>600000.0</v>
      </c>
      <c r="G483" s="464">
        <f t="shared" si="21"/>
        <v>2553.191489</v>
      </c>
      <c r="H483" s="464">
        <f t="shared" si="7"/>
        <v>8.166666667</v>
      </c>
      <c r="I483" s="464">
        <f t="shared" si="3"/>
        <v>0</v>
      </c>
      <c r="J483" s="464">
        <f t="shared" si="4"/>
        <v>0</v>
      </c>
      <c r="K483" s="465">
        <f t="shared" si="5"/>
        <v>20851.06383</v>
      </c>
      <c r="L483" s="466"/>
      <c r="M483" s="466"/>
      <c r="N483" s="465">
        <f t="shared" si="30"/>
        <v>2468.085106</v>
      </c>
      <c r="O483" s="465">
        <f t="shared" si="6"/>
        <v>18382.97872</v>
      </c>
      <c r="P483" s="467"/>
    </row>
    <row r="484" ht="26.25" customHeight="1">
      <c r="A484" s="459">
        <v>45973.0</v>
      </c>
      <c r="B484" s="477" t="s">
        <v>21</v>
      </c>
      <c r="C484" s="461" t="str">
        <f t="shared" si="1"/>
        <v>الأربعاء</v>
      </c>
      <c r="D484" s="462">
        <v>0.3263888888888889</v>
      </c>
      <c r="E484" s="462">
        <v>0.7090277777777778</v>
      </c>
      <c r="F484" s="463">
        <v>600000.0</v>
      </c>
      <c r="G484" s="464">
        <f t="shared" si="21"/>
        <v>2553.191489</v>
      </c>
      <c r="H484" s="464">
        <f t="shared" si="7"/>
        <v>9.183333333</v>
      </c>
      <c r="I484" s="464">
        <f t="shared" si="3"/>
        <v>0</v>
      </c>
      <c r="J484" s="464">
        <f t="shared" si="4"/>
        <v>0</v>
      </c>
      <c r="K484" s="465">
        <f t="shared" si="5"/>
        <v>23446.80851</v>
      </c>
      <c r="L484" s="466"/>
      <c r="M484" s="466"/>
      <c r="N484" s="465">
        <f t="shared" si="30"/>
        <v>0</v>
      </c>
      <c r="O484" s="465">
        <f t="shared" si="6"/>
        <v>23446.80851</v>
      </c>
      <c r="P484" s="467"/>
    </row>
    <row r="485" ht="26.25" customHeight="1">
      <c r="A485" s="459">
        <v>45974.0</v>
      </c>
      <c r="B485" s="477" t="s">
        <v>21</v>
      </c>
      <c r="C485" s="461" t="str">
        <f t="shared" si="1"/>
        <v>الخميس</v>
      </c>
      <c r="D485" s="462">
        <v>0.33125</v>
      </c>
      <c r="E485" s="462">
        <v>0.7701388888888889</v>
      </c>
      <c r="F485" s="463">
        <v>600000.0</v>
      </c>
      <c r="G485" s="464">
        <f t="shared" si="21"/>
        <v>2553.191489</v>
      </c>
      <c r="H485" s="464">
        <f t="shared" si="7"/>
        <v>10.05</v>
      </c>
      <c r="I485" s="464">
        <f t="shared" si="3"/>
        <v>0.4833333333</v>
      </c>
      <c r="J485" s="464">
        <f t="shared" si="4"/>
        <v>0</v>
      </c>
      <c r="K485" s="465">
        <f t="shared" si="5"/>
        <v>27510.6383</v>
      </c>
      <c r="L485" s="465">
        <v>5000.0</v>
      </c>
      <c r="M485" s="466"/>
      <c r="N485" s="465">
        <f t="shared" si="30"/>
        <v>0</v>
      </c>
      <c r="O485" s="465">
        <f t="shared" si="6"/>
        <v>32510.6383</v>
      </c>
      <c r="P485" s="468" t="s">
        <v>2501</v>
      </c>
    </row>
    <row r="486" ht="26.25" customHeight="1">
      <c r="A486" s="459">
        <v>45976.0</v>
      </c>
      <c r="B486" s="477" t="s">
        <v>21</v>
      </c>
      <c r="C486" s="461" t="str">
        <f t="shared" si="1"/>
        <v>السبت</v>
      </c>
      <c r="D486" s="462">
        <v>0.33125</v>
      </c>
      <c r="E486" s="462">
        <v>0.7222222222222222</v>
      </c>
      <c r="F486" s="463">
        <v>600000.0</v>
      </c>
      <c r="G486" s="464">
        <f t="shared" si="21"/>
        <v>2553.191489</v>
      </c>
      <c r="H486" s="464">
        <f t="shared" si="7"/>
        <v>9.383333333</v>
      </c>
      <c r="I486" s="464">
        <f t="shared" si="3"/>
        <v>0</v>
      </c>
      <c r="J486" s="464">
        <f t="shared" si="4"/>
        <v>0</v>
      </c>
      <c r="K486" s="465">
        <f t="shared" si="5"/>
        <v>23957.44681</v>
      </c>
      <c r="L486" s="466"/>
      <c r="M486" s="466"/>
      <c r="N486" s="465">
        <f t="shared" si="30"/>
        <v>0</v>
      </c>
      <c r="O486" s="465">
        <f t="shared" si="6"/>
        <v>23957.44681</v>
      </c>
      <c r="P486" s="467"/>
    </row>
    <row r="487" ht="26.25" customHeight="1">
      <c r="A487" s="459">
        <v>45977.0</v>
      </c>
      <c r="B487" s="477" t="s">
        <v>21</v>
      </c>
      <c r="C487" s="461" t="str">
        <f t="shared" si="1"/>
        <v>الأحد</v>
      </c>
      <c r="D487" s="462">
        <v>0.3347222222222222</v>
      </c>
      <c r="E487" s="462">
        <v>0.7194444444444444</v>
      </c>
      <c r="F487" s="463">
        <v>600000.0</v>
      </c>
      <c r="G487" s="464">
        <f t="shared" si="21"/>
        <v>2553.191489</v>
      </c>
      <c r="H487" s="464">
        <f t="shared" si="7"/>
        <v>9.233333333</v>
      </c>
      <c r="I487" s="464">
        <f t="shared" si="3"/>
        <v>0</v>
      </c>
      <c r="J487" s="464">
        <f t="shared" si="4"/>
        <v>0</v>
      </c>
      <c r="K487" s="465">
        <f t="shared" si="5"/>
        <v>23574.46809</v>
      </c>
      <c r="L487" s="466"/>
      <c r="M487" s="466"/>
      <c r="N487" s="465">
        <f t="shared" si="30"/>
        <v>85.10638298</v>
      </c>
      <c r="O487" s="465">
        <f t="shared" si="6"/>
        <v>23489.3617</v>
      </c>
      <c r="P487" s="467"/>
    </row>
    <row r="488" ht="26.25" customHeight="1">
      <c r="A488" s="459">
        <v>45978.0</v>
      </c>
      <c r="B488" s="477" t="s">
        <v>21</v>
      </c>
      <c r="C488" s="461" t="str">
        <f t="shared" si="1"/>
        <v>الاثنين</v>
      </c>
      <c r="D488" s="462">
        <v>0.35208333333333336</v>
      </c>
      <c r="E488" s="462">
        <v>0.7854166666666667</v>
      </c>
      <c r="F488" s="463">
        <v>600000.0</v>
      </c>
      <c r="G488" s="464">
        <f t="shared" si="21"/>
        <v>2553.191489</v>
      </c>
      <c r="H488" s="464">
        <f t="shared" si="7"/>
        <v>9.55</v>
      </c>
      <c r="I488" s="464">
        <f t="shared" si="3"/>
        <v>0.85</v>
      </c>
      <c r="J488" s="464">
        <f t="shared" si="4"/>
        <v>0</v>
      </c>
      <c r="K488" s="465">
        <f t="shared" si="5"/>
        <v>27638.29787</v>
      </c>
      <c r="L488" s="466"/>
      <c r="M488" s="466"/>
      <c r="N488" s="465">
        <f t="shared" si="30"/>
        <v>1148.93617</v>
      </c>
      <c r="O488" s="465">
        <f t="shared" si="6"/>
        <v>26489.3617</v>
      </c>
      <c r="P488" s="467"/>
    </row>
    <row r="489" ht="26.25" customHeight="1">
      <c r="A489" s="459">
        <v>45979.0</v>
      </c>
      <c r="B489" s="477" t="s">
        <v>21</v>
      </c>
      <c r="C489" s="461" t="str">
        <f t="shared" si="1"/>
        <v>الثلاثاء</v>
      </c>
      <c r="D489" s="462">
        <v>0.35</v>
      </c>
      <c r="E489" s="462">
        <v>0.7333333333333333</v>
      </c>
      <c r="F489" s="463">
        <v>600000.0</v>
      </c>
      <c r="G489" s="464">
        <f t="shared" si="21"/>
        <v>2553.191489</v>
      </c>
      <c r="H489" s="464">
        <f t="shared" si="7"/>
        <v>9.2</v>
      </c>
      <c r="I489" s="464">
        <f t="shared" si="3"/>
        <v>0</v>
      </c>
      <c r="J489" s="464">
        <f t="shared" si="4"/>
        <v>0</v>
      </c>
      <c r="K489" s="465">
        <f t="shared" si="5"/>
        <v>23489.3617</v>
      </c>
      <c r="L489" s="466"/>
      <c r="M489" s="466"/>
      <c r="N489" s="465">
        <f t="shared" si="30"/>
        <v>1021.276596</v>
      </c>
      <c r="O489" s="465">
        <f t="shared" si="6"/>
        <v>22468.08511</v>
      </c>
      <c r="P489" s="467"/>
    </row>
    <row r="490" ht="26.25" customHeight="1">
      <c r="A490" s="459">
        <v>45980.0</v>
      </c>
      <c r="B490" s="477" t="s">
        <v>21</v>
      </c>
      <c r="C490" s="461" t="str">
        <f t="shared" si="1"/>
        <v>الأربعاء</v>
      </c>
      <c r="D490" s="462">
        <v>0.3347222222222222</v>
      </c>
      <c r="E490" s="462">
        <v>0.80625</v>
      </c>
      <c r="F490" s="463">
        <v>600000.0</v>
      </c>
      <c r="G490" s="464">
        <f t="shared" si="21"/>
        <v>2553.191489</v>
      </c>
      <c r="H490" s="464">
        <f t="shared" si="7"/>
        <v>9.966666667</v>
      </c>
      <c r="I490" s="464">
        <f t="shared" si="3"/>
        <v>1.35</v>
      </c>
      <c r="J490" s="464">
        <f t="shared" si="4"/>
        <v>0</v>
      </c>
      <c r="K490" s="465">
        <f t="shared" si="5"/>
        <v>30617.02128</v>
      </c>
      <c r="L490" s="466"/>
      <c r="M490" s="466"/>
      <c r="N490" s="465">
        <f t="shared" si="30"/>
        <v>85.10638298</v>
      </c>
      <c r="O490" s="465">
        <f t="shared" si="6"/>
        <v>30531.91489</v>
      </c>
      <c r="P490" s="467"/>
    </row>
    <row r="491" ht="26.25" customHeight="1">
      <c r="A491" s="459">
        <v>45981.0</v>
      </c>
      <c r="B491" s="477" t="s">
        <v>21</v>
      </c>
      <c r="C491" s="461" t="str">
        <f t="shared" si="1"/>
        <v>الخميس</v>
      </c>
      <c r="D491" s="462">
        <v>0.3701388888888889</v>
      </c>
      <c r="E491" s="462">
        <v>0.9486111111111111</v>
      </c>
      <c r="F491" s="463">
        <v>600000.0</v>
      </c>
      <c r="G491" s="464">
        <f t="shared" si="21"/>
        <v>2553.191489</v>
      </c>
      <c r="H491" s="464">
        <f t="shared" si="7"/>
        <v>9.116666667</v>
      </c>
      <c r="I491" s="464">
        <f t="shared" si="3"/>
        <v>4.766666667</v>
      </c>
      <c r="J491" s="464">
        <f t="shared" si="4"/>
        <v>0</v>
      </c>
      <c r="K491" s="465">
        <f t="shared" si="5"/>
        <v>41531.91489</v>
      </c>
      <c r="L491" s="466"/>
      <c r="M491" s="466"/>
      <c r="N491" s="465">
        <f t="shared" si="30"/>
        <v>2255.319149</v>
      </c>
      <c r="O491" s="465">
        <f t="shared" si="6"/>
        <v>39276.59574</v>
      </c>
      <c r="P491" s="467"/>
    </row>
    <row r="492" ht="26.25" customHeight="1">
      <c r="A492" s="459">
        <v>45982.0</v>
      </c>
      <c r="B492" s="477" t="s">
        <v>21</v>
      </c>
      <c r="C492" s="461" t="str">
        <f t="shared" si="1"/>
        <v>الجمعة</v>
      </c>
      <c r="D492" s="462">
        <v>0.49930555555555556</v>
      </c>
      <c r="E492" s="462">
        <v>0.8465277777777778</v>
      </c>
      <c r="F492" s="463">
        <v>600000.0</v>
      </c>
      <c r="G492" s="464">
        <f t="shared" si="21"/>
        <v>2553.191489</v>
      </c>
      <c r="H492" s="464">
        <f t="shared" si="7"/>
        <v>0</v>
      </c>
      <c r="I492" s="464">
        <f t="shared" si="3"/>
        <v>0</v>
      </c>
      <c r="J492" s="464">
        <f t="shared" si="4"/>
        <v>8.333333333</v>
      </c>
      <c r="K492" s="465">
        <f t="shared" si="5"/>
        <v>42553.19149</v>
      </c>
      <c r="L492" s="465">
        <v>5000.0</v>
      </c>
      <c r="M492" s="466"/>
      <c r="N492" s="465">
        <f t="shared" si="30"/>
        <v>0</v>
      </c>
      <c r="O492" s="465">
        <f t="shared" si="6"/>
        <v>47553.19149</v>
      </c>
      <c r="P492" s="468" t="s">
        <v>2501</v>
      </c>
    </row>
    <row r="493" ht="26.25" customHeight="1">
      <c r="A493" s="459">
        <v>45983.0</v>
      </c>
      <c r="B493" s="477" t="s">
        <v>21</v>
      </c>
      <c r="C493" s="461" t="str">
        <f t="shared" si="1"/>
        <v>السبت</v>
      </c>
      <c r="D493" s="462">
        <v>0.3715277777777778</v>
      </c>
      <c r="E493" s="462">
        <v>0.80625</v>
      </c>
      <c r="F493" s="463">
        <v>600000.0</v>
      </c>
      <c r="G493" s="464">
        <f t="shared" si="21"/>
        <v>2553.191489</v>
      </c>
      <c r="H493" s="464">
        <f t="shared" si="7"/>
        <v>9.083333333</v>
      </c>
      <c r="I493" s="464">
        <f t="shared" si="3"/>
        <v>1.35</v>
      </c>
      <c r="J493" s="464">
        <f t="shared" si="4"/>
        <v>0</v>
      </c>
      <c r="K493" s="465">
        <f t="shared" si="5"/>
        <v>28361.70213</v>
      </c>
      <c r="L493" s="466"/>
      <c r="M493" s="466"/>
      <c r="N493" s="465">
        <f t="shared" si="30"/>
        <v>2340.425532</v>
      </c>
      <c r="O493" s="465">
        <f t="shared" si="6"/>
        <v>26021.2766</v>
      </c>
      <c r="P493" s="467"/>
    </row>
    <row r="494" ht="26.25" customHeight="1">
      <c r="A494" s="459">
        <v>45984.0</v>
      </c>
      <c r="B494" s="477" t="s">
        <v>21</v>
      </c>
      <c r="C494" s="461" t="str">
        <f t="shared" si="1"/>
        <v>الأحد</v>
      </c>
      <c r="D494" s="462">
        <v>0.3527777777777778</v>
      </c>
      <c r="E494" s="462">
        <v>0.7118055555555556</v>
      </c>
      <c r="F494" s="463">
        <v>600000.0</v>
      </c>
      <c r="G494" s="464">
        <f t="shared" si="21"/>
        <v>2553.191489</v>
      </c>
      <c r="H494" s="464">
        <f t="shared" si="7"/>
        <v>8.616666667</v>
      </c>
      <c r="I494" s="464">
        <f t="shared" si="3"/>
        <v>0</v>
      </c>
      <c r="J494" s="464">
        <f t="shared" si="4"/>
        <v>0</v>
      </c>
      <c r="K494" s="465">
        <f t="shared" si="5"/>
        <v>22000</v>
      </c>
      <c r="L494" s="465">
        <v>2500.0</v>
      </c>
      <c r="M494" s="466"/>
      <c r="N494" s="465">
        <f t="shared" si="30"/>
        <v>1191.489362</v>
      </c>
      <c r="O494" s="465">
        <f t="shared" si="6"/>
        <v>23308.51064</v>
      </c>
      <c r="P494" s="468" t="s">
        <v>2501</v>
      </c>
    </row>
    <row r="495" ht="26.25" customHeight="1">
      <c r="A495" s="459">
        <v>45985.0</v>
      </c>
      <c r="B495" s="477" t="s">
        <v>21</v>
      </c>
      <c r="C495" s="461" t="str">
        <f t="shared" si="1"/>
        <v>الاثنين</v>
      </c>
      <c r="D495" s="462">
        <v>0.35208333333333336</v>
      </c>
      <c r="E495" s="462">
        <v>0.7083333333333334</v>
      </c>
      <c r="F495" s="463">
        <v>600000.0</v>
      </c>
      <c r="G495" s="464">
        <f t="shared" si="21"/>
        <v>2553.191489</v>
      </c>
      <c r="H495" s="464">
        <f t="shared" si="7"/>
        <v>8.55</v>
      </c>
      <c r="I495" s="464">
        <f t="shared" si="3"/>
        <v>0</v>
      </c>
      <c r="J495" s="464">
        <f t="shared" si="4"/>
        <v>0</v>
      </c>
      <c r="K495" s="465">
        <f t="shared" si="5"/>
        <v>21829.78723</v>
      </c>
      <c r="L495" s="466"/>
      <c r="M495" s="466"/>
      <c r="N495" s="465">
        <f t="shared" si="30"/>
        <v>1148.93617</v>
      </c>
      <c r="O495" s="465">
        <f t="shared" si="6"/>
        <v>20680.85106</v>
      </c>
      <c r="P495" s="467"/>
    </row>
    <row r="496" ht="26.25" customHeight="1">
      <c r="A496" s="459">
        <v>45986.0</v>
      </c>
      <c r="B496" s="477" t="s">
        <v>21</v>
      </c>
      <c r="C496" s="461" t="str">
        <f t="shared" si="1"/>
        <v>الثلاثاء</v>
      </c>
      <c r="D496" s="462">
        <v>0.33125</v>
      </c>
      <c r="E496" s="462">
        <v>0.7145833333333333</v>
      </c>
      <c r="F496" s="463">
        <v>600000.0</v>
      </c>
      <c r="G496" s="464">
        <f t="shared" si="21"/>
        <v>2553.191489</v>
      </c>
      <c r="H496" s="464">
        <f t="shared" si="7"/>
        <v>9.2</v>
      </c>
      <c r="I496" s="464">
        <f t="shared" si="3"/>
        <v>0</v>
      </c>
      <c r="J496" s="464">
        <f t="shared" si="4"/>
        <v>0</v>
      </c>
      <c r="K496" s="465">
        <f t="shared" si="5"/>
        <v>23489.3617</v>
      </c>
      <c r="L496" s="466"/>
      <c r="M496" s="466"/>
      <c r="N496" s="465">
        <f t="shared" si="30"/>
        <v>0</v>
      </c>
      <c r="O496" s="465">
        <f t="shared" si="6"/>
        <v>23489.3617</v>
      </c>
      <c r="P496" s="467"/>
    </row>
    <row r="497" ht="26.25" customHeight="1">
      <c r="A497" s="459">
        <v>45987.0</v>
      </c>
      <c r="B497" s="477" t="s">
        <v>21</v>
      </c>
      <c r="C497" s="461" t="str">
        <f t="shared" si="1"/>
        <v>الأربعاء</v>
      </c>
      <c r="D497" s="462">
        <v>0.3333333333333333</v>
      </c>
      <c r="E497" s="462">
        <v>0.7131944444444445</v>
      </c>
      <c r="F497" s="463">
        <v>600000.0</v>
      </c>
      <c r="G497" s="464">
        <f t="shared" si="21"/>
        <v>2553.191489</v>
      </c>
      <c r="H497" s="464">
        <f t="shared" si="7"/>
        <v>9.116666667</v>
      </c>
      <c r="I497" s="464">
        <f t="shared" si="3"/>
        <v>0</v>
      </c>
      <c r="J497" s="464">
        <f t="shared" si="4"/>
        <v>0</v>
      </c>
      <c r="K497" s="465">
        <f t="shared" si="5"/>
        <v>23276.59574</v>
      </c>
      <c r="L497" s="466"/>
      <c r="M497" s="466"/>
      <c r="N497" s="465">
        <f t="shared" si="30"/>
        <v>0</v>
      </c>
      <c r="O497" s="465">
        <f t="shared" si="6"/>
        <v>23276.59574</v>
      </c>
      <c r="P497" s="467"/>
    </row>
    <row r="498" ht="26.25" customHeight="1">
      <c r="A498" s="459">
        <v>45990.0</v>
      </c>
      <c r="B498" s="477" t="s">
        <v>21</v>
      </c>
      <c r="C498" s="461" t="str">
        <f t="shared" si="1"/>
        <v>السبت</v>
      </c>
      <c r="D498" s="462">
        <v>0.3638888888888889</v>
      </c>
      <c r="E498" s="462">
        <v>0.7104166666666667</v>
      </c>
      <c r="F498" s="463">
        <v>600000.0</v>
      </c>
      <c r="G498" s="464">
        <f t="shared" si="21"/>
        <v>2553.191489</v>
      </c>
      <c r="H498" s="464">
        <f t="shared" si="7"/>
        <v>8.316666667</v>
      </c>
      <c r="I498" s="464">
        <f t="shared" si="3"/>
        <v>0</v>
      </c>
      <c r="J498" s="464">
        <f t="shared" si="4"/>
        <v>0</v>
      </c>
      <c r="K498" s="465">
        <f t="shared" si="5"/>
        <v>21234.04255</v>
      </c>
      <c r="L498" s="466"/>
      <c r="M498" s="466"/>
      <c r="N498" s="465">
        <f t="shared" si="30"/>
        <v>1872.340426</v>
      </c>
      <c r="O498" s="465">
        <f t="shared" si="6"/>
        <v>19361.70213</v>
      </c>
      <c r="P498" s="467"/>
    </row>
    <row r="499" ht="26.25" customHeight="1">
      <c r="A499" s="459">
        <v>45991.0</v>
      </c>
      <c r="B499" s="477" t="s">
        <v>21</v>
      </c>
      <c r="C499" s="461" t="str">
        <f t="shared" si="1"/>
        <v>الأحد</v>
      </c>
      <c r="D499" s="462">
        <v>0.3333333333333333</v>
      </c>
      <c r="E499" s="462">
        <v>0.7097222222222223</v>
      </c>
      <c r="F499" s="463">
        <v>600000.0</v>
      </c>
      <c r="G499" s="464">
        <f t="shared" si="21"/>
        <v>2553.191489</v>
      </c>
      <c r="H499" s="464">
        <f t="shared" si="7"/>
        <v>9.033333333</v>
      </c>
      <c r="I499" s="464">
        <f t="shared" si="3"/>
        <v>0</v>
      </c>
      <c r="J499" s="464">
        <f t="shared" si="4"/>
        <v>0</v>
      </c>
      <c r="K499" s="465">
        <f t="shared" si="5"/>
        <v>23063.82979</v>
      </c>
      <c r="L499" s="466"/>
      <c r="M499" s="466"/>
      <c r="N499" s="465">
        <f t="shared" si="30"/>
        <v>0</v>
      </c>
      <c r="O499" s="465">
        <f t="shared" si="6"/>
        <v>23063.82979</v>
      </c>
      <c r="P499" s="467"/>
    </row>
    <row r="500" ht="26.25" customHeight="1">
      <c r="A500" s="459">
        <v>45962.0</v>
      </c>
      <c r="B500" s="460" t="s">
        <v>27</v>
      </c>
      <c r="C500" s="461" t="str">
        <f t="shared" si="1"/>
        <v>السبت</v>
      </c>
      <c r="D500" s="462">
        <v>0.32708333333333334</v>
      </c>
      <c r="E500" s="462">
        <v>0.7090277777777778</v>
      </c>
      <c r="F500" s="463">
        <v>350000.0</v>
      </c>
      <c r="G500" s="464">
        <f t="shared" si="21"/>
        <v>1489.361702</v>
      </c>
      <c r="H500" s="464">
        <f t="shared" si="7"/>
        <v>9.166666667</v>
      </c>
      <c r="I500" s="464">
        <f t="shared" si="3"/>
        <v>0</v>
      </c>
      <c r="J500" s="464">
        <f t="shared" si="4"/>
        <v>0</v>
      </c>
      <c r="K500" s="465">
        <f t="shared" si="5"/>
        <v>13652.48227</v>
      </c>
      <c r="L500" s="466"/>
      <c r="M500" s="466"/>
      <c r="N500" s="465">
        <f t="shared" si="30"/>
        <v>0</v>
      </c>
      <c r="O500" s="465">
        <f t="shared" si="6"/>
        <v>13652.48227</v>
      </c>
      <c r="P500" s="467"/>
    </row>
    <row r="501" ht="26.25" customHeight="1">
      <c r="A501" s="459">
        <v>45963.0</v>
      </c>
      <c r="B501" s="460" t="s">
        <v>27</v>
      </c>
      <c r="C501" s="461" t="str">
        <f t="shared" si="1"/>
        <v>الأحد</v>
      </c>
      <c r="D501" s="462">
        <v>0.3333333333333333</v>
      </c>
      <c r="E501" s="462">
        <v>0.7097222222222223</v>
      </c>
      <c r="F501" s="463">
        <v>350000.0</v>
      </c>
      <c r="G501" s="464">
        <f t="shared" si="21"/>
        <v>1489.361702</v>
      </c>
      <c r="H501" s="464">
        <f t="shared" si="7"/>
        <v>9.033333333</v>
      </c>
      <c r="I501" s="464">
        <f t="shared" si="3"/>
        <v>0</v>
      </c>
      <c r="J501" s="464">
        <f t="shared" si="4"/>
        <v>0</v>
      </c>
      <c r="K501" s="465">
        <f t="shared" si="5"/>
        <v>13453.90071</v>
      </c>
      <c r="L501" s="466"/>
      <c r="M501" s="466"/>
      <c r="N501" s="465">
        <f t="shared" si="30"/>
        <v>0</v>
      </c>
      <c r="O501" s="465">
        <f t="shared" si="6"/>
        <v>13453.90071</v>
      </c>
      <c r="P501" s="467"/>
    </row>
    <row r="502" ht="26.25" customHeight="1">
      <c r="A502" s="459">
        <v>45965.0</v>
      </c>
      <c r="B502" s="460" t="s">
        <v>27</v>
      </c>
      <c r="C502" s="461" t="str">
        <f t="shared" si="1"/>
        <v>الثلاثاء</v>
      </c>
      <c r="D502" s="462">
        <v>0.3527777777777778</v>
      </c>
      <c r="E502" s="462">
        <v>0.7138888888888889</v>
      </c>
      <c r="F502" s="463">
        <v>350000.0</v>
      </c>
      <c r="G502" s="464">
        <f t="shared" si="21"/>
        <v>1489.361702</v>
      </c>
      <c r="H502" s="464">
        <f t="shared" si="7"/>
        <v>8.666666667</v>
      </c>
      <c r="I502" s="464">
        <f t="shared" si="3"/>
        <v>0</v>
      </c>
      <c r="J502" s="464">
        <f t="shared" si="4"/>
        <v>0</v>
      </c>
      <c r="K502" s="465">
        <f t="shared" si="5"/>
        <v>12907.80142</v>
      </c>
      <c r="L502" s="466"/>
      <c r="M502" s="466"/>
      <c r="N502" s="465">
        <f t="shared" si="30"/>
        <v>695.035461</v>
      </c>
      <c r="O502" s="465">
        <f t="shared" si="6"/>
        <v>12212.76596</v>
      </c>
      <c r="P502" s="467"/>
    </row>
    <row r="503" ht="26.25" customHeight="1">
      <c r="A503" s="459">
        <v>45966.0</v>
      </c>
      <c r="B503" s="460" t="s">
        <v>27</v>
      </c>
      <c r="C503" s="461" t="str">
        <f t="shared" si="1"/>
        <v>الأربعاء</v>
      </c>
      <c r="D503" s="462">
        <v>0.3333333333333333</v>
      </c>
      <c r="E503" s="462">
        <v>0.8347222222222223</v>
      </c>
      <c r="F503" s="463">
        <v>350000.0</v>
      </c>
      <c r="G503" s="464">
        <f t="shared" si="21"/>
        <v>1489.361702</v>
      </c>
      <c r="H503" s="464">
        <f t="shared" si="7"/>
        <v>10</v>
      </c>
      <c r="I503" s="464">
        <f t="shared" si="3"/>
        <v>2.033333333</v>
      </c>
      <c r="J503" s="464">
        <f t="shared" si="4"/>
        <v>0</v>
      </c>
      <c r="K503" s="465">
        <f t="shared" si="5"/>
        <v>19436.17021</v>
      </c>
      <c r="L503" s="466"/>
      <c r="M503" s="466"/>
      <c r="N503" s="465">
        <f t="shared" si="30"/>
        <v>0</v>
      </c>
      <c r="O503" s="465">
        <f t="shared" si="6"/>
        <v>19436.17021</v>
      </c>
      <c r="P503" s="467"/>
    </row>
    <row r="504" ht="26.25" customHeight="1">
      <c r="A504" s="459">
        <v>45967.0</v>
      </c>
      <c r="B504" s="460" t="s">
        <v>27</v>
      </c>
      <c r="C504" s="461" t="str">
        <f t="shared" si="1"/>
        <v>الخميس</v>
      </c>
      <c r="D504" s="462">
        <v>0.3333333333333333</v>
      </c>
      <c r="E504" s="462">
        <v>0.7083333333333334</v>
      </c>
      <c r="F504" s="463">
        <v>350000.0</v>
      </c>
      <c r="G504" s="464">
        <f t="shared" si="21"/>
        <v>1489.361702</v>
      </c>
      <c r="H504" s="464">
        <f t="shared" si="7"/>
        <v>9</v>
      </c>
      <c r="I504" s="464">
        <f t="shared" si="3"/>
        <v>0</v>
      </c>
      <c r="J504" s="464">
        <f t="shared" si="4"/>
        <v>0</v>
      </c>
      <c r="K504" s="465">
        <f t="shared" si="5"/>
        <v>13404.25532</v>
      </c>
      <c r="L504" s="466"/>
      <c r="M504" s="466"/>
      <c r="N504" s="465">
        <f t="shared" si="30"/>
        <v>0</v>
      </c>
      <c r="O504" s="465">
        <f t="shared" si="6"/>
        <v>13404.25532</v>
      </c>
      <c r="P504" s="467"/>
    </row>
    <row r="505" ht="26.25" customHeight="1">
      <c r="A505" s="459">
        <v>45969.0</v>
      </c>
      <c r="B505" s="460" t="s">
        <v>27</v>
      </c>
      <c r="C505" s="461" t="str">
        <f t="shared" si="1"/>
        <v>السبت</v>
      </c>
      <c r="D505" s="462">
        <v>0.3701388888888889</v>
      </c>
      <c r="E505" s="462">
        <v>0.8340277777777778</v>
      </c>
      <c r="F505" s="463">
        <v>350000.0</v>
      </c>
      <c r="G505" s="464">
        <f t="shared" si="21"/>
        <v>1489.361702</v>
      </c>
      <c r="H505" s="464">
        <f t="shared" si="7"/>
        <v>9.116666667</v>
      </c>
      <c r="I505" s="464">
        <f t="shared" si="3"/>
        <v>2.016666667</v>
      </c>
      <c r="J505" s="464">
        <f t="shared" si="4"/>
        <v>0</v>
      </c>
      <c r="K505" s="465">
        <f t="shared" si="5"/>
        <v>18083.33333</v>
      </c>
      <c r="L505" s="466"/>
      <c r="M505" s="466"/>
      <c r="N505" s="465">
        <f t="shared" si="30"/>
        <v>1315.602837</v>
      </c>
      <c r="O505" s="465">
        <f t="shared" si="6"/>
        <v>16767.7305</v>
      </c>
      <c r="P505" s="467"/>
    </row>
    <row r="506" ht="26.25" customHeight="1">
      <c r="A506" s="459">
        <v>45970.0</v>
      </c>
      <c r="B506" s="460" t="s">
        <v>27</v>
      </c>
      <c r="C506" s="461" t="str">
        <f t="shared" si="1"/>
        <v>الأحد</v>
      </c>
      <c r="D506" s="462">
        <v>0.35347222222222224</v>
      </c>
      <c r="E506" s="462">
        <v>0.7326388888888888</v>
      </c>
      <c r="F506" s="463">
        <v>350000.0</v>
      </c>
      <c r="G506" s="464">
        <f t="shared" si="21"/>
        <v>1489.361702</v>
      </c>
      <c r="H506" s="464">
        <f t="shared" si="7"/>
        <v>9.1</v>
      </c>
      <c r="I506" s="464">
        <f t="shared" si="3"/>
        <v>0</v>
      </c>
      <c r="J506" s="464">
        <f t="shared" si="4"/>
        <v>0</v>
      </c>
      <c r="K506" s="465">
        <f t="shared" si="5"/>
        <v>13553.19149</v>
      </c>
      <c r="L506" s="466"/>
      <c r="M506" s="466"/>
      <c r="N506" s="465">
        <f t="shared" si="30"/>
        <v>719.858156</v>
      </c>
      <c r="O506" s="465">
        <f t="shared" si="6"/>
        <v>12833.33333</v>
      </c>
      <c r="P506" s="467"/>
    </row>
    <row r="507" ht="26.25" customHeight="1">
      <c r="A507" s="459">
        <v>45971.0</v>
      </c>
      <c r="B507" s="460" t="s">
        <v>27</v>
      </c>
      <c r="C507" s="461" t="str">
        <f t="shared" si="1"/>
        <v>الاثنين</v>
      </c>
      <c r="D507" s="462">
        <v>0.3333333333333333</v>
      </c>
      <c r="E507" s="462">
        <v>0.7118055555555556</v>
      </c>
      <c r="F507" s="463">
        <v>350000.0</v>
      </c>
      <c r="G507" s="464">
        <f t="shared" si="21"/>
        <v>1489.361702</v>
      </c>
      <c r="H507" s="464">
        <f t="shared" si="7"/>
        <v>9.083333333</v>
      </c>
      <c r="I507" s="464">
        <f t="shared" si="3"/>
        <v>0</v>
      </c>
      <c r="J507" s="464">
        <f t="shared" si="4"/>
        <v>0</v>
      </c>
      <c r="K507" s="465">
        <f t="shared" si="5"/>
        <v>13528.36879</v>
      </c>
      <c r="L507" s="466"/>
      <c r="M507" s="465">
        <v>21000.0</v>
      </c>
      <c r="N507" s="465">
        <f t="shared" si="30"/>
        <v>0</v>
      </c>
      <c r="O507" s="465">
        <f t="shared" si="6"/>
        <v>-7471.631206</v>
      </c>
      <c r="P507" s="467"/>
    </row>
    <row r="508" ht="26.25" customHeight="1">
      <c r="A508" s="459">
        <v>45974.0</v>
      </c>
      <c r="B508" s="460" t="s">
        <v>27</v>
      </c>
      <c r="C508" s="461" t="str">
        <f t="shared" si="1"/>
        <v>الخميس</v>
      </c>
      <c r="D508" s="462">
        <v>0.3333333333333333</v>
      </c>
      <c r="E508" s="462">
        <v>0.7694444444444445</v>
      </c>
      <c r="F508" s="463">
        <v>350000.0</v>
      </c>
      <c r="G508" s="464">
        <f t="shared" si="21"/>
        <v>1489.361702</v>
      </c>
      <c r="H508" s="464">
        <f t="shared" si="7"/>
        <v>10</v>
      </c>
      <c r="I508" s="464">
        <f t="shared" si="3"/>
        <v>0.4666666667</v>
      </c>
      <c r="J508" s="464">
        <f t="shared" si="4"/>
        <v>0</v>
      </c>
      <c r="K508" s="465">
        <f t="shared" si="5"/>
        <v>15936.17021</v>
      </c>
      <c r="L508" s="465">
        <v>5000.0</v>
      </c>
      <c r="M508" s="466"/>
      <c r="N508" s="465">
        <f t="shared" si="30"/>
        <v>0</v>
      </c>
      <c r="O508" s="465">
        <f t="shared" si="6"/>
        <v>20936.17021</v>
      </c>
      <c r="P508" s="467"/>
    </row>
    <row r="509" ht="26.25" customHeight="1">
      <c r="A509" s="459">
        <v>45976.0</v>
      </c>
      <c r="B509" s="460" t="s">
        <v>27</v>
      </c>
      <c r="C509" s="461" t="str">
        <f t="shared" si="1"/>
        <v>السبت</v>
      </c>
      <c r="D509" s="462">
        <v>0.3736111111111111</v>
      </c>
      <c r="E509" s="462">
        <v>0.7319444444444444</v>
      </c>
      <c r="F509" s="463">
        <v>350000.0</v>
      </c>
      <c r="G509" s="464">
        <f t="shared" si="21"/>
        <v>1489.361702</v>
      </c>
      <c r="H509" s="464">
        <f t="shared" si="7"/>
        <v>8.6</v>
      </c>
      <c r="I509" s="464">
        <f t="shared" si="3"/>
        <v>0</v>
      </c>
      <c r="J509" s="464">
        <f t="shared" si="4"/>
        <v>0</v>
      </c>
      <c r="K509" s="465">
        <f t="shared" si="5"/>
        <v>12808.51064</v>
      </c>
      <c r="L509" s="466"/>
      <c r="M509" s="466"/>
      <c r="N509" s="465">
        <f t="shared" si="30"/>
        <v>1439.716312</v>
      </c>
      <c r="O509" s="465">
        <f t="shared" si="6"/>
        <v>11368.79433</v>
      </c>
      <c r="P509" s="467"/>
    </row>
    <row r="510" ht="26.25" customHeight="1">
      <c r="A510" s="459">
        <v>45977.0</v>
      </c>
      <c r="B510" s="460" t="s">
        <v>27</v>
      </c>
      <c r="C510" s="461" t="str">
        <f t="shared" si="1"/>
        <v>الأحد</v>
      </c>
      <c r="D510" s="462">
        <v>0.38125</v>
      </c>
      <c r="E510" s="462">
        <v>0.7194444444444444</v>
      </c>
      <c r="F510" s="463">
        <v>350000.0</v>
      </c>
      <c r="G510" s="464">
        <f t="shared" si="21"/>
        <v>1489.361702</v>
      </c>
      <c r="H510" s="464">
        <f t="shared" si="7"/>
        <v>8.116666667</v>
      </c>
      <c r="I510" s="464">
        <f t="shared" si="3"/>
        <v>0</v>
      </c>
      <c r="J510" s="464">
        <f t="shared" si="4"/>
        <v>0</v>
      </c>
      <c r="K510" s="465">
        <f t="shared" si="5"/>
        <v>12088.65248</v>
      </c>
      <c r="L510" s="466"/>
      <c r="M510" s="466"/>
      <c r="N510" s="465">
        <f t="shared" si="30"/>
        <v>1712.765957</v>
      </c>
      <c r="O510" s="465">
        <f t="shared" si="6"/>
        <v>10375.88652</v>
      </c>
      <c r="P510" s="467"/>
    </row>
    <row r="511" ht="26.25" customHeight="1">
      <c r="A511" s="459">
        <v>45978.0</v>
      </c>
      <c r="B511" s="460" t="s">
        <v>27</v>
      </c>
      <c r="C511" s="461" t="str">
        <f t="shared" si="1"/>
        <v>الاثنين</v>
      </c>
      <c r="D511" s="462">
        <v>0.3368055555555556</v>
      </c>
      <c r="E511" s="462">
        <v>0.7118055555555556</v>
      </c>
      <c r="F511" s="463">
        <v>350000.0</v>
      </c>
      <c r="G511" s="464">
        <f t="shared" si="21"/>
        <v>1489.361702</v>
      </c>
      <c r="H511" s="464">
        <f t="shared" si="7"/>
        <v>9</v>
      </c>
      <c r="I511" s="464">
        <f t="shared" si="3"/>
        <v>0</v>
      </c>
      <c r="J511" s="464">
        <f t="shared" si="4"/>
        <v>0</v>
      </c>
      <c r="K511" s="465">
        <f t="shared" si="5"/>
        <v>13404.25532</v>
      </c>
      <c r="L511" s="466"/>
      <c r="M511" s="465">
        <v>75000.0</v>
      </c>
      <c r="N511" s="465">
        <f t="shared" si="30"/>
        <v>124.1134752</v>
      </c>
      <c r="O511" s="465">
        <f t="shared" si="6"/>
        <v>-61719.85816</v>
      </c>
      <c r="P511" s="467"/>
    </row>
    <row r="512" ht="26.25" customHeight="1">
      <c r="A512" s="459">
        <v>45979.0</v>
      </c>
      <c r="B512" s="460" t="s">
        <v>27</v>
      </c>
      <c r="C512" s="461" t="str">
        <f t="shared" si="1"/>
        <v>الثلاثاء</v>
      </c>
      <c r="D512" s="462">
        <v>0.3333333333333333</v>
      </c>
      <c r="E512" s="462">
        <v>0.7333333333333333</v>
      </c>
      <c r="F512" s="463">
        <v>350000.0</v>
      </c>
      <c r="G512" s="464">
        <f t="shared" si="21"/>
        <v>1489.361702</v>
      </c>
      <c r="H512" s="464">
        <f t="shared" si="7"/>
        <v>9.6</v>
      </c>
      <c r="I512" s="464">
        <f t="shared" si="3"/>
        <v>0</v>
      </c>
      <c r="J512" s="464">
        <f t="shared" si="4"/>
        <v>0</v>
      </c>
      <c r="K512" s="465">
        <f t="shared" si="5"/>
        <v>14297.87234</v>
      </c>
      <c r="L512" s="466"/>
      <c r="M512" s="466"/>
      <c r="N512" s="465">
        <f t="shared" si="30"/>
        <v>0</v>
      </c>
      <c r="O512" s="465">
        <f t="shared" si="6"/>
        <v>14297.87234</v>
      </c>
      <c r="P512" s="467"/>
    </row>
    <row r="513" ht="26.25" customHeight="1">
      <c r="A513" s="459">
        <v>45980.0</v>
      </c>
      <c r="B513" s="460" t="s">
        <v>27</v>
      </c>
      <c r="C513" s="461" t="str">
        <f t="shared" si="1"/>
        <v>الأربعاء</v>
      </c>
      <c r="D513" s="462">
        <v>0.32916666666666666</v>
      </c>
      <c r="E513" s="462">
        <v>0.8048611111111111</v>
      </c>
      <c r="F513" s="463">
        <v>350000.0</v>
      </c>
      <c r="G513" s="464">
        <f t="shared" si="21"/>
        <v>1489.361702</v>
      </c>
      <c r="H513" s="464">
        <f t="shared" si="7"/>
        <v>10.1</v>
      </c>
      <c r="I513" s="464">
        <f t="shared" si="3"/>
        <v>1.316666667</v>
      </c>
      <c r="J513" s="464">
        <f t="shared" si="4"/>
        <v>0</v>
      </c>
      <c r="K513" s="465">
        <f t="shared" si="5"/>
        <v>17984.04255</v>
      </c>
      <c r="L513" s="466"/>
      <c r="M513" s="466"/>
      <c r="N513" s="465">
        <f t="shared" si="30"/>
        <v>0</v>
      </c>
      <c r="O513" s="465">
        <f t="shared" si="6"/>
        <v>17984.04255</v>
      </c>
      <c r="P513" s="467"/>
    </row>
    <row r="514" ht="26.25" customHeight="1">
      <c r="A514" s="459">
        <v>45981.0</v>
      </c>
      <c r="B514" s="460" t="s">
        <v>27</v>
      </c>
      <c r="C514" s="461" t="str">
        <f t="shared" si="1"/>
        <v>الخميس</v>
      </c>
      <c r="D514" s="462">
        <v>0.33055555555555555</v>
      </c>
      <c r="E514" s="462">
        <v>0.9354166666666667</v>
      </c>
      <c r="F514" s="463">
        <v>350000.0</v>
      </c>
      <c r="G514" s="464">
        <f t="shared" si="21"/>
        <v>1489.361702</v>
      </c>
      <c r="H514" s="464">
        <f t="shared" si="7"/>
        <v>10.06666667</v>
      </c>
      <c r="I514" s="464">
        <f t="shared" si="3"/>
        <v>4.45</v>
      </c>
      <c r="J514" s="464">
        <f t="shared" si="4"/>
        <v>0</v>
      </c>
      <c r="K514" s="465">
        <f t="shared" si="5"/>
        <v>24934.39716</v>
      </c>
      <c r="L514" s="466"/>
      <c r="M514" s="465">
        <v>35000.0</v>
      </c>
      <c r="N514" s="465">
        <f t="shared" si="30"/>
        <v>0</v>
      </c>
      <c r="O514" s="465">
        <f t="shared" si="6"/>
        <v>-10065.60284</v>
      </c>
      <c r="P514" s="467"/>
    </row>
    <row r="515" ht="26.25" customHeight="1">
      <c r="A515" s="459">
        <v>45982.0</v>
      </c>
      <c r="B515" s="460" t="s">
        <v>27</v>
      </c>
      <c r="C515" s="461" t="str">
        <f t="shared" si="1"/>
        <v>الجمعة</v>
      </c>
      <c r="D515" s="462">
        <v>0.5305555555555556</v>
      </c>
      <c r="E515" s="462">
        <v>0.8597222222222223</v>
      </c>
      <c r="F515" s="463">
        <v>350000.0</v>
      </c>
      <c r="G515" s="464">
        <f t="shared" si="21"/>
        <v>1489.361702</v>
      </c>
      <c r="H515" s="464">
        <f t="shared" si="7"/>
        <v>0</v>
      </c>
      <c r="I515" s="464">
        <f t="shared" si="3"/>
        <v>0</v>
      </c>
      <c r="J515" s="464">
        <f t="shared" si="4"/>
        <v>7.9</v>
      </c>
      <c r="K515" s="465">
        <f t="shared" si="5"/>
        <v>23531.91489</v>
      </c>
      <c r="L515" s="465">
        <v>5000.0</v>
      </c>
      <c r="M515" s="466"/>
      <c r="N515" s="465">
        <f t="shared" si="30"/>
        <v>0</v>
      </c>
      <c r="O515" s="465">
        <f t="shared" si="6"/>
        <v>28531.91489</v>
      </c>
      <c r="P515" s="467"/>
    </row>
    <row r="516" ht="26.25" customHeight="1">
      <c r="A516" s="459">
        <v>45983.0</v>
      </c>
      <c r="B516" s="460" t="s">
        <v>27</v>
      </c>
      <c r="C516" s="461" t="str">
        <f t="shared" si="1"/>
        <v>السبت</v>
      </c>
      <c r="D516" s="462">
        <v>0.3875</v>
      </c>
      <c r="E516" s="462">
        <v>0.8069444444444445</v>
      </c>
      <c r="F516" s="463">
        <v>350000.0</v>
      </c>
      <c r="G516" s="464">
        <f t="shared" si="21"/>
        <v>1489.361702</v>
      </c>
      <c r="H516" s="464">
        <f t="shared" si="7"/>
        <v>8.7</v>
      </c>
      <c r="I516" s="464">
        <f t="shared" si="3"/>
        <v>1.366666667</v>
      </c>
      <c r="J516" s="464">
        <f t="shared" si="4"/>
        <v>0</v>
      </c>
      <c r="K516" s="465">
        <f t="shared" si="5"/>
        <v>16010.6383</v>
      </c>
      <c r="L516" s="466"/>
      <c r="M516" s="465">
        <v>3500.0</v>
      </c>
      <c r="N516" s="465">
        <f t="shared" si="30"/>
        <v>1936.170213</v>
      </c>
      <c r="O516" s="465">
        <f t="shared" si="6"/>
        <v>10574.46809</v>
      </c>
      <c r="P516" s="467"/>
    </row>
    <row r="517" ht="26.25" customHeight="1">
      <c r="A517" s="459">
        <v>45984.0</v>
      </c>
      <c r="B517" s="460" t="s">
        <v>27</v>
      </c>
      <c r="C517" s="461" t="str">
        <f t="shared" si="1"/>
        <v>الأحد</v>
      </c>
      <c r="D517" s="462">
        <v>0.41458333333333336</v>
      </c>
      <c r="E517" s="462">
        <v>0.7131944444444445</v>
      </c>
      <c r="F517" s="463">
        <v>350000.0</v>
      </c>
      <c r="G517" s="464">
        <f t="shared" si="21"/>
        <v>1489.361702</v>
      </c>
      <c r="H517" s="464">
        <f t="shared" si="7"/>
        <v>7.166666667</v>
      </c>
      <c r="I517" s="464">
        <f t="shared" si="3"/>
        <v>0</v>
      </c>
      <c r="J517" s="464">
        <f t="shared" si="4"/>
        <v>0</v>
      </c>
      <c r="K517" s="465">
        <f t="shared" si="5"/>
        <v>10673.75887</v>
      </c>
      <c r="L517" s="465">
        <v>2500.0</v>
      </c>
      <c r="M517" s="466"/>
      <c r="N517" s="465">
        <f t="shared" si="30"/>
        <v>2904.255319</v>
      </c>
      <c r="O517" s="465">
        <f t="shared" si="6"/>
        <v>10269.50355</v>
      </c>
      <c r="P517" s="467"/>
    </row>
    <row r="518" ht="26.25" customHeight="1">
      <c r="A518" s="459">
        <v>45985.0</v>
      </c>
      <c r="B518" s="460" t="s">
        <v>27</v>
      </c>
      <c r="C518" s="461" t="str">
        <f t="shared" si="1"/>
        <v>الاثنين</v>
      </c>
      <c r="D518" s="462">
        <v>0.3486111111111111</v>
      </c>
      <c r="E518" s="462">
        <v>0.7097222222222223</v>
      </c>
      <c r="F518" s="463">
        <v>350000.0</v>
      </c>
      <c r="G518" s="464">
        <f t="shared" si="21"/>
        <v>1489.361702</v>
      </c>
      <c r="H518" s="464">
        <f t="shared" si="7"/>
        <v>8.666666667</v>
      </c>
      <c r="I518" s="464">
        <f t="shared" si="3"/>
        <v>0</v>
      </c>
      <c r="J518" s="464">
        <f t="shared" si="4"/>
        <v>0</v>
      </c>
      <c r="K518" s="465">
        <f t="shared" si="5"/>
        <v>12907.80142</v>
      </c>
      <c r="L518" s="466"/>
      <c r="M518" s="466"/>
      <c r="N518" s="465">
        <f t="shared" si="30"/>
        <v>546.0992908</v>
      </c>
      <c r="O518" s="465">
        <f t="shared" si="6"/>
        <v>12361.70213</v>
      </c>
      <c r="P518" s="467"/>
    </row>
    <row r="519" ht="26.25" customHeight="1">
      <c r="A519" s="459">
        <v>45986.0</v>
      </c>
      <c r="B519" s="460" t="s">
        <v>27</v>
      </c>
      <c r="C519" s="461" t="str">
        <f t="shared" si="1"/>
        <v>الثلاثاء</v>
      </c>
      <c r="D519" s="462">
        <v>0.3486111111111111</v>
      </c>
      <c r="E519" s="462">
        <v>0.7173611111111111</v>
      </c>
      <c r="F519" s="463">
        <v>350000.0</v>
      </c>
      <c r="G519" s="464">
        <f t="shared" si="21"/>
        <v>1489.361702</v>
      </c>
      <c r="H519" s="464">
        <f t="shared" si="7"/>
        <v>8.85</v>
      </c>
      <c r="I519" s="464">
        <f t="shared" si="3"/>
        <v>0</v>
      </c>
      <c r="J519" s="464">
        <f t="shared" si="4"/>
        <v>0</v>
      </c>
      <c r="K519" s="465">
        <f t="shared" si="5"/>
        <v>13180.85106</v>
      </c>
      <c r="L519" s="466"/>
      <c r="M519" s="465">
        <v>10000.0</v>
      </c>
      <c r="N519" s="465">
        <f t="shared" si="30"/>
        <v>546.0992908</v>
      </c>
      <c r="O519" s="465">
        <f t="shared" si="6"/>
        <v>2634.751773</v>
      </c>
      <c r="P519" s="467"/>
    </row>
    <row r="520" ht="26.25" customHeight="1">
      <c r="A520" s="459">
        <v>45987.0</v>
      </c>
      <c r="B520" s="460" t="s">
        <v>27</v>
      </c>
      <c r="C520" s="461" t="str">
        <f t="shared" si="1"/>
        <v>الأربعاء</v>
      </c>
      <c r="D520" s="462">
        <v>0.36736111111111114</v>
      </c>
      <c r="E520" s="462">
        <v>0.7131944444444445</v>
      </c>
      <c r="F520" s="463">
        <v>350000.0</v>
      </c>
      <c r="G520" s="464">
        <f t="shared" si="21"/>
        <v>1489.361702</v>
      </c>
      <c r="H520" s="464">
        <f t="shared" si="7"/>
        <v>8.3</v>
      </c>
      <c r="I520" s="464">
        <f t="shared" si="3"/>
        <v>0</v>
      </c>
      <c r="J520" s="464">
        <f t="shared" si="4"/>
        <v>0</v>
      </c>
      <c r="K520" s="465">
        <f t="shared" si="5"/>
        <v>12361.70213</v>
      </c>
      <c r="L520" s="466"/>
      <c r="M520" s="466"/>
      <c r="N520" s="465">
        <f t="shared" si="30"/>
        <v>1216.312057</v>
      </c>
      <c r="O520" s="465">
        <f t="shared" si="6"/>
        <v>11145.39007</v>
      </c>
      <c r="P520" s="467"/>
    </row>
    <row r="521" ht="26.25" customHeight="1">
      <c r="A521" s="459">
        <v>45988.0</v>
      </c>
      <c r="B521" s="460" t="s">
        <v>27</v>
      </c>
      <c r="C521" s="461" t="str">
        <f t="shared" si="1"/>
        <v>الخميس</v>
      </c>
      <c r="D521" s="462">
        <v>0.3333333333333333</v>
      </c>
      <c r="E521" s="462">
        <v>0.7145833333333333</v>
      </c>
      <c r="F521" s="463">
        <v>350000.0</v>
      </c>
      <c r="G521" s="464">
        <f t="shared" si="21"/>
        <v>1489.361702</v>
      </c>
      <c r="H521" s="464">
        <f t="shared" si="7"/>
        <v>9.15</v>
      </c>
      <c r="I521" s="464">
        <f t="shared" si="3"/>
        <v>0</v>
      </c>
      <c r="J521" s="464">
        <f t="shared" si="4"/>
        <v>0</v>
      </c>
      <c r="K521" s="465">
        <f t="shared" si="5"/>
        <v>13627.65957</v>
      </c>
      <c r="L521" s="466"/>
      <c r="M521" s="466"/>
      <c r="N521" s="465">
        <f t="shared" si="30"/>
        <v>0</v>
      </c>
      <c r="O521" s="465">
        <f t="shared" si="6"/>
        <v>13627.65957</v>
      </c>
      <c r="P521" s="467"/>
    </row>
    <row r="522" ht="26.25" customHeight="1">
      <c r="A522" s="459">
        <v>45990.0</v>
      </c>
      <c r="B522" s="460" t="s">
        <v>27</v>
      </c>
      <c r="C522" s="461" t="str">
        <f t="shared" si="1"/>
        <v>السبت</v>
      </c>
      <c r="D522" s="462">
        <v>0.3333333333333333</v>
      </c>
      <c r="E522" s="462">
        <v>0.7104166666666667</v>
      </c>
      <c r="F522" s="463">
        <v>350000.0</v>
      </c>
      <c r="G522" s="464">
        <f t="shared" si="21"/>
        <v>1489.361702</v>
      </c>
      <c r="H522" s="464">
        <f t="shared" si="7"/>
        <v>9.05</v>
      </c>
      <c r="I522" s="464">
        <f t="shared" si="3"/>
        <v>0</v>
      </c>
      <c r="J522" s="464">
        <f t="shared" si="4"/>
        <v>0</v>
      </c>
      <c r="K522" s="465">
        <f t="shared" si="5"/>
        <v>13478.7234</v>
      </c>
      <c r="L522" s="466"/>
      <c r="M522" s="465">
        <v>15000.0</v>
      </c>
      <c r="N522" s="465">
        <f t="shared" si="30"/>
        <v>0</v>
      </c>
      <c r="O522" s="465">
        <f t="shared" si="6"/>
        <v>-1521.276596</v>
      </c>
      <c r="P522" s="467"/>
    </row>
    <row r="523" ht="26.25" customHeight="1">
      <c r="A523" s="459">
        <v>45991.0</v>
      </c>
      <c r="B523" s="460" t="s">
        <v>27</v>
      </c>
      <c r="C523" s="461" t="str">
        <f t="shared" si="1"/>
        <v>الأحد</v>
      </c>
      <c r="D523" s="462">
        <v>0.3333333333333333</v>
      </c>
      <c r="E523" s="462">
        <v>0.7083333333333334</v>
      </c>
      <c r="F523" s="463">
        <v>350000.0</v>
      </c>
      <c r="G523" s="464">
        <f t="shared" si="21"/>
        <v>1489.361702</v>
      </c>
      <c r="H523" s="464">
        <f t="shared" si="7"/>
        <v>9</v>
      </c>
      <c r="I523" s="464">
        <f t="shared" si="3"/>
        <v>0</v>
      </c>
      <c r="J523" s="464">
        <f t="shared" si="4"/>
        <v>0</v>
      </c>
      <c r="K523" s="465">
        <f t="shared" si="5"/>
        <v>13404.25532</v>
      </c>
      <c r="L523" s="466"/>
      <c r="M523" s="465">
        <v>10000.0</v>
      </c>
      <c r="N523" s="465">
        <f t="shared" si="30"/>
        <v>0</v>
      </c>
      <c r="O523" s="465">
        <f t="shared" si="6"/>
        <v>3404.255319</v>
      </c>
      <c r="P523" s="467"/>
    </row>
    <row r="524" ht="26.25" customHeight="1">
      <c r="A524" s="459">
        <v>45962.0</v>
      </c>
      <c r="B524" s="477" t="s">
        <v>2483</v>
      </c>
      <c r="C524" s="461" t="str">
        <f t="shared" si="1"/>
        <v>السبت</v>
      </c>
      <c r="D524" s="462">
        <v>0.32708333333333334</v>
      </c>
      <c r="E524" s="462">
        <v>0.7097222222222223</v>
      </c>
      <c r="F524" s="463">
        <v>350000.0</v>
      </c>
      <c r="G524" s="464">
        <f t="shared" si="21"/>
        <v>1489.361702</v>
      </c>
      <c r="H524" s="464">
        <f t="shared" si="7"/>
        <v>9.183333333</v>
      </c>
      <c r="I524" s="464">
        <f t="shared" si="3"/>
        <v>0</v>
      </c>
      <c r="J524" s="464">
        <f t="shared" si="4"/>
        <v>0</v>
      </c>
      <c r="K524" s="465">
        <f t="shared" si="5"/>
        <v>13677.30496</v>
      </c>
      <c r="L524" s="466"/>
      <c r="M524" s="466"/>
      <c r="N524" s="465">
        <f t="shared" si="30"/>
        <v>0</v>
      </c>
      <c r="O524" s="465">
        <f t="shared" si="6"/>
        <v>13677.30496</v>
      </c>
      <c r="P524" s="467"/>
    </row>
    <row r="525" ht="26.25" customHeight="1">
      <c r="A525" s="459">
        <v>45963.0</v>
      </c>
      <c r="B525" s="477" t="s">
        <v>2483</v>
      </c>
      <c r="C525" s="461" t="str">
        <f t="shared" si="1"/>
        <v>الأحد</v>
      </c>
      <c r="D525" s="462">
        <v>0.3333333333333333</v>
      </c>
      <c r="E525" s="462">
        <v>0.7104166666666667</v>
      </c>
      <c r="F525" s="463">
        <v>350000.0</v>
      </c>
      <c r="G525" s="464">
        <f t="shared" si="21"/>
        <v>1489.361702</v>
      </c>
      <c r="H525" s="464">
        <f t="shared" si="7"/>
        <v>9.05</v>
      </c>
      <c r="I525" s="464">
        <f t="shared" si="3"/>
        <v>0</v>
      </c>
      <c r="J525" s="464">
        <f t="shared" si="4"/>
        <v>0</v>
      </c>
      <c r="K525" s="465">
        <f t="shared" si="5"/>
        <v>13478.7234</v>
      </c>
      <c r="L525" s="466"/>
      <c r="M525" s="466"/>
      <c r="N525" s="465">
        <f t="shared" si="30"/>
        <v>0</v>
      </c>
      <c r="O525" s="465">
        <f t="shared" si="6"/>
        <v>13478.7234</v>
      </c>
      <c r="P525" s="467"/>
    </row>
    <row r="526" ht="26.25" customHeight="1">
      <c r="A526" s="459">
        <v>45964.0</v>
      </c>
      <c r="B526" s="477" t="s">
        <v>2483</v>
      </c>
      <c r="C526" s="461" t="str">
        <f t="shared" si="1"/>
        <v>الاثنين</v>
      </c>
      <c r="D526" s="462">
        <v>0.32083333333333336</v>
      </c>
      <c r="E526" s="462">
        <v>0.7159722222222222</v>
      </c>
      <c r="F526" s="463">
        <v>350000.0</v>
      </c>
      <c r="G526" s="464">
        <f t="shared" si="21"/>
        <v>1489.361702</v>
      </c>
      <c r="H526" s="464">
        <f t="shared" si="7"/>
        <v>9.483333333</v>
      </c>
      <c r="I526" s="464">
        <f t="shared" si="3"/>
        <v>0</v>
      </c>
      <c r="J526" s="464">
        <f t="shared" si="4"/>
        <v>0</v>
      </c>
      <c r="K526" s="465">
        <f t="shared" si="5"/>
        <v>14124.11348</v>
      </c>
      <c r="L526" s="466"/>
      <c r="M526" s="466"/>
      <c r="N526" s="465">
        <f t="shared" si="30"/>
        <v>0</v>
      </c>
      <c r="O526" s="465">
        <f t="shared" si="6"/>
        <v>14124.11348</v>
      </c>
      <c r="P526" s="467"/>
    </row>
    <row r="527" ht="26.25" customHeight="1">
      <c r="A527" s="459">
        <v>45965.0</v>
      </c>
      <c r="B527" s="477" t="s">
        <v>2483</v>
      </c>
      <c r="C527" s="461" t="str">
        <f t="shared" si="1"/>
        <v>الثلاثاء</v>
      </c>
      <c r="D527" s="462">
        <v>0.35208333333333336</v>
      </c>
      <c r="E527" s="462">
        <v>0.7111111111111111</v>
      </c>
      <c r="F527" s="463">
        <v>350000.0</v>
      </c>
      <c r="G527" s="464">
        <f t="shared" si="21"/>
        <v>1489.361702</v>
      </c>
      <c r="H527" s="464">
        <f t="shared" si="7"/>
        <v>8.616666667</v>
      </c>
      <c r="I527" s="464">
        <f t="shared" si="3"/>
        <v>0</v>
      </c>
      <c r="J527" s="464">
        <f t="shared" si="4"/>
        <v>0</v>
      </c>
      <c r="K527" s="465">
        <f t="shared" si="5"/>
        <v>12833.33333</v>
      </c>
      <c r="L527" s="466"/>
      <c r="M527" s="466"/>
      <c r="N527" s="465">
        <f t="shared" si="30"/>
        <v>670.212766</v>
      </c>
      <c r="O527" s="465">
        <f t="shared" si="6"/>
        <v>12163.12057</v>
      </c>
      <c r="P527" s="467"/>
    </row>
    <row r="528" ht="26.25" customHeight="1">
      <c r="A528" s="459">
        <v>45966.0</v>
      </c>
      <c r="B528" s="477" t="s">
        <v>2483</v>
      </c>
      <c r="C528" s="461" t="str">
        <f t="shared" si="1"/>
        <v>الأربعاء</v>
      </c>
      <c r="D528" s="462">
        <v>0.3333333333333333</v>
      </c>
      <c r="E528" s="462">
        <v>0.8347222222222223</v>
      </c>
      <c r="F528" s="463">
        <v>350000.0</v>
      </c>
      <c r="G528" s="464">
        <f t="shared" si="21"/>
        <v>1489.361702</v>
      </c>
      <c r="H528" s="464">
        <f t="shared" si="7"/>
        <v>10</v>
      </c>
      <c r="I528" s="464">
        <f t="shared" si="3"/>
        <v>2.033333333</v>
      </c>
      <c r="J528" s="464">
        <f t="shared" si="4"/>
        <v>0</v>
      </c>
      <c r="K528" s="465">
        <f t="shared" si="5"/>
        <v>19436.17021</v>
      </c>
      <c r="L528" s="466"/>
      <c r="M528" s="466"/>
      <c r="N528" s="465">
        <f t="shared" si="30"/>
        <v>0</v>
      </c>
      <c r="O528" s="465">
        <f t="shared" si="6"/>
        <v>19436.17021</v>
      </c>
      <c r="P528" s="467"/>
    </row>
    <row r="529" ht="26.25" customHeight="1">
      <c r="A529" s="459">
        <v>45967.0</v>
      </c>
      <c r="B529" s="477" t="s">
        <v>2483</v>
      </c>
      <c r="C529" s="461" t="str">
        <f t="shared" si="1"/>
        <v>الخميس</v>
      </c>
      <c r="D529" s="462">
        <v>0.3333333333333333</v>
      </c>
      <c r="E529" s="462">
        <v>0.8680555555555556</v>
      </c>
      <c r="F529" s="463">
        <v>350000.0</v>
      </c>
      <c r="G529" s="464">
        <f t="shared" si="21"/>
        <v>1489.361702</v>
      </c>
      <c r="H529" s="464">
        <f t="shared" si="7"/>
        <v>10</v>
      </c>
      <c r="I529" s="464">
        <f t="shared" si="3"/>
        <v>2.833333333</v>
      </c>
      <c r="J529" s="464">
        <f t="shared" si="4"/>
        <v>0</v>
      </c>
      <c r="K529" s="465">
        <f t="shared" si="5"/>
        <v>21223.40426</v>
      </c>
      <c r="L529" s="466"/>
      <c r="M529" s="466"/>
      <c r="N529" s="465">
        <f t="shared" si="30"/>
        <v>0</v>
      </c>
      <c r="O529" s="465">
        <f t="shared" si="6"/>
        <v>21223.40426</v>
      </c>
      <c r="P529" s="467"/>
    </row>
    <row r="530" ht="26.25" customHeight="1">
      <c r="A530" s="459">
        <v>45969.0</v>
      </c>
      <c r="B530" s="477" t="s">
        <v>2483</v>
      </c>
      <c r="C530" s="461" t="str">
        <f t="shared" si="1"/>
        <v>السبت</v>
      </c>
      <c r="D530" s="462">
        <v>0.3701388888888889</v>
      </c>
      <c r="E530" s="462">
        <v>0.8340277777777778</v>
      </c>
      <c r="F530" s="463">
        <v>350000.0</v>
      </c>
      <c r="G530" s="464">
        <f t="shared" si="21"/>
        <v>1489.361702</v>
      </c>
      <c r="H530" s="464">
        <f t="shared" si="7"/>
        <v>9.116666667</v>
      </c>
      <c r="I530" s="464">
        <f t="shared" si="3"/>
        <v>2.016666667</v>
      </c>
      <c r="J530" s="464">
        <f t="shared" si="4"/>
        <v>0</v>
      </c>
      <c r="K530" s="465">
        <f t="shared" si="5"/>
        <v>18083.33333</v>
      </c>
      <c r="L530" s="466"/>
      <c r="M530" s="466"/>
      <c r="N530" s="465">
        <f t="shared" si="30"/>
        <v>1315.602837</v>
      </c>
      <c r="O530" s="465">
        <f t="shared" si="6"/>
        <v>16767.7305</v>
      </c>
      <c r="P530" s="467"/>
    </row>
    <row r="531" ht="26.25" customHeight="1">
      <c r="A531" s="459">
        <v>45970.0</v>
      </c>
      <c r="B531" s="477" t="s">
        <v>2483</v>
      </c>
      <c r="C531" s="461" t="str">
        <f t="shared" si="1"/>
        <v>الأحد</v>
      </c>
      <c r="D531" s="462">
        <v>0.3541666666666667</v>
      </c>
      <c r="E531" s="462">
        <v>0.7083333333333334</v>
      </c>
      <c r="F531" s="463">
        <v>350000.0</v>
      </c>
      <c r="G531" s="464">
        <f t="shared" si="21"/>
        <v>1489.361702</v>
      </c>
      <c r="H531" s="464">
        <f t="shared" si="7"/>
        <v>8.5</v>
      </c>
      <c r="I531" s="464">
        <f t="shared" si="3"/>
        <v>0</v>
      </c>
      <c r="J531" s="464">
        <f t="shared" si="4"/>
        <v>0</v>
      </c>
      <c r="K531" s="465">
        <f t="shared" si="5"/>
        <v>12659.57447</v>
      </c>
      <c r="L531" s="466"/>
      <c r="M531" s="466"/>
      <c r="N531" s="465">
        <f t="shared" si="30"/>
        <v>744.6808511</v>
      </c>
      <c r="O531" s="465">
        <f t="shared" si="6"/>
        <v>11914.89362</v>
      </c>
      <c r="P531" s="467"/>
    </row>
    <row r="532" ht="26.25" customHeight="1">
      <c r="A532" s="459">
        <v>45971.0</v>
      </c>
      <c r="B532" s="477" t="s">
        <v>2483</v>
      </c>
      <c r="C532" s="461" t="str">
        <f t="shared" si="1"/>
        <v>الاثنين</v>
      </c>
      <c r="D532" s="462">
        <v>0.33611111111111114</v>
      </c>
      <c r="E532" s="462">
        <v>0.7097222222222223</v>
      </c>
      <c r="F532" s="463">
        <v>350000.0</v>
      </c>
      <c r="G532" s="464">
        <f t="shared" si="21"/>
        <v>1489.361702</v>
      </c>
      <c r="H532" s="464">
        <f t="shared" si="7"/>
        <v>8.966666667</v>
      </c>
      <c r="I532" s="464">
        <f t="shared" si="3"/>
        <v>0</v>
      </c>
      <c r="J532" s="464">
        <f t="shared" si="4"/>
        <v>0</v>
      </c>
      <c r="K532" s="465">
        <f t="shared" si="5"/>
        <v>13354.60993</v>
      </c>
      <c r="L532" s="466"/>
      <c r="M532" s="465">
        <v>10000.0</v>
      </c>
      <c r="N532" s="465">
        <f t="shared" si="30"/>
        <v>99.29078014</v>
      </c>
      <c r="O532" s="465">
        <f t="shared" si="6"/>
        <v>3255.319149</v>
      </c>
      <c r="P532" s="467"/>
    </row>
    <row r="533" ht="26.25" customHeight="1">
      <c r="A533" s="459">
        <v>45973.0</v>
      </c>
      <c r="B533" s="477" t="s">
        <v>2483</v>
      </c>
      <c r="C533" s="461" t="str">
        <f t="shared" si="1"/>
        <v>الأربعاء</v>
      </c>
      <c r="D533" s="462">
        <v>0.3263888888888889</v>
      </c>
      <c r="E533" s="462">
        <v>0.7090277777777778</v>
      </c>
      <c r="F533" s="463">
        <v>350000.0</v>
      </c>
      <c r="G533" s="464">
        <f t="shared" si="21"/>
        <v>1489.361702</v>
      </c>
      <c r="H533" s="464">
        <f t="shared" si="7"/>
        <v>9.183333333</v>
      </c>
      <c r="I533" s="464">
        <f t="shared" si="3"/>
        <v>0</v>
      </c>
      <c r="J533" s="464">
        <f t="shared" si="4"/>
        <v>0</v>
      </c>
      <c r="K533" s="465">
        <f t="shared" si="5"/>
        <v>13677.30496</v>
      </c>
      <c r="L533" s="466"/>
      <c r="M533" s="466"/>
      <c r="N533" s="465">
        <f t="shared" si="30"/>
        <v>0</v>
      </c>
      <c r="O533" s="465">
        <f t="shared" si="6"/>
        <v>13677.30496</v>
      </c>
      <c r="P533" s="467"/>
    </row>
    <row r="534" ht="26.25" customHeight="1">
      <c r="A534" s="459">
        <v>45974.0</v>
      </c>
      <c r="B534" s="477" t="s">
        <v>2483</v>
      </c>
      <c r="C534" s="461" t="str">
        <f t="shared" si="1"/>
        <v>الخميس</v>
      </c>
      <c r="D534" s="462">
        <v>0.33125</v>
      </c>
      <c r="E534" s="462">
        <v>0.7694444444444445</v>
      </c>
      <c r="F534" s="463">
        <v>350000.0</v>
      </c>
      <c r="G534" s="464">
        <f t="shared" si="21"/>
        <v>1489.361702</v>
      </c>
      <c r="H534" s="464">
        <f t="shared" si="7"/>
        <v>10.05</v>
      </c>
      <c r="I534" s="464">
        <f t="shared" si="3"/>
        <v>0.4666666667</v>
      </c>
      <c r="J534" s="464">
        <f t="shared" si="4"/>
        <v>0</v>
      </c>
      <c r="K534" s="465">
        <f t="shared" si="5"/>
        <v>16010.6383</v>
      </c>
      <c r="L534" s="465">
        <v>5000.0</v>
      </c>
      <c r="M534" s="466"/>
      <c r="N534" s="465">
        <f t="shared" si="30"/>
        <v>0</v>
      </c>
      <c r="O534" s="465">
        <f t="shared" si="6"/>
        <v>21010.6383</v>
      </c>
      <c r="P534" s="467"/>
    </row>
    <row r="535" ht="26.25" customHeight="1">
      <c r="A535" s="459">
        <v>45976.0</v>
      </c>
      <c r="B535" s="477" t="s">
        <v>2483</v>
      </c>
      <c r="C535" s="461" t="str">
        <f t="shared" si="1"/>
        <v>السبت</v>
      </c>
      <c r="D535" s="462">
        <v>0.3736111111111111</v>
      </c>
      <c r="E535" s="462">
        <v>4.899305555555555</v>
      </c>
      <c r="F535" s="463">
        <v>350000.0</v>
      </c>
      <c r="G535" s="464">
        <f t="shared" si="21"/>
        <v>1489.361702</v>
      </c>
      <c r="H535" s="464">
        <f t="shared" si="7"/>
        <v>9.033333333</v>
      </c>
      <c r="I535" s="464">
        <f t="shared" si="3"/>
        <v>3.583333333</v>
      </c>
      <c r="J535" s="464">
        <f t="shared" si="4"/>
        <v>0</v>
      </c>
      <c r="K535" s="465">
        <f t="shared" si="5"/>
        <v>21459.21986</v>
      </c>
      <c r="L535" s="466"/>
      <c r="M535" s="466"/>
      <c r="N535" s="465">
        <f t="shared" si="30"/>
        <v>1439.716312</v>
      </c>
      <c r="O535" s="465">
        <f t="shared" si="6"/>
        <v>20019.50355</v>
      </c>
      <c r="P535" s="467"/>
    </row>
    <row r="536" ht="26.25" customHeight="1">
      <c r="A536" s="459">
        <v>45977.0</v>
      </c>
      <c r="B536" s="477" t="s">
        <v>2483</v>
      </c>
      <c r="C536" s="461" t="str">
        <f t="shared" si="1"/>
        <v>الأحد</v>
      </c>
      <c r="D536" s="462">
        <v>0.38125</v>
      </c>
      <c r="E536" s="462">
        <v>0.7166666666666667</v>
      </c>
      <c r="F536" s="463">
        <v>350000.0</v>
      </c>
      <c r="G536" s="464">
        <f t="shared" si="21"/>
        <v>1489.361702</v>
      </c>
      <c r="H536" s="464">
        <f t="shared" si="7"/>
        <v>8.05</v>
      </c>
      <c r="I536" s="464">
        <f t="shared" si="3"/>
        <v>0</v>
      </c>
      <c r="J536" s="464">
        <f t="shared" si="4"/>
        <v>0</v>
      </c>
      <c r="K536" s="465">
        <f t="shared" si="5"/>
        <v>11989.3617</v>
      </c>
      <c r="L536" s="466"/>
      <c r="M536" s="466"/>
      <c r="N536" s="465">
        <f t="shared" si="30"/>
        <v>1712.765957</v>
      </c>
      <c r="O536" s="465">
        <f t="shared" si="6"/>
        <v>10276.59574</v>
      </c>
      <c r="P536" s="467"/>
    </row>
    <row r="537" ht="26.25" customHeight="1">
      <c r="A537" s="459">
        <v>45978.0</v>
      </c>
      <c r="B537" s="477" t="s">
        <v>2483</v>
      </c>
      <c r="C537" s="461" t="str">
        <f t="shared" si="1"/>
        <v>الاثنين</v>
      </c>
      <c r="D537" s="462">
        <v>0.3229166666666667</v>
      </c>
      <c r="E537" s="462">
        <v>0.7854166666666667</v>
      </c>
      <c r="F537" s="463">
        <v>350000.0</v>
      </c>
      <c r="G537" s="464">
        <f t="shared" si="21"/>
        <v>1489.361702</v>
      </c>
      <c r="H537" s="464">
        <f t="shared" si="7"/>
        <v>10.25</v>
      </c>
      <c r="I537" s="464">
        <f t="shared" si="3"/>
        <v>0.85</v>
      </c>
      <c r="J537" s="464">
        <f t="shared" si="4"/>
        <v>0</v>
      </c>
      <c r="K537" s="465">
        <f t="shared" si="5"/>
        <v>17164.89362</v>
      </c>
      <c r="L537" s="466"/>
      <c r="M537" s="466"/>
      <c r="N537" s="465">
        <f t="shared" si="30"/>
        <v>0</v>
      </c>
      <c r="O537" s="465">
        <f t="shared" si="6"/>
        <v>17164.89362</v>
      </c>
      <c r="P537" s="467"/>
    </row>
    <row r="538" ht="26.25" customHeight="1">
      <c r="A538" s="459">
        <v>45979.0</v>
      </c>
      <c r="B538" s="477" t="s">
        <v>2483</v>
      </c>
      <c r="C538" s="461" t="str">
        <f t="shared" si="1"/>
        <v>الثلاثاء</v>
      </c>
      <c r="D538" s="462">
        <v>0.3347222222222222</v>
      </c>
      <c r="E538" s="462">
        <v>0.7326388888888888</v>
      </c>
      <c r="F538" s="463">
        <v>350000.0</v>
      </c>
      <c r="G538" s="464">
        <f t="shared" si="21"/>
        <v>1489.361702</v>
      </c>
      <c r="H538" s="464">
        <f t="shared" si="7"/>
        <v>9.55</v>
      </c>
      <c r="I538" s="464">
        <f t="shared" si="3"/>
        <v>0</v>
      </c>
      <c r="J538" s="464">
        <f t="shared" si="4"/>
        <v>0</v>
      </c>
      <c r="K538" s="465">
        <f t="shared" si="5"/>
        <v>14223.40426</v>
      </c>
      <c r="L538" s="466"/>
      <c r="M538" s="465">
        <v>15000.0</v>
      </c>
      <c r="N538" s="465">
        <f t="shared" si="30"/>
        <v>49.64539007</v>
      </c>
      <c r="O538" s="465">
        <f t="shared" si="6"/>
        <v>-826.2411348</v>
      </c>
      <c r="P538" s="467"/>
    </row>
    <row r="539" ht="26.25" customHeight="1">
      <c r="A539" s="459">
        <v>45980.0</v>
      </c>
      <c r="B539" s="477" t="s">
        <v>2483</v>
      </c>
      <c r="C539" s="461" t="str">
        <f t="shared" si="1"/>
        <v>الأربعاء</v>
      </c>
      <c r="D539" s="462">
        <v>0.3284722222222222</v>
      </c>
      <c r="E539" s="462">
        <v>0.8034722222222223</v>
      </c>
      <c r="F539" s="463">
        <v>350000.0</v>
      </c>
      <c r="G539" s="464">
        <f t="shared" si="21"/>
        <v>1489.361702</v>
      </c>
      <c r="H539" s="464">
        <f t="shared" si="7"/>
        <v>10.11666667</v>
      </c>
      <c r="I539" s="464">
        <f t="shared" si="3"/>
        <v>1.283333333</v>
      </c>
      <c r="J539" s="464">
        <f t="shared" si="4"/>
        <v>0</v>
      </c>
      <c r="K539" s="465">
        <f t="shared" si="5"/>
        <v>17934.39716</v>
      </c>
      <c r="L539" s="466"/>
      <c r="M539" s="466"/>
      <c r="N539" s="465">
        <f t="shared" si="30"/>
        <v>0</v>
      </c>
      <c r="O539" s="465">
        <f t="shared" si="6"/>
        <v>17934.39716</v>
      </c>
      <c r="P539" s="467"/>
    </row>
    <row r="540" ht="26.25" customHeight="1">
      <c r="A540" s="459">
        <v>45981.0</v>
      </c>
      <c r="B540" s="477" t="s">
        <v>2483</v>
      </c>
      <c r="C540" s="461" t="str">
        <f t="shared" si="1"/>
        <v>الخميس</v>
      </c>
      <c r="D540" s="462">
        <v>0.33055555555555555</v>
      </c>
      <c r="E540" s="462">
        <v>0.9354166666666667</v>
      </c>
      <c r="F540" s="463">
        <v>350000.0</v>
      </c>
      <c r="G540" s="464">
        <f t="shared" si="21"/>
        <v>1489.361702</v>
      </c>
      <c r="H540" s="464">
        <f t="shared" si="7"/>
        <v>10.06666667</v>
      </c>
      <c r="I540" s="464">
        <f t="shared" si="3"/>
        <v>4.45</v>
      </c>
      <c r="J540" s="464">
        <f t="shared" si="4"/>
        <v>0</v>
      </c>
      <c r="K540" s="465">
        <f t="shared" si="5"/>
        <v>24934.39716</v>
      </c>
      <c r="L540" s="465">
        <v>5000.0</v>
      </c>
      <c r="M540" s="465">
        <v>30000.0</v>
      </c>
      <c r="N540" s="465">
        <f t="shared" si="30"/>
        <v>0</v>
      </c>
      <c r="O540" s="465">
        <f t="shared" si="6"/>
        <v>-65.60283688</v>
      </c>
      <c r="P540" s="467"/>
    </row>
    <row r="541" ht="26.25" customHeight="1">
      <c r="A541" s="459">
        <v>45982.0</v>
      </c>
      <c r="B541" s="477" t="s">
        <v>2483</v>
      </c>
      <c r="C541" s="461" t="str">
        <f t="shared" si="1"/>
        <v>الجمعة</v>
      </c>
      <c r="D541" s="462">
        <v>0.5298611111111111</v>
      </c>
      <c r="E541" s="462">
        <v>0.8534722222222222</v>
      </c>
      <c r="F541" s="463">
        <v>350000.0</v>
      </c>
      <c r="G541" s="464">
        <f t="shared" si="21"/>
        <v>1489.361702</v>
      </c>
      <c r="H541" s="464">
        <f t="shared" si="7"/>
        <v>0</v>
      </c>
      <c r="I541" s="464">
        <f t="shared" si="3"/>
        <v>0</v>
      </c>
      <c r="J541" s="464">
        <f t="shared" si="4"/>
        <v>7.766666667</v>
      </c>
      <c r="K541" s="465">
        <f t="shared" si="5"/>
        <v>23134.75177</v>
      </c>
      <c r="L541" s="466"/>
      <c r="M541" s="466"/>
      <c r="N541" s="465">
        <f t="shared" si="30"/>
        <v>0</v>
      </c>
      <c r="O541" s="465">
        <f t="shared" si="6"/>
        <v>23134.75177</v>
      </c>
      <c r="P541" s="467"/>
    </row>
    <row r="542" ht="26.25" customHeight="1">
      <c r="A542" s="459">
        <v>45983.0</v>
      </c>
      <c r="B542" s="477" t="s">
        <v>2483</v>
      </c>
      <c r="C542" s="461" t="str">
        <f t="shared" si="1"/>
        <v>السبت</v>
      </c>
      <c r="D542" s="462">
        <v>0.3875</v>
      </c>
      <c r="E542" s="462">
        <v>0.8069444444444445</v>
      </c>
      <c r="F542" s="463">
        <v>350000.0</v>
      </c>
      <c r="G542" s="464">
        <f t="shared" si="21"/>
        <v>1489.361702</v>
      </c>
      <c r="H542" s="464">
        <f t="shared" si="7"/>
        <v>8.7</v>
      </c>
      <c r="I542" s="464">
        <f t="shared" si="3"/>
        <v>1.366666667</v>
      </c>
      <c r="J542" s="464">
        <f t="shared" si="4"/>
        <v>0</v>
      </c>
      <c r="K542" s="465">
        <f t="shared" si="5"/>
        <v>16010.6383</v>
      </c>
      <c r="L542" s="465">
        <v>2500.0</v>
      </c>
      <c r="M542" s="465">
        <v>3500.0</v>
      </c>
      <c r="N542" s="465">
        <f t="shared" si="30"/>
        <v>1936.170213</v>
      </c>
      <c r="O542" s="465">
        <f t="shared" si="6"/>
        <v>13074.46809</v>
      </c>
      <c r="P542" s="467"/>
    </row>
    <row r="543" ht="26.25" customHeight="1">
      <c r="A543" s="459">
        <v>45984.0</v>
      </c>
      <c r="B543" s="477" t="s">
        <v>2483</v>
      </c>
      <c r="C543" s="461" t="str">
        <f t="shared" si="1"/>
        <v>الأحد</v>
      </c>
      <c r="D543" s="462">
        <v>0.41458333333333336</v>
      </c>
      <c r="E543" s="462">
        <v>0.7118055555555556</v>
      </c>
      <c r="F543" s="463">
        <v>350000.0</v>
      </c>
      <c r="G543" s="464">
        <f t="shared" si="21"/>
        <v>1489.361702</v>
      </c>
      <c r="H543" s="464">
        <f t="shared" si="7"/>
        <v>7.133333333</v>
      </c>
      <c r="I543" s="464">
        <f t="shared" si="3"/>
        <v>0</v>
      </c>
      <c r="J543" s="464">
        <f t="shared" si="4"/>
        <v>0</v>
      </c>
      <c r="K543" s="465">
        <f t="shared" si="5"/>
        <v>10624.11348</v>
      </c>
      <c r="L543" s="466"/>
      <c r="M543" s="466"/>
      <c r="N543" s="465">
        <f t="shared" si="30"/>
        <v>2904.255319</v>
      </c>
      <c r="O543" s="465">
        <f t="shared" si="6"/>
        <v>7719.858156</v>
      </c>
      <c r="P543" s="467"/>
    </row>
    <row r="544" ht="26.25" customHeight="1">
      <c r="A544" s="459">
        <v>45985.0</v>
      </c>
      <c r="B544" s="477" t="s">
        <v>2483</v>
      </c>
      <c r="C544" s="461" t="str">
        <f t="shared" si="1"/>
        <v>الاثنين</v>
      </c>
      <c r="D544" s="462">
        <v>0.3486111111111111</v>
      </c>
      <c r="E544" s="462">
        <v>0.7097222222222223</v>
      </c>
      <c r="F544" s="463">
        <v>350000.0</v>
      </c>
      <c r="G544" s="464">
        <f t="shared" si="21"/>
        <v>1489.361702</v>
      </c>
      <c r="H544" s="464">
        <f t="shared" si="7"/>
        <v>8.666666667</v>
      </c>
      <c r="I544" s="464">
        <f t="shared" si="3"/>
        <v>0</v>
      </c>
      <c r="J544" s="464">
        <f t="shared" si="4"/>
        <v>0</v>
      </c>
      <c r="K544" s="465">
        <f t="shared" si="5"/>
        <v>12907.80142</v>
      </c>
      <c r="L544" s="466"/>
      <c r="M544" s="466"/>
      <c r="N544" s="465">
        <v>20000.0</v>
      </c>
      <c r="O544" s="465">
        <f t="shared" si="6"/>
        <v>-7092.198582</v>
      </c>
      <c r="P544" s="467"/>
    </row>
    <row r="545" ht="26.25" customHeight="1">
      <c r="A545" s="459">
        <v>45986.0</v>
      </c>
      <c r="B545" s="477" t="s">
        <v>2483</v>
      </c>
      <c r="C545" s="461" t="str">
        <f t="shared" si="1"/>
        <v>الثلاثاء</v>
      </c>
      <c r="D545" s="462">
        <v>0.3486111111111111</v>
      </c>
      <c r="E545" s="462">
        <v>0.7159722222222222</v>
      </c>
      <c r="F545" s="463">
        <v>350000.0</v>
      </c>
      <c r="G545" s="464">
        <f t="shared" si="21"/>
        <v>1489.361702</v>
      </c>
      <c r="H545" s="464">
        <f t="shared" si="7"/>
        <v>8.816666667</v>
      </c>
      <c r="I545" s="464">
        <f t="shared" si="3"/>
        <v>0</v>
      </c>
      <c r="J545" s="464">
        <f t="shared" si="4"/>
        <v>0</v>
      </c>
      <c r="K545" s="465">
        <f t="shared" si="5"/>
        <v>13131.20567</v>
      </c>
      <c r="L545" s="466"/>
      <c r="M545" s="465">
        <v>20000.0</v>
      </c>
      <c r="N545" s="465">
        <f t="shared" ref="N545:N548" si="31">IF(C545="الجمعة",0,IF(D545&gt;TIME(8,0,0),(D545-TIME(8,0,0))*24*60*(G545/60),0))</f>
        <v>546.0992908</v>
      </c>
      <c r="O545" s="465">
        <f t="shared" si="6"/>
        <v>-7414.893617</v>
      </c>
      <c r="P545" s="470"/>
    </row>
    <row r="546" ht="26.25" customHeight="1">
      <c r="A546" s="459">
        <v>45987.0</v>
      </c>
      <c r="B546" s="477" t="s">
        <v>2483</v>
      </c>
      <c r="C546" s="461" t="str">
        <f t="shared" si="1"/>
        <v>الأربعاء</v>
      </c>
      <c r="D546" s="462">
        <v>0.3375</v>
      </c>
      <c r="E546" s="462">
        <v>0.7138888888888889</v>
      </c>
      <c r="F546" s="463">
        <v>350000.0</v>
      </c>
      <c r="G546" s="464">
        <f t="shared" si="21"/>
        <v>1489.361702</v>
      </c>
      <c r="H546" s="464">
        <f t="shared" si="7"/>
        <v>9.033333333</v>
      </c>
      <c r="I546" s="464">
        <f t="shared" si="3"/>
        <v>0</v>
      </c>
      <c r="J546" s="464">
        <f t="shared" si="4"/>
        <v>0</v>
      </c>
      <c r="K546" s="465">
        <f t="shared" si="5"/>
        <v>13453.90071</v>
      </c>
      <c r="L546" s="466"/>
      <c r="M546" s="465">
        <v>5000.0</v>
      </c>
      <c r="N546" s="465">
        <f t="shared" si="31"/>
        <v>148.9361702</v>
      </c>
      <c r="O546" s="465">
        <f t="shared" si="6"/>
        <v>8304.964539</v>
      </c>
      <c r="P546" s="467"/>
    </row>
    <row r="547" ht="26.25" customHeight="1">
      <c r="A547" s="459">
        <v>45988.0</v>
      </c>
      <c r="B547" s="477" t="s">
        <v>2483</v>
      </c>
      <c r="C547" s="461" t="str">
        <f t="shared" si="1"/>
        <v>الخميس</v>
      </c>
      <c r="D547" s="462">
        <v>0.3402777777777778</v>
      </c>
      <c r="E547" s="462">
        <v>0.7138888888888889</v>
      </c>
      <c r="F547" s="463">
        <v>350000.0</v>
      </c>
      <c r="G547" s="464">
        <f t="shared" si="21"/>
        <v>1489.361702</v>
      </c>
      <c r="H547" s="464">
        <f t="shared" si="7"/>
        <v>8.966666667</v>
      </c>
      <c r="I547" s="464">
        <f t="shared" si="3"/>
        <v>0</v>
      </c>
      <c r="J547" s="464">
        <f t="shared" si="4"/>
        <v>0</v>
      </c>
      <c r="K547" s="465">
        <f t="shared" si="5"/>
        <v>13354.60993</v>
      </c>
      <c r="L547" s="466"/>
      <c r="M547" s="465">
        <v>10000.0</v>
      </c>
      <c r="N547" s="465">
        <f t="shared" si="31"/>
        <v>248.2269504</v>
      </c>
      <c r="O547" s="465">
        <f t="shared" si="6"/>
        <v>3106.382979</v>
      </c>
      <c r="P547" s="467"/>
    </row>
    <row r="548" ht="26.25" customHeight="1">
      <c r="A548" s="459">
        <v>45990.0</v>
      </c>
      <c r="B548" s="477" t="s">
        <v>2483</v>
      </c>
      <c r="C548" s="461" t="str">
        <f t="shared" si="1"/>
        <v>السبت</v>
      </c>
      <c r="D548" s="462">
        <v>0.33958333333333335</v>
      </c>
      <c r="E548" s="462">
        <v>0.7111111111111111</v>
      </c>
      <c r="F548" s="463">
        <v>350000.0</v>
      </c>
      <c r="G548" s="464">
        <f t="shared" si="21"/>
        <v>1489.361702</v>
      </c>
      <c r="H548" s="464">
        <f t="shared" si="7"/>
        <v>8.916666667</v>
      </c>
      <c r="I548" s="464">
        <f t="shared" si="3"/>
        <v>0</v>
      </c>
      <c r="J548" s="464">
        <f t="shared" si="4"/>
        <v>0</v>
      </c>
      <c r="K548" s="465">
        <f t="shared" si="5"/>
        <v>13280.14184</v>
      </c>
      <c r="L548" s="466"/>
      <c r="M548" s="465">
        <v>205000.0</v>
      </c>
      <c r="N548" s="465">
        <f t="shared" si="31"/>
        <v>223.4042553</v>
      </c>
      <c r="O548" s="465">
        <f t="shared" si="6"/>
        <v>-191943.2624</v>
      </c>
      <c r="P548" s="467"/>
    </row>
    <row r="549" ht="26.25" customHeight="1">
      <c r="A549" s="459">
        <v>45991.0</v>
      </c>
      <c r="B549" s="477" t="s">
        <v>2483</v>
      </c>
      <c r="C549" s="461" t="str">
        <f t="shared" si="1"/>
        <v>الأحد</v>
      </c>
      <c r="D549" s="462">
        <v>0.34097222222222223</v>
      </c>
      <c r="E549" s="462">
        <v>0.7090277777777778</v>
      </c>
      <c r="F549" s="463">
        <v>350000.0</v>
      </c>
      <c r="G549" s="464">
        <f t="shared" si="21"/>
        <v>1489.361702</v>
      </c>
      <c r="H549" s="464">
        <f t="shared" si="7"/>
        <v>8.833333333</v>
      </c>
      <c r="I549" s="464">
        <f t="shared" si="3"/>
        <v>0</v>
      </c>
      <c r="J549" s="464">
        <f t="shared" si="4"/>
        <v>0</v>
      </c>
      <c r="K549" s="465">
        <f t="shared" si="5"/>
        <v>13156.02837</v>
      </c>
      <c r="L549" s="466"/>
      <c r="M549" s="466"/>
      <c r="N549" s="466"/>
      <c r="O549" s="465">
        <f t="shared" si="6"/>
        <v>13156.02837</v>
      </c>
      <c r="P549" s="470"/>
    </row>
    <row r="550" ht="26.25" customHeight="1">
      <c r="A550" s="459">
        <v>45962.0</v>
      </c>
      <c r="B550" s="477" t="s">
        <v>2466</v>
      </c>
      <c r="C550" s="461" t="str">
        <f t="shared" si="1"/>
        <v>السبت</v>
      </c>
      <c r="D550" s="462">
        <v>0.32916666666666666</v>
      </c>
      <c r="E550" s="462">
        <v>0.7208333333333333</v>
      </c>
      <c r="F550" s="463">
        <v>300000.0</v>
      </c>
      <c r="G550" s="464">
        <f t="shared" si="21"/>
        <v>1276.595745</v>
      </c>
      <c r="H550" s="464">
        <f t="shared" si="7"/>
        <v>9.4</v>
      </c>
      <c r="I550" s="464">
        <f t="shared" si="3"/>
        <v>0</v>
      </c>
      <c r="J550" s="464">
        <f t="shared" si="4"/>
        <v>0</v>
      </c>
      <c r="K550" s="465">
        <f t="shared" si="5"/>
        <v>12000</v>
      </c>
      <c r="L550" s="466"/>
      <c r="M550" s="465">
        <v>39468.0</v>
      </c>
      <c r="N550" s="465">
        <f t="shared" ref="N550:N553" si="32">IF(C550="الجمعة",0,IF(D550&gt;TIME(8,0,0),(D550-TIME(8,0,0))*24*60*(G550/60),0))</f>
        <v>0</v>
      </c>
      <c r="O550" s="465">
        <f t="shared" si="6"/>
        <v>-27468</v>
      </c>
      <c r="P550" s="478" t="s">
        <v>2502</v>
      </c>
    </row>
    <row r="551" ht="26.25" customHeight="1">
      <c r="A551" s="459">
        <v>45963.0</v>
      </c>
      <c r="B551" s="477" t="s">
        <v>2466</v>
      </c>
      <c r="C551" s="461" t="str">
        <f t="shared" si="1"/>
        <v>الأحد</v>
      </c>
      <c r="D551" s="462">
        <v>0.3347222222222222</v>
      </c>
      <c r="E551" s="462">
        <v>0.7118055555555556</v>
      </c>
      <c r="F551" s="463">
        <v>300000.0</v>
      </c>
      <c r="G551" s="464">
        <f t="shared" si="21"/>
        <v>1276.595745</v>
      </c>
      <c r="H551" s="464">
        <f t="shared" si="7"/>
        <v>9.05</v>
      </c>
      <c r="I551" s="464">
        <f t="shared" si="3"/>
        <v>0</v>
      </c>
      <c r="J551" s="464">
        <f t="shared" si="4"/>
        <v>0</v>
      </c>
      <c r="K551" s="465">
        <f t="shared" si="5"/>
        <v>11553.19149</v>
      </c>
      <c r="L551" s="466"/>
      <c r="M551" s="466"/>
      <c r="N551" s="465">
        <f t="shared" si="32"/>
        <v>42.55319149</v>
      </c>
      <c r="O551" s="465">
        <f t="shared" si="6"/>
        <v>11510.6383</v>
      </c>
      <c r="P551" s="467"/>
    </row>
    <row r="552" ht="26.25" customHeight="1">
      <c r="A552" s="459">
        <v>45964.0</v>
      </c>
      <c r="B552" s="477" t="s">
        <v>2466</v>
      </c>
      <c r="C552" s="461" t="str">
        <f t="shared" si="1"/>
        <v>الاثنين</v>
      </c>
      <c r="D552" s="462">
        <v>0.33194444444444443</v>
      </c>
      <c r="E552" s="462">
        <v>0.7118055555555556</v>
      </c>
      <c r="F552" s="463">
        <v>300000.0</v>
      </c>
      <c r="G552" s="464">
        <f t="shared" si="21"/>
        <v>1276.595745</v>
      </c>
      <c r="H552" s="464">
        <f t="shared" si="7"/>
        <v>9.116666667</v>
      </c>
      <c r="I552" s="464">
        <f t="shared" si="3"/>
        <v>0</v>
      </c>
      <c r="J552" s="464">
        <f t="shared" si="4"/>
        <v>0</v>
      </c>
      <c r="K552" s="465">
        <f t="shared" si="5"/>
        <v>11638.29787</v>
      </c>
      <c r="L552" s="466"/>
      <c r="M552" s="466"/>
      <c r="N552" s="465">
        <f t="shared" si="32"/>
        <v>0</v>
      </c>
      <c r="O552" s="465">
        <f t="shared" si="6"/>
        <v>11638.29787</v>
      </c>
      <c r="P552" s="467"/>
    </row>
    <row r="553" ht="26.25" customHeight="1">
      <c r="A553" s="459">
        <v>45965.0</v>
      </c>
      <c r="B553" s="477" t="s">
        <v>2466</v>
      </c>
      <c r="C553" s="461" t="str">
        <f t="shared" si="1"/>
        <v>الثلاثاء</v>
      </c>
      <c r="D553" s="462">
        <v>0.34652777777777777</v>
      </c>
      <c r="E553" s="462">
        <v>0.4888888888888889</v>
      </c>
      <c r="F553" s="463">
        <v>300000.0</v>
      </c>
      <c r="G553" s="464">
        <f t="shared" si="21"/>
        <v>1276.595745</v>
      </c>
      <c r="H553" s="464">
        <f t="shared" si="7"/>
        <v>3.416666667</v>
      </c>
      <c r="I553" s="464">
        <f t="shared" si="3"/>
        <v>0</v>
      </c>
      <c r="J553" s="464">
        <f t="shared" si="4"/>
        <v>0</v>
      </c>
      <c r="K553" s="465">
        <f t="shared" si="5"/>
        <v>4361.702128</v>
      </c>
      <c r="L553" s="466"/>
      <c r="M553" s="466"/>
      <c r="N553" s="465">
        <f t="shared" si="32"/>
        <v>404.2553191</v>
      </c>
      <c r="O553" s="465">
        <f t="shared" si="6"/>
        <v>3957.446809</v>
      </c>
      <c r="P553" s="467"/>
    </row>
    <row r="554" ht="26.25" customHeight="1">
      <c r="A554" s="459">
        <v>45966.0</v>
      </c>
      <c r="B554" s="477" t="s">
        <v>2466</v>
      </c>
      <c r="C554" s="461" t="str">
        <f t="shared" si="1"/>
        <v>الأربعاء</v>
      </c>
      <c r="D554" s="462">
        <v>0.33125</v>
      </c>
      <c r="E554" s="462">
        <v>0.7111111111111111</v>
      </c>
      <c r="F554" s="463">
        <v>300000.0</v>
      </c>
      <c r="G554" s="464">
        <f t="shared" si="21"/>
        <v>1276.595745</v>
      </c>
      <c r="H554" s="464">
        <f t="shared" si="7"/>
        <v>9.116666667</v>
      </c>
      <c r="I554" s="464">
        <f t="shared" si="3"/>
        <v>0</v>
      </c>
      <c r="J554" s="464">
        <f t="shared" si="4"/>
        <v>0</v>
      </c>
      <c r="K554" s="465">
        <f t="shared" si="5"/>
        <v>11638.29787</v>
      </c>
      <c r="L554" s="466"/>
      <c r="M554" s="466"/>
      <c r="N554" s="465">
        <v>200000.0</v>
      </c>
      <c r="O554" s="465">
        <f t="shared" si="6"/>
        <v>-188361.7021</v>
      </c>
      <c r="P554" s="470"/>
    </row>
    <row r="555" ht="26.25" customHeight="1">
      <c r="A555" s="459">
        <v>45967.0</v>
      </c>
      <c r="B555" s="477" t="s">
        <v>2466</v>
      </c>
      <c r="C555" s="461" t="str">
        <f t="shared" si="1"/>
        <v>الخميس</v>
      </c>
      <c r="D555" s="462">
        <v>0.3333333333333333</v>
      </c>
      <c r="E555" s="462">
        <v>0.7083333333333334</v>
      </c>
      <c r="F555" s="463">
        <v>300000.0</v>
      </c>
      <c r="G555" s="464">
        <f t="shared" si="21"/>
        <v>1276.595745</v>
      </c>
      <c r="H555" s="464">
        <f t="shared" si="7"/>
        <v>9</v>
      </c>
      <c r="I555" s="464">
        <f t="shared" si="3"/>
        <v>0</v>
      </c>
      <c r="J555" s="464">
        <f t="shared" si="4"/>
        <v>0</v>
      </c>
      <c r="K555" s="465">
        <f t="shared" si="5"/>
        <v>11489.3617</v>
      </c>
      <c r="L555" s="466"/>
      <c r="M555" s="466"/>
      <c r="N555" s="465">
        <f t="shared" ref="N555:N642" si="33">IF(C555="الجمعة",0,IF(D555&gt;TIME(8,0,0),(D555-TIME(8,0,0))*24*60*(G555/60),0))</f>
        <v>0</v>
      </c>
      <c r="O555" s="465">
        <f t="shared" si="6"/>
        <v>11489.3617</v>
      </c>
      <c r="P555" s="467"/>
    </row>
    <row r="556" ht="26.25" customHeight="1">
      <c r="A556" s="459">
        <v>45969.0</v>
      </c>
      <c r="B556" s="477" t="s">
        <v>2466</v>
      </c>
      <c r="C556" s="461" t="str">
        <f t="shared" si="1"/>
        <v>السبت</v>
      </c>
      <c r="D556" s="462">
        <v>0.3277777777777778</v>
      </c>
      <c r="E556" s="462">
        <v>0.7493055555555556</v>
      </c>
      <c r="F556" s="463">
        <v>300000.0</v>
      </c>
      <c r="G556" s="464">
        <f t="shared" si="21"/>
        <v>1276.595745</v>
      </c>
      <c r="H556" s="464">
        <f t="shared" si="7"/>
        <v>10.11666667</v>
      </c>
      <c r="I556" s="464">
        <f t="shared" si="3"/>
        <v>0</v>
      </c>
      <c r="J556" s="464">
        <f t="shared" si="4"/>
        <v>0</v>
      </c>
      <c r="K556" s="465">
        <f t="shared" si="5"/>
        <v>12914.89362</v>
      </c>
      <c r="L556" s="466"/>
      <c r="M556" s="466"/>
      <c r="N556" s="465">
        <f t="shared" si="33"/>
        <v>0</v>
      </c>
      <c r="O556" s="465">
        <f t="shared" si="6"/>
        <v>12914.89362</v>
      </c>
      <c r="P556" s="467"/>
    </row>
    <row r="557" ht="26.25" customHeight="1">
      <c r="A557" s="459">
        <v>45970.0</v>
      </c>
      <c r="B557" s="477" t="s">
        <v>2466</v>
      </c>
      <c r="C557" s="461" t="str">
        <f t="shared" si="1"/>
        <v>الأحد</v>
      </c>
      <c r="D557" s="462">
        <v>0.33611111111111114</v>
      </c>
      <c r="E557" s="462">
        <v>0.8298611111111112</v>
      </c>
      <c r="F557" s="463">
        <v>300000.0</v>
      </c>
      <c r="G557" s="464">
        <f t="shared" si="21"/>
        <v>1276.595745</v>
      </c>
      <c r="H557" s="464">
        <f t="shared" si="7"/>
        <v>9.933333333</v>
      </c>
      <c r="I557" s="464">
        <f t="shared" si="3"/>
        <v>1.916666667</v>
      </c>
      <c r="J557" s="464">
        <f t="shared" si="4"/>
        <v>0</v>
      </c>
      <c r="K557" s="465">
        <f t="shared" si="5"/>
        <v>16351.06383</v>
      </c>
      <c r="L557" s="466"/>
      <c r="M557" s="466"/>
      <c r="N557" s="465">
        <f t="shared" si="33"/>
        <v>85.10638298</v>
      </c>
      <c r="O557" s="465">
        <f t="shared" si="6"/>
        <v>16265.95745</v>
      </c>
      <c r="P557" s="467"/>
    </row>
    <row r="558" ht="26.25" customHeight="1">
      <c r="A558" s="459">
        <v>45971.0</v>
      </c>
      <c r="B558" s="477" t="s">
        <v>2466</v>
      </c>
      <c r="C558" s="461" t="str">
        <f t="shared" si="1"/>
        <v>الاثنين</v>
      </c>
      <c r="D558" s="462">
        <v>0.3375</v>
      </c>
      <c r="E558" s="462">
        <v>0.7090277777777778</v>
      </c>
      <c r="F558" s="463">
        <v>300000.0</v>
      </c>
      <c r="G558" s="464">
        <f t="shared" si="21"/>
        <v>1276.595745</v>
      </c>
      <c r="H558" s="464">
        <f t="shared" si="7"/>
        <v>8.916666667</v>
      </c>
      <c r="I558" s="464">
        <f t="shared" si="3"/>
        <v>0</v>
      </c>
      <c r="J558" s="464">
        <f t="shared" si="4"/>
        <v>0</v>
      </c>
      <c r="K558" s="465">
        <f t="shared" si="5"/>
        <v>11382.97872</v>
      </c>
      <c r="L558" s="466"/>
      <c r="M558" s="466"/>
      <c r="N558" s="465">
        <f t="shared" si="33"/>
        <v>127.6595745</v>
      </c>
      <c r="O558" s="465">
        <f t="shared" si="6"/>
        <v>11255.31915</v>
      </c>
      <c r="P558" s="467"/>
    </row>
    <row r="559" ht="26.25" customHeight="1">
      <c r="A559" s="459">
        <v>45973.0</v>
      </c>
      <c r="B559" s="477" t="s">
        <v>2466</v>
      </c>
      <c r="C559" s="461" t="str">
        <f t="shared" si="1"/>
        <v>الأربعاء</v>
      </c>
      <c r="D559" s="462">
        <v>0.3347222222222222</v>
      </c>
      <c r="E559" s="462">
        <v>0.7097222222222223</v>
      </c>
      <c r="F559" s="463">
        <v>300000.0</v>
      </c>
      <c r="G559" s="464">
        <f t="shared" si="21"/>
        <v>1276.595745</v>
      </c>
      <c r="H559" s="464">
        <f t="shared" si="7"/>
        <v>9</v>
      </c>
      <c r="I559" s="464">
        <f t="shared" si="3"/>
        <v>0</v>
      </c>
      <c r="J559" s="464">
        <f t="shared" si="4"/>
        <v>0</v>
      </c>
      <c r="K559" s="465">
        <f t="shared" si="5"/>
        <v>11489.3617</v>
      </c>
      <c r="L559" s="466"/>
      <c r="M559" s="466"/>
      <c r="N559" s="465">
        <f t="shared" si="33"/>
        <v>42.55319149</v>
      </c>
      <c r="O559" s="465">
        <f t="shared" si="6"/>
        <v>11446.80851</v>
      </c>
      <c r="P559" s="467"/>
    </row>
    <row r="560" ht="26.25" customHeight="1">
      <c r="A560" s="459">
        <v>45974.0</v>
      </c>
      <c r="B560" s="477" t="s">
        <v>2466</v>
      </c>
      <c r="C560" s="461" t="str">
        <f t="shared" si="1"/>
        <v>الخميس</v>
      </c>
      <c r="D560" s="462">
        <v>0.4409722222222222</v>
      </c>
      <c r="E560" s="462">
        <v>0.7097222222222223</v>
      </c>
      <c r="F560" s="463">
        <v>300000.0</v>
      </c>
      <c r="G560" s="464">
        <f t="shared" si="21"/>
        <v>1276.595745</v>
      </c>
      <c r="H560" s="464">
        <f t="shared" si="7"/>
        <v>6.45</v>
      </c>
      <c r="I560" s="464">
        <f t="shared" si="3"/>
        <v>0</v>
      </c>
      <c r="J560" s="464">
        <f t="shared" si="4"/>
        <v>0</v>
      </c>
      <c r="K560" s="465">
        <f t="shared" si="5"/>
        <v>8234.042553</v>
      </c>
      <c r="L560" s="466"/>
      <c r="M560" s="465">
        <v>2345.0</v>
      </c>
      <c r="N560" s="465">
        <f t="shared" si="33"/>
        <v>3297.87234</v>
      </c>
      <c r="O560" s="465">
        <f t="shared" si="6"/>
        <v>2591.170213</v>
      </c>
      <c r="P560" s="470"/>
    </row>
    <row r="561" ht="26.25" customHeight="1">
      <c r="A561" s="459">
        <v>45976.0</v>
      </c>
      <c r="B561" s="477" t="s">
        <v>2466</v>
      </c>
      <c r="C561" s="461" t="str">
        <f t="shared" si="1"/>
        <v>السبت</v>
      </c>
      <c r="D561" s="462">
        <v>0.3375</v>
      </c>
      <c r="E561" s="462">
        <v>0.7138888888888889</v>
      </c>
      <c r="F561" s="463">
        <v>300000.0</v>
      </c>
      <c r="G561" s="464">
        <f t="shared" si="21"/>
        <v>1276.595745</v>
      </c>
      <c r="H561" s="464">
        <f t="shared" si="7"/>
        <v>9.033333333</v>
      </c>
      <c r="I561" s="464">
        <f t="shared" si="3"/>
        <v>0</v>
      </c>
      <c r="J561" s="464">
        <f t="shared" si="4"/>
        <v>0</v>
      </c>
      <c r="K561" s="465">
        <f t="shared" si="5"/>
        <v>11531.91489</v>
      </c>
      <c r="L561" s="466"/>
      <c r="M561" s="466"/>
      <c r="N561" s="465">
        <f t="shared" si="33"/>
        <v>127.6595745</v>
      </c>
      <c r="O561" s="465">
        <f t="shared" si="6"/>
        <v>11404.25532</v>
      </c>
      <c r="P561" s="467"/>
    </row>
    <row r="562" ht="26.25" customHeight="1">
      <c r="A562" s="459">
        <v>45977.0</v>
      </c>
      <c r="B562" s="477" t="s">
        <v>2466</v>
      </c>
      <c r="C562" s="461" t="str">
        <f t="shared" si="1"/>
        <v>الأحد</v>
      </c>
      <c r="D562" s="462">
        <v>0.3388888888888889</v>
      </c>
      <c r="E562" s="462">
        <v>0.7125</v>
      </c>
      <c r="F562" s="463">
        <v>300000.0</v>
      </c>
      <c r="G562" s="464">
        <f t="shared" si="21"/>
        <v>1276.595745</v>
      </c>
      <c r="H562" s="464">
        <f t="shared" si="7"/>
        <v>8.966666667</v>
      </c>
      <c r="I562" s="464">
        <f t="shared" si="3"/>
        <v>0</v>
      </c>
      <c r="J562" s="464">
        <f t="shared" si="4"/>
        <v>0</v>
      </c>
      <c r="K562" s="465">
        <f t="shared" si="5"/>
        <v>11446.80851</v>
      </c>
      <c r="L562" s="466"/>
      <c r="M562" s="466"/>
      <c r="N562" s="465">
        <f t="shared" si="33"/>
        <v>170.212766</v>
      </c>
      <c r="O562" s="465">
        <f t="shared" si="6"/>
        <v>11276.59574</v>
      </c>
      <c r="P562" s="467"/>
    </row>
    <row r="563" ht="26.25" customHeight="1">
      <c r="A563" s="459">
        <v>45978.0</v>
      </c>
      <c r="B563" s="477" t="s">
        <v>2466</v>
      </c>
      <c r="C563" s="461" t="str">
        <f t="shared" si="1"/>
        <v>الاثنين</v>
      </c>
      <c r="D563" s="462">
        <v>0.33611111111111114</v>
      </c>
      <c r="E563" s="462">
        <v>0.7388888888888889</v>
      </c>
      <c r="F563" s="463">
        <v>300000.0</v>
      </c>
      <c r="G563" s="464">
        <f t="shared" si="21"/>
        <v>1276.595745</v>
      </c>
      <c r="H563" s="464">
        <f t="shared" si="7"/>
        <v>9.666666667</v>
      </c>
      <c r="I563" s="464">
        <f t="shared" si="3"/>
        <v>0</v>
      </c>
      <c r="J563" s="464">
        <f t="shared" si="4"/>
        <v>0</v>
      </c>
      <c r="K563" s="465">
        <f t="shared" si="5"/>
        <v>12340.42553</v>
      </c>
      <c r="L563" s="466"/>
      <c r="M563" s="466"/>
      <c r="N563" s="465">
        <f t="shared" si="33"/>
        <v>85.10638298</v>
      </c>
      <c r="O563" s="465">
        <f t="shared" si="6"/>
        <v>12255.31915</v>
      </c>
      <c r="P563" s="467"/>
    </row>
    <row r="564" ht="26.25" customHeight="1">
      <c r="A564" s="459">
        <v>45979.0</v>
      </c>
      <c r="B564" s="477" t="s">
        <v>2466</v>
      </c>
      <c r="C564" s="461" t="str">
        <f t="shared" si="1"/>
        <v>الثلاثاء</v>
      </c>
      <c r="D564" s="462">
        <v>0.3347222222222222</v>
      </c>
      <c r="E564" s="462">
        <v>0.7125</v>
      </c>
      <c r="F564" s="463">
        <v>300000.0</v>
      </c>
      <c r="G564" s="464">
        <f t="shared" si="21"/>
        <v>1276.595745</v>
      </c>
      <c r="H564" s="464">
        <f t="shared" si="7"/>
        <v>9.066666667</v>
      </c>
      <c r="I564" s="464">
        <f t="shared" si="3"/>
        <v>0</v>
      </c>
      <c r="J564" s="464">
        <f t="shared" si="4"/>
        <v>0</v>
      </c>
      <c r="K564" s="465">
        <f t="shared" si="5"/>
        <v>11574.46809</v>
      </c>
      <c r="L564" s="466"/>
      <c r="M564" s="466"/>
      <c r="N564" s="465">
        <f t="shared" si="33"/>
        <v>42.55319149</v>
      </c>
      <c r="O564" s="465">
        <f t="shared" si="6"/>
        <v>11531.91489</v>
      </c>
      <c r="P564" s="467"/>
    </row>
    <row r="565" ht="26.25" customHeight="1">
      <c r="A565" s="459">
        <v>45980.0</v>
      </c>
      <c r="B565" s="477" t="s">
        <v>2466</v>
      </c>
      <c r="C565" s="461" t="str">
        <f t="shared" si="1"/>
        <v>الأربعاء</v>
      </c>
      <c r="D565" s="462">
        <v>0.34791666666666665</v>
      </c>
      <c r="E565" s="462">
        <v>0.6486111111111111</v>
      </c>
      <c r="F565" s="463">
        <v>300000.0</v>
      </c>
      <c r="G565" s="464">
        <f t="shared" si="21"/>
        <v>1276.595745</v>
      </c>
      <c r="H565" s="464">
        <f t="shared" si="7"/>
        <v>7.216666667</v>
      </c>
      <c r="I565" s="464">
        <f t="shared" si="3"/>
        <v>0</v>
      </c>
      <c r="J565" s="464">
        <f t="shared" si="4"/>
        <v>0</v>
      </c>
      <c r="K565" s="465">
        <f t="shared" si="5"/>
        <v>9212.765957</v>
      </c>
      <c r="L565" s="466"/>
      <c r="M565" s="466"/>
      <c r="N565" s="465">
        <f t="shared" si="33"/>
        <v>446.8085106</v>
      </c>
      <c r="O565" s="465">
        <f t="shared" si="6"/>
        <v>8765.957447</v>
      </c>
      <c r="P565" s="467"/>
    </row>
    <row r="566" ht="26.25" customHeight="1">
      <c r="A566" s="459">
        <v>45985.0</v>
      </c>
      <c r="B566" s="477" t="s">
        <v>2466</v>
      </c>
      <c r="C566" s="461" t="str">
        <f t="shared" si="1"/>
        <v>الاثنين</v>
      </c>
      <c r="D566" s="462">
        <v>0.32708333333333334</v>
      </c>
      <c r="E566" s="462">
        <v>0.7180555555555556</v>
      </c>
      <c r="F566" s="463">
        <v>300000.0</v>
      </c>
      <c r="G566" s="464">
        <f t="shared" si="21"/>
        <v>1276.595745</v>
      </c>
      <c r="H566" s="464">
        <f t="shared" si="7"/>
        <v>9.383333333</v>
      </c>
      <c r="I566" s="464">
        <f t="shared" si="3"/>
        <v>0</v>
      </c>
      <c r="J566" s="464">
        <f t="shared" si="4"/>
        <v>0</v>
      </c>
      <c r="K566" s="465">
        <f t="shared" si="5"/>
        <v>11978.7234</v>
      </c>
      <c r="L566" s="466"/>
      <c r="M566" s="466"/>
      <c r="N566" s="465">
        <f t="shared" si="33"/>
        <v>0</v>
      </c>
      <c r="O566" s="465">
        <f t="shared" si="6"/>
        <v>11978.7234</v>
      </c>
      <c r="P566" s="470"/>
    </row>
    <row r="567" ht="26.25" customHeight="1">
      <c r="A567" s="459">
        <v>45986.0</v>
      </c>
      <c r="B567" s="477" t="s">
        <v>2466</v>
      </c>
      <c r="C567" s="461" t="str">
        <f t="shared" si="1"/>
        <v>الثلاثاء</v>
      </c>
      <c r="D567" s="462">
        <v>0.5993055555555555</v>
      </c>
      <c r="E567" s="462">
        <v>0.7840277777777778</v>
      </c>
      <c r="F567" s="463">
        <v>300000.0</v>
      </c>
      <c r="G567" s="464">
        <f t="shared" si="21"/>
        <v>1276.595745</v>
      </c>
      <c r="H567" s="464">
        <f t="shared" si="7"/>
        <v>3.616666667</v>
      </c>
      <c r="I567" s="464">
        <f t="shared" si="3"/>
        <v>0.8166666667</v>
      </c>
      <c r="J567" s="464">
        <f t="shared" si="4"/>
        <v>0</v>
      </c>
      <c r="K567" s="465">
        <f t="shared" si="5"/>
        <v>6180.851064</v>
      </c>
      <c r="L567" s="466"/>
      <c r="M567" s="466"/>
      <c r="N567" s="465">
        <f t="shared" si="33"/>
        <v>8148.93617</v>
      </c>
      <c r="O567" s="465">
        <f t="shared" si="6"/>
        <v>-1968.085106</v>
      </c>
      <c r="P567" s="467"/>
    </row>
    <row r="568" ht="26.25" customHeight="1">
      <c r="A568" s="459">
        <v>45987.0</v>
      </c>
      <c r="B568" s="477" t="s">
        <v>2466</v>
      </c>
      <c r="C568" s="461" t="str">
        <f t="shared" si="1"/>
        <v>الأربعاء</v>
      </c>
      <c r="D568" s="462">
        <v>0.3333333333333333</v>
      </c>
      <c r="E568" s="462">
        <v>0.6</v>
      </c>
      <c r="F568" s="463">
        <v>300000.0</v>
      </c>
      <c r="G568" s="464">
        <f t="shared" si="21"/>
        <v>1276.595745</v>
      </c>
      <c r="H568" s="464">
        <f t="shared" si="7"/>
        <v>6.4</v>
      </c>
      <c r="I568" s="464">
        <f t="shared" si="3"/>
        <v>0</v>
      </c>
      <c r="J568" s="464">
        <f t="shared" si="4"/>
        <v>0</v>
      </c>
      <c r="K568" s="465">
        <f t="shared" si="5"/>
        <v>8170.212766</v>
      </c>
      <c r="L568" s="466"/>
      <c r="M568" s="466"/>
      <c r="N568" s="465">
        <f t="shared" si="33"/>
        <v>0</v>
      </c>
      <c r="O568" s="465">
        <f t="shared" si="6"/>
        <v>8170.212766</v>
      </c>
      <c r="P568" s="467"/>
    </row>
    <row r="569" ht="26.25" customHeight="1">
      <c r="A569" s="459">
        <v>45988.0</v>
      </c>
      <c r="B569" s="477" t="s">
        <v>2466</v>
      </c>
      <c r="C569" s="461" t="str">
        <f t="shared" si="1"/>
        <v>الخميس</v>
      </c>
      <c r="D569" s="462">
        <v>0.6006944444444444</v>
      </c>
      <c r="E569" s="462">
        <v>0.8159722222222222</v>
      </c>
      <c r="F569" s="463">
        <v>300000.0</v>
      </c>
      <c r="G569" s="464">
        <f t="shared" si="21"/>
        <v>1276.595745</v>
      </c>
      <c r="H569" s="464">
        <f t="shared" si="7"/>
        <v>3.583333333</v>
      </c>
      <c r="I569" s="464">
        <f t="shared" si="3"/>
        <v>1.583333333</v>
      </c>
      <c r="J569" s="464">
        <f t="shared" si="4"/>
        <v>0</v>
      </c>
      <c r="K569" s="465">
        <f t="shared" si="5"/>
        <v>7606.382979</v>
      </c>
      <c r="L569" s="466"/>
      <c r="M569" s="465">
        <v>10000.0</v>
      </c>
      <c r="N569" s="465">
        <f t="shared" si="33"/>
        <v>8191.489362</v>
      </c>
      <c r="O569" s="465">
        <f t="shared" si="6"/>
        <v>-10585.10638</v>
      </c>
      <c r="P569" s="467"/>
    </row>
    <row r="570" ht="26.25" customHeight="1">
      <c r="A570" s="459">
        <v>45989.0</v>
      </c>
      <c r="B570" s="477" t="s">
        <v>2466</v>
      </c>
      <c r="C570" s="461" t="str">
        <f t="shared" si="1"/>
        <v>الجمعة</v>
      </c>
      <c r="D570" s="462">
        <v>0.3527777777777778</v>
      </c>
      <c r="E570" s="462">
        <v>0.7208333333333333</v>
      </c>
      <c r="F570" s="463">
        <v>300000.0</v>
      </c>
      <c r="G570" s="464">
        <f t="shared" si="21"/>
        <v>1276.595745</v>
      </c>
      <c r="H570" s="464">
        <f t="shared" si="7"/>
        <v>0</v>
      </c>
      <c r="I570" s="464">
        <f t="shared" si="3"/>
        <v>0</v>
      </c>
      <c r="J570" s="464">
        <f t="shared" si="4"/>
        <v>8.833333333</v>
      </c>
      <c r="K570" s="465">
        <f t="shared" si="5"/>
        <v>22553.19149</v>
      </c>
      <c r="L570" s="466"/>
      <c r="M570" s="466"/>
      <c r="N570" s="465">
        <f t="shared" si="33"/>
        <v>0</v>
      </c>
      <c r="O570" s="465">
        <f t="shared" si="6"/>
        <v>22553.19149</v>
      </c>
      <c r="P570" s="467"/>
    </row>
    <row r="571" ht="26.25" customHeight="1">
      <c r="A571" s="459">
        <v>45990.0</v>
      </c>
      <c r="B571" s="477" t="s">
        <v>2466</v>
      </c>
      <c r="C571" s="461" t="str">
        <f t="shared" si="1"/>
        <v>السبت</v>
      </c>
      <c r="D571" s="462">
        <v>0.3333333333333333</v>
      </c>
      <c r="E571" s="462">
        <v>0.7284722222222222</v>
      </c>
      <c r="F571" s="463">
        <v>300000.0</v>
      </c>
      <c r="G571" s="464">
        <f t="shared" si="21"/>
        <v>1276.595745</v>
      </c>
      <c r="H571" s="464">
        <f t="shared" si="7"/>
        <v>9.483333333</v>
      </c>
      <c r="I571" s="464">
        <f t="shared" si="3"/>
        <v>0</v>
      </c>
      <c r="J571" s="464">
        <f t="shared" si="4"/>
        <v>0</v>
      </c>
      <c r="K571" s="465">
        <f t="shared" si="5"/>
        <v>12106.38298</v>
      </c>
      <c r="L571" s="466"/>
      <c r="M571" s="466"/>
      <c r="N571" s="465">
        <f t="shared" si="33"/>
        <v>0</v>
      </c>
      <c r="O571" s="465">
        <f t="shared" si="6"/>
        <v>12106.38298</v>
      </c>
      <c r="P571" s="467"/>
    </row>
    <row r="572" ht="26.25" customHeight="1">
      <c r="A572" s="459">
        <v>45991.0</v>
      </c>
      <c r="B572" s="477" t="s">
        <v>2466</v>
      </c>
      <c r="C572" s="461" t="str">
        <f t="shared" si="1"/>
        <v>الأحد</v>
      </c>
      <c r="D572" s="462">
        <v>0.3333333333333333</v>
      </c>
      <c r="E572" s="462">
        <v>0.71875</v>
      </c>
      <c r="F572" s="463">
        <v>300000.0</v>
      </c>
      <c r="G572" s="464">
        <f t="shared" si="21"/>
        <v>1276.595745</v>
      </c>
      <c r="H572" s="464">
        <f t="shared" si="7"/>
        <v>9.25</v>
      </c>
      <c r="I572" s="464">
        <f t="shared" si="3"/>
        <v>0</v>
      </c>
      <c r="J572" s="464">
        <f t="shared" si="4"/>
        <v>0</v>
      </c>
      <c r="K572" s="465">
        <f t="shared" si="5"/>
        <v>11808.51064</v>
      </c>
      <c r="L572" s="466"/>
      <c r="M572" s="465">
        <v>50000.0</v>
      </c>
      <c r="N572" s="465">
        <f t="shared" si="33"/>
        <v>0</v>
      </c>
      <c r="O572" s="465">
        <f t="shared" si="6"/>
        <v>-38191.48936</v>
      </c>
      <c r="P572" s="467"/>
    </row>
    <row r="573" ht="26.25" customHeight="1">
      <c r="A573" s="459">
        <v>45964.0</v>
      </c>
      <c r="B573" s="477" t="s">
        <v>16</v>
      </c>
      <c r="C573" s="461" t="str">
        <f t="shared" si="1"/>
        <v>الاثنين</v>
      </c>
      <c r="D573" s="462">
        <v>0.5201388888888889</v>
      </c>
      <c r="E573" s="462">
        <v>0.7097222222222223</v>
      </c>
      <c r="F573" s="463">
        <v>650000.0</v>
      </c>
      <c r="G573" s="464">
        <f t="shared" si="21"/>
        <v>2765.957447</v>
      </c>
      <c r="H573" s="464">
        <f t="shared" si="7"/>
        <v>4.55</v>
      </c>
      <c r="I573" s="464">
        <f t="shared" si="3"/>
        <v>0</v>
      </c>
      <c r="J573" s="464">
        <f t="shared" si="4"/>
        <v>0</v>
      </c>
      <c r="K573" s="465">
        <f t="shared" si="5"/>
        <v>12585.10638</v>
      </c>
      <c r="L573" s="466"/>
      <c r="M573" s="466"/>
      <c r="N573" s="465">
        <f t="shared" si="33"/>
        <v>12400.70922</v>
      </c>
      <c r="O573" s="465">
        <f t="shared" si="6"/>
        <v>184.3971631</v>
      </c>
      <c r="P573" s="467"/>
    </row>
    <row r="574" ht="26.25" customHeight="1">
      <c r="A574" s="459">
        <v>45965.0</v>
      </c>
      <c r="B574" s="477" t="s">
        <v>16</v>
      </c>
      <c r="C574" s="461" t="str">
        <f t="shared" si="1"/>
        <v>الثلاثاء</v>
      </c>
      <c r="D574" s="462">
        <v>0.38680555555555557</v>
      </c>
      <c r="E574" s="462">
        <v>0.7888888888888889</v>
      </c>
      <c r="F574" s="463">
        <v>650000.0</v>
      </c>
      <c r="G574" s="464">
        <f t="shared" si="21"/>
        <v>2765.957447</v>
      </c>
      <c r="H574" s="464">
        <f t="shared" si="7"/>
        <v>8.716666667</v>
      </c>
      <c r="I574" s="464">
        <f t="shared" si="3"/>
        <v>0.9333333333</v>
      </c>
      <c r="J574" s="464">
        <f t="shared" si="4"/>
        <v>0</v>
      </c>
      <c r="K574" s="465">
        <f t="shared" si="5"/>
        <v>27982.2695</v>
      </c>
      <c r="L574" s="466"/>
      <c r="M574" s="466"/>
      <c r="N574" s="465">
        <f t="shared" si="33"/>
        <v>3549.64539</v>
      </c>
      <c r="O574" s="465">
        <f t="shared" si="6"/>
        <v>24432.62411</v>
      </c>
      <c r="P574" s="467"/>
    </row>
    <row r="575" ht="26.25" customHeight="1">
      <c r="A575" s="459">
        <v>45966.0</v>
      </c>
      <c r="B575" s="469" t="s">
        <v>16</v>
      </c>
      <c r="C575" s="461" t="str">
        <f t="shared" si="1"/>
        <v>الأربعاء</v>
      </c>
      <c r="D575" s="462">
        <v>0.40902777777777777</v>
      </c>
      <c r="E575" s="462">
        <v>0.73125</v>
      </c>
      <c r="F575" s="463">
        <v>650000.0</v>
      </c>
      <c r="G575" s="464">
        <f t="shared" si="21"/>
        <v>2765.957447</v>
      </c>
      <c r="H575" s="464">
        <f t="shared" si="7"/>
        <v>7.733333333</v>
      </c>
      <c r="I575" s="464">
        <f t="shared" si="3"/>
        <v>0</v>
      </c>
      <c r="J575" s="464">
        <f t="shared" si="4"/>
        <v>0</v>
      </c>
      <c r="K575" s="465">
        <f t="shared" si="5"/>
        <v>21390.07092</v>
      </c>
      <c r="L575" s="466"/>
      <c r="M575" s="466"/>
      <c r="N575" s="465">
        <f t="shared" si="33"/>
        <v>5024.822695</v>
      </c>
      <c r="O575" s="465">
        <f t="shared" si="6"/>
        <v>16365.24823</v>
      </c>
      <c r="P575" s="467"/>
    </row>
    <row r="576" ht="26.25" customHeight="1">
      <c r="A576" s="459">
        <v>45967.0</v>
      </c>
      <c r="B576" s="469" t="s">
        <v>16</v>
      </c>
      <c r="C576" s="461" t="str">
        <f t="shared" si="1"/>
        <v>الخميس</v>
      </c>
      <c r="D576" s="462">
        <v>0.41041666666666665</v>
      </c>
      <c r="E576" s="462">
        <v>0.7083333333333334</v>
      </c>
      <c r="F576" s="463">
        <v>650000.0</v>
      </c>
      <c r="G576" s="464">
        <f t="shared" si="21"/>
        <v>2765.957447</v>
      </c>
      <c r="H576" s="464">
        <f t="shared" si="7"/>
        <v>7.15</v>
      </c>
      <c r="I576" s="464">
        <f t="shared" si="3"/>
        <v>0</v>
      </c>
      <c r="J576" s="464">
        <f t="shared" si="4"/>
        <v>0</v>
      </c>
      <c r="K576" s="465">
        <f t="shared" si="5"/>
        <v>19776.59574</v>
      </c>
      <c r="L576" s="466"/>
      <c r="M576" s="466"/>
      <c r="N576" s="465">
        <f t="shared" si="33"/>
        <v>5117.021277</v>
      </c>
      <c r="O576" s="465">
        <f t="shared" si="6"/>
        <v>14659.57447</v>
      </c>
      <c r="P576" s="467"/>
    </row>
    <row r="577" ht="26.25" customHeight="1">
      <c r="A577" s="459">
        <v>45969.0</v>
      </c>
      <c r="B577" s="469" t="s">
        <v>16</v>
      </c>
      <c r="C577" s="461" t="str">
        <f t="shared" si="1"/>
        <v>السبت</v>
      </c>
      <c r="D577" s="462">
        <v>0.36875</v>
      </c>
      <c r="E577" s="462">
        <v>0.7083333333333334</v>
      </c>
      <c r="F577" s="463">
        <v>650000.0</v>
      </c>
      <c r="G577" s="464">
        <f t="shared" si="21"/>
        <v>2765.957447</v>
      </c>
      <c r="H577" s="464">
        <f t="shared" si="7"/>
        <v>8.15</v>
      </c>
      <c r="I577" s="464">
        <f t="shared" si="3"/>
        <v>0</v>
      </c>
      <c r="J577" s="464">
        <f t="shared" si="4"/>
        <v>0</v>
      </c>
      <c r="K577" s="465">
        <f t="shared" si="5"/>
        <v>22542.55319</v>
      </c>
      <c r="L577" s="466"/>
      <c r="M577" s="466"/>
      <c r="N577" s="465">
        <f t="shared" si="33"/>
        <v>2351.06383</v>
      </c>
      <c r="O577" s="465">
        <f t="shared" si="6"/>
        <v>20191.48936</v>
      </c>
      <c r="P577" s="467"/>
    </row>
    <row r="578" ht="26.25" customHeight="1">
      <c r="A578" s="459">
        <v>45970.0</v>
      </c>
      <c r="B578" s="469" t="s">
        <v>16</v>
      </c>
      <c r="C578" s="461" t="str">
        <f t="shared" si="1"/>
        <v>الأحد</v>
      </c>
      <c r="D578" s="462">
        <v>0.375</v>
      </c>
      <c r="E578" s="462">
        <v>0.7083333333333334</v>
      </c>
      <c r="F578" s="463">
        <v>650000.0</v>
      </c>
      <c r="G578" s="464">
        <f t="shared" si="21"/>
        <v>2765.957447</v>
      </c>
      <c r="H578" s="464">
        <f t="shared" si="7"/>
        <v>8</v>
      </c>
      <c r="I578" s="464">
        <f t="shared" si="3"/>
        <v>0</v>
      </c>
      <c r="J578" s="464">
        <f t="shared" si="4"/>
        <v>0</v>
      </c>
      <c r="K578" s="465">
        <f t="shared" si="5"/>
        <v>22127.65957</v>
      </c>
      <c r="L578" s="466"/>
      <c r="M578" s="466"/>
      <c r="N578" s="465">
        <f t="shared" si="33"/>
        <v>2765.957447</v>
      </c>
      <c r="O578" s="465">
        <f t="shared" si="6"/>
        <v>19361.70213</v>
      </c>
      <c r="P578" s="467"/>
    </row>
    <row r="579" ht="26.25" customHeight="1">
      <c r="A579" s="459">
        <v>45971.0</v>
      </c>
      <c r="B579" s="469" t="s">
        <v>16</v>
      </c>
      <c r="C579" s="461" t="str">
        <f t="shared" si="1"/>
        <v>الاثنين</v>
      </c>
      <c r="D579" s="462">
        <v>0.3701388888888889</v>
      </c>
      <c r="E579" s="462">
        <v>0.7083333333333334</v>
      </c>
      <c r="F579" s="463">
        <v>650000.0</v>
      </c>
      <c r="G579" s="464">
        <f t="shared" si="21"/>
        <v>2765.957447</v>
      </c>
      <c r="H579" s="464">
        <f t="shared" si="7"/>
        <v>8.116666667</v>
      </c>
      <c r="I579" s="464">
        <f t="shared" si="3"/>
        <v>0</v>
      </c>
      <c r="J579" s="464">
        <f t="shared" si="4"/>
        <v>0</v>
      </c>
      <c r="K579" s="465">
        <f t="shared" si="5"/>
        <v>22450.35461</v>
      </c>
      <c r="L579" s="466"/>
      <c r="M579" s="466"/>
      <c r="N579" s="465">
        <f t="shared" si="33"/>
        <v>2443.262411</v>
      </c>
      <c r="O579" s="465">
        <f t="shared" si="6"/>
        <v>20007.0922</v>
      </c>
      <c r="P579" s="467"/>
    </row>
    <row r="580" ht="26.25" customHeight="1">
      <c r="A580" s="459">
        <v>45972.0</v>
      </c>
      <c r="B580" s="461" t="s">
        <v>16</v>
      </c>
      <c r="C580" s="461" t="str">
        <f t="shared" si="1"/>
        <v>الثلاثاء</v>
      </c>
      <c r="D580" s="462">
        <v>0.375</v>
      </c>
      <c r="E580" s="462">
        <v>0.7083333333333334</v>
      </c>
      <c r="F580" s="463">
        <v>650000.0</v>
      </c>
      <c r="G580" s="464">
        <f t="shared" si="21"/>
        <v>2765.957447</v>
      </c>
      <c r="H580" s="464">
        <f t="shared" si="7"/>
        <v>8</v>
      </c>
      <c r="I580" s="464">
        <f t="shared" si="3"/>
        <v>0</v>
      </c>
      <c r="J580" s="464">
        <f t="shared" si="4"/>
        <v>0</v>
      </c>
      <c r="K580" s="465">
        <f t="shared" si="5"/>
        <v>22127.65957</v>
      </c>
      <c r="L580" s="466"/>
      <c r="M580" s="466"/>
      <c r="N580" s="465">
        <f t="shared" si="33"/>
        <v>2765.957447</v>
      </c>
      <c r="O580" s="465">
        <f t="shared" si="6"/>
        <v>19361.70213</v>
      </c>
      <c r="P580" s="467"/>
    </row>
    <row r="581" ht="26.25" customHeight="1">
      <c r="A581" s="459">
        <v>45973.0</v>
      </c>
      <c r="B581" s="461" t="s">
        <v>16</v>
      </c>
      <c r="C581" s="461" t="str">
        <f t="shared" si="1"/>
        <v>الأربعاء</v>
      </c>
      <c r="D581" s="462">
        <v>0.38333333333333336</v>
      </c>
      <c r="E581" s="462">
        <v>0.7083333333333334</v>
      </c>
      <c r="F581" s="463">
        <v>650000.0</v>
      </c>
      <c r="G581" s="464">
        <f t="shared" si="21"/>
        <v>2765.957447</v>
      </c>
      <c r="H581" s="464">
        <f t="shared" si="7"/>
        <v>7.8</v>
      </c>
      <c r="I581" s="464">
        <f t="shared" si="3"/>
        <v>0</v>
      </c>
      <c r="J581" s="464">
        <f t="shared" si="4"/>
        <v>0</v>
      </c>
      <c r="K581" s="465">
        <f t="shared" si="5"/>
        <v>21574.46809</v>
      </c>
      <c r="L581" s="466"/>
      <c r="M581" s="466"/>
      <c r="N581" s="465">
        <f t="shared" si="33"/>
        <v>3319.148936</v>
      </c>
      <c r="O581" s="465">
        <f t="shared" si="6"/>
        <v>18255.31915</v>
      </c>
      <c r="P581" s="467"/>
    </row>
    <row r="582" ht="26.25" customHeight="1">
      <c r="A582" s="459">
        <v>45976.0</v>
      </c>
      <c r="B582" s="461" t="s">
        <v>16</v>
      </c>
      <c r="C582" s="461" t="str">
        <f t="shared" si="1"/>
        <v>السبت</v>
      </c>
      <c r="D582" s="462">
        <v>0.3861111111111111</v>
      </c>
      <c r="E582" s="462">
        <v>0.6145833333333334</v>
      </c>
      <c r="F582" s="463">
        <v>650000.0</v>
      </c>
      <c r="G582" s="464">
        <f t="shared" si="21"/>
        <v>2765.957447</v>
      </c>
      <c r="H582" s="464">
        <f t="shared" si="7"/>
        <v>5.483333333</v>
      </c>
      <c r="I582" s="464">
        <f t="shared" si="3"/>
        <v>0</v>
      </c>
      <c r="J582" s="464">
        <f t="shared" si="4"/>
        <v>0</v>
      </c>
      <c r="K582" s="465">
        <f t="shared" si="5"/>
        <v>15166.66667</v>
      </c>
      <c r="L582" s="466"/>
      <c r="M582" s="466"/>
      <c r="N582" s="465">
        <f t="shared" si="33"/>
        <v>3503.546099</v>
      </c>
      <c r="O582" s="465">
        <f t="shared" si="6"/>
        <v>11663.12057</v>
      </c>
      <c r="P582" s="467"/>
    </row>
    <row r="583" ht="26.25" customHeight="1">
      <c r="A583" s="459">
        <v>45962.0</v>
      </c>
      <c r="B583" s="461" t="s">
        <v>24</v>
      </c>
      <c r="C583" s="461" t="str">
        <f t="shared" si="1"/>
        <v>السبت</v>
      </c>
      <c r="D583" s="462">
        <v>0.3333333333333333</v>
      </c>
      <c r="E583" s="462">
        <v>0.7513888888888889</v>
      </c>
      <c r="F583" s="463">
        <v>400000.0</v>
      </c>
      <c r="G583" s="464">
        <f t="shared" si="21"/>
        <v>1702.12766</v>
      </c>
      <c r="H583" s="464">
        <f t="shared" si="7"/>
        <v>10</v>
      </c>
      <c r="I583" s="464">
        <f t="shared" si="3"/>
        <v>0.03333333333</v>
      </c>
      <c r="J583" s="464">
        <f t="shared" si="4"/>
        <v>0</v>
      </c>
      <c r="K583" s="465">
        <f t="shared" si="5"/>
        <v>17106.38298</v>
      </c>
      <c r="L583" s="466"/>
      <c r="M583" s="466"/>
      <c r="N583" s="465">
        <f t="shared" si="33"/>
        <v>0</v>
      </c>
      <c r="O583" s="465">
        <f t="shared" si="6"/>
        <v>17106.38298</v>
      </c>
      <c r="P583" s="467"/>
    </row>
    <row r="584" ht="26.25" customHeight="1">
      <c r="A584" s="459">
        <v>45964.0</v>
      </c>
      <c r="B584" s="461" t="s">
        <v>24</v>
      </c>
      <c r="C584" s="461" t="str">
        <f t="shared" si="1"/>
        <v>الاثنين</v>
      </c>
      <c r="D584" s="462">
        <v>0.5430555555555555</v>
      </c>
      <c r="E584" s="462">
        <v>0.7083333333333334</v>
      </c>
      <c r="F584" s="463">
        <v>400000.0</v>
      </c>
      <c r="G584" s="464">
        <f t="shared" si="21"/>
        <v>1702.12766</v>
      </c>
      <c r="H584" s="464">
        <f t="shared" si="7"/>
        <v>3.966666667</v>
      </c>
      <c r="I584" s="464">
        <f t="shared" si="3"/>
        <v>0</v>
      </c>
      <c r="J584" s="464">
        <f t="shared" si="4"/>
        <v>0</v>
      </c>
      <c r="K584" s="465">
        <f t="shared" si="5"/>
        <v>6751.77305</v>
      </c>
      <c r="L584" s="466"/>
      <c r="M584" s="466"/>
      <c r="N584" s="465">
        <f t="shared" si="33"/>
        <v>8567.375887</v>
      </c>
      <c r="O584" s="465">
        <f t="shared" si="6"/>
        <v>-1815.602837</v>
      </c>
      <c r="P584" s="467"/>
    </row>
    <row r="585" ht="26.25" customHeight="1">
      <c r="A585" s="459">
        <v>45965.0</v>
      </c>
      <c r="B585" s="461" t="s">
        <v>24</v>
      </c>
      <c r="C585" s="461" t="str">
        <f t="shared" si="1"/>
        <v>الثلاثاء</v>
      </c>
      <c r="D585" s="462">
        <v>0.5291666666666667</v>
      </c>
      <c r="E585" s="462">
        <v>0.7125</v>
      </c>
      <c r="F585" s="463">
        <v>400000.0</v>
      </c>
      <c r="G585" s="464">
        <f t="shared" si="21"/>
        <v>1702.12766</v>
      </c>
      <c r="H585" s="464">
        <f t="shared" si="7"/>
        <v>4.4</v>
      </c>
      <c r="I585" s="464">
        <f t="shared" si="3"/>
        <v>0</v>
      </c>
      <c r="J585" s="464">
        <f t="shared" si="4"/>
        <v>0</v>
      </c>
      <c r="K585" s="465">
        <f t="shared" si="5"/>
        <v>7489.361702</v>
      </c>
      <c r="L585" s="466"/>
      <c r="M585" s="466"/>
      <c r="N585" s="465">
        <f t="shared" si="33"/>
        <v>8000</v>
      </c>
      <c r="O585" s="465">
        <f t="shared" si="6"/>
        <v>-510.6382979</v>
      </c>
      <c r="P585" s="467"/>
    </row>
    <row r="586" ht="26.25" customHeight="1">
      <c r="A586" s="459">
        <v>45966.0</v>
      </c>
      <c r="B586" s="461" t="s">
        <v>24</v>
      </c>
      <c r="C586" s="461" t="str">
        <f t="shared" si="1"/>
        <v>الأربعاء</v>
      </c>
      <c r="D586" s="462">
        <v>0.3333333333333333</v>
      </c>
      <c r="E586" s="462">
        <v>0.7125</v>
      </c>
      <c r="F586" s="463">
        <v>400000.0</v>
      </c>
      <c r="G586" s="464">
        <f t="shared" si="21"/>
        <v>1702.12766</v>
      </c>
      <c r="H586" s="464">
        <f t="shared" si="7"/>
        <v>9.1</v>
      </c>
      <c r="I586" s="464">
        <f t="shared" si="3"/>
        <v>0</v>
      </c>
      <c r="J586" s="464">
        <f t="shared" si="4"/>
        <v>0</v>
      </c>
      <c r="K586" s="465">
        <f t="shared" si="5"/>
        <v>15489.3617</v>
      </c>
      <c r="L586" s="466"/>
      <c r="M586" s="466"/>
      <c r="N586" s="465">
        <f t="shared" si="33"/>
        <v>0</v>
      </c>
      <c r="O586" s="465">
        <f t="shared" si="6"/>
        <v>15489.3617</v>
      </c>
      <c r="P586" s="467"/>
    </row>
    <row r="587" ht="26.25" customHeight="1">
      <c r="A587" s="459">
        <v>45967.0</v>
      </c>
      <c r="B587" s="461" t="s">
        <v>24</v>
      </c>
      <c r="C587" s="461" t="str">
        <f t="shared" si="1"/>
        <v>الخميس</v>
      </c>
      <c r="D587" s="462">
        <v>0.5444444444444444</v>
      </c>
      <c r="E587" s="462">
        <v>0.8708333333333333</v>
      </c>
      <c r="F587" s="463">
        <v>400000.0</v>
      </c>
      <c r="G587" s="464">
        <f t="shared" si="21"/>
        <v>1702.12766</v>
      </c>
      <c r="H587" s="464">
        <f t="shared" si="7"/>
        <v>4.933333333</v>
      </c>
      <c r="I587" s="464">
        <f t="shared" si="3"/>
        <v>2.9</v>
      </c>
      <c r="J587" s="464">
        <f t="shared" si="4"/>
        <v>0</v>
      </c>
      <c r="K587" s="465">
        <f t="shared" si="5"/>
        <v>15801.41844</v>
      </c>
      <c r="L587" s="466"/>
      <c r="M587" s="466"/>
      <c r="N587" s="465">
        <f t="shared" si="33"/>
        <v>8624.113475</v>
      </c>
      <c r="O587" s="465">
        <f t="shared" si="6"/>
        <v>7177.304965</v>
      </c>
      <c r="P587" s="467"/>
    </row>
    <row r="588" ht="26.25" customHeight="1">
      <c r="A588" s="459">
        <v>45962.0</v>
      </c>
      <c r="B588" s="460" t="s">
        <v>31</v>
      </c>
      <c r="C588" s="461" t="str">
        <f t="shared" si="1"/>
        <v>السبت</v>
      </c>
      <c r="D588" s="462">
        <v>0.34444444444444444</v>
      </c>
      <c r="E588" s="462">
        <v>0.7145833333333333</v>
      </c>
      <c r="F588" s="463">
        <v>700000.0</v>
      </c>
      <c r="G588" s="464">
        <f t="shared" si="21"/>
        <v>2978.723404</v>
      </c>
      <c r="H588" s="464">
        <f t="shared" si="7"/>
        <v>8.883333333</v>
      </c>
      <c r="I588" s="464">
        <f t="shared" si="3"/>
        <v>0</v>
      </c>
      <c r="J588" s="464">
        <f t="shared" si="4"/>
        <v>0</v>
      </c>
      <c r="K588" s="465">
        <f t="shared" si="5"/>
        <v>26460.99291</v>
      </c>
      <c r="L588" s="465">
        <v>517900.98199672665</v>
      </c>
      <c r="M588" s="466"/>
      <c r="N588" s="465">
        <f t="shared" si="33"/>
        <v>794.3262411</v>
      </c>
      <c r="O588" s="465">
        <f t="shared" si="6"/>
        <v>543567.6487</v>
      </c>
      <c r="P588" s="475" t="s">
        <v>2503</v>
      </c>
    </row>
    <row r="589" ht="26.25" customHeight="1">
      <c r="A589" s="459">
        <v>45963.0</v>
      </c>
      <c r="B589" s="460" t="s">
        <v>31</v>
      </c>
      <c r="C589" s="461" t="str">
        <f t="shared" si="1"/>
        <v>الأحد</v>
      </c>
      <c r="D589" s="462">
        <v>0.3333333333333333</v>
      </c>
      <c r="E589" s="462">
        <v>0.7083333333333334</v>
      </c>
      <c r="F589" s="463">
        <v>700000.0</v>
      </c>
      <c r="G589" s="464">
        <f t="shared" si="21"/>
        <v>2978.723404</v>
      </c>
      <c r="H589" s="464">
        <f t="shared" si="7"/>
        <v>9</v>
      </c>
      <c r="I589" s="464">
        <f t="shared" si="3"/>
        <v>0</v>
      </c>
      <c r="J589" s="464">
        <f t="shared" si="4"/>
        <v>0</v>
      </c>
      <c r="K589" s="465">
        <f t="shared" si="5"/>
        <v>26808.51064</v>
      </c>
      <c r="L589" s="466"/>
      <c r="M589" s="466"/>
      <c r="N589" s="465">
        <f t="shared" si="33"/>
        <v>0</v>
      </c>
      <c r="O589" s="465">
        <f t="shared" si="6"/>
        <v>26808.51064</v>
      </c>
      <c r="P589" s="467"/>
    </row>
    <row r="590" ht="26.25" customHeight="1">
      <c r="A590" s="459">
        <v>45964.0</v>
      </c>
      <c r="B590" s="461" t="s">
        <v>31</v>
      </c>
      <c r="C590" s="461" t="str">
        <f t="shared" si="1"/>
        <v>الاثنين</v>
      </c>
      <c r="D590" s="462">
        <v>0.34305555555555556</v>
      </c>
      <c r="E590" s="462">
        <v>0.6958333333333333</v>
      </c>
      <c r="F590" s="463">
        <v>700000.0</v>
      </c>
      <c r="G590" s="464">
        <f t="shared" si="21"/>
        <v>2978.723404</v>
      </c>
      <c r="H590" s="464">
        <f t="shared" si="7"/>
        <v>8.466666667</v>
      </c>
      <c r="I590" s="464">
        <f t="shared" si="3"/>
        <v>0</v>
      </c>
      <c r="J590" s="464">
        <f t="shared" si="4"/>
        <v>0</v>
      </c>
      <c r="K590" s="465">
        <f t="shared" si="5"/>
        <v>25219.85816</v>
      </c>
      <c r="L590" s="466"/>
      <c r="M590" s="466"/>
      <c r="N590" s="465">
        <f t="shared" si="33"/>
        <v>695.035461</v>
      </c>
      <c r="O590" s="465">
        <f t="shared" si="6"/>
        <v>24524.8227</v>
      </c>
      <c r="P590" s="467"/>
    </row>
    <row r="591" ht="26.25" customHeight="1">
      <c r="A591" s="459">
        <v>45965.0</v>
      </c>
      <c r="B591" s="461" t="s">
        <v>31</v>
      </c>
      <c r="C591" s="461" t="str">
        <f t="shared" si="1"/>
        <v>الثلاثاء</v>
      </c>
      <c r="D591" s="462">
        <v>0.35138888888888886</v>
      </c>
      <c r="E591" s="462">
        <v>0.6958333333333333</v>
      </c>
      <c r="F591" s="463">
        <v>700000.0</v>
      </c>
      <c r="G591" s="464">
        <f t="shared" si="21"/>
        <v>2978.723404</v>
      </c>
      <c r="H591" s="464">
        <f t="shared" si="7"/>
        <v>8.266666667</v>
      </c>
      <c r="I591" s="464">
        <f t="shared" si="3"/>
        <v>0</v>
      </c>
      <c r="J591" s="464">
        <f t="shared" si="4"/>
        <v>0</v>
      </c>
      <c r="K591" s="465">
        <f t="shared" si="5"/>
        <v>24624.11348</v>
      </c>
      <c r="L591" s="466"/>
      <c r="M591" s="466"/>
      <c r="N591" s="465">
        <f t="shared" si="33"/>
        <v>1290.780142</v>
      </c>
      <c r="O591" s="465">
        <f t="shared" si="6"/>
        <v>23333.33333</v>
      </c>
      <c r="P591" s="467"/>
    </row>
    <row r="592" ht="26.25" customHeight="1">
      <c r="A592" s="459">
        <v>45966.0</v>
      </c>
      <c r="B592" s="461" t="s">
        <v>31</v>
      </c>
      <c r="C592" s="461" t="str">
        <f t="shared" si="1"/>
        <v>الأربعاء</v>
      </c>
      <c r="D592" s="462">
        <v>0.35138888888888886</v>
      </c>
      <c r="E592" s="462">
        <v>0.7888888888888889</v>
      </c>
      <c r="F592" s="463">
        <v>700000.0</v>
      </c>
      <c r="G592" s="464">
        <f t="shared" si="21"/>
        <v>2978.723404</v>
      </c>
      <c r="H592" s="464">
        <f t="shared" si="7"/>
        <v>9.566666667</v>
      </c>
      <c r="I592" s="464">
        <f t="shared" si="3"/>
        <v>0.9333333333</v>
      </c>
      <c r="J592" s="464">
        <f t="shared" si="4"/>
        <v>0</v>
      </c>
      <c r="K592" s="465">
        <f t="shared" si="5"/>
        <v>32666.66667</v>
      </c>
      <c r="L592" s="466"/>
      <c r="M592" s="466"/>
      <c r="N592" s="465">
        <f t="shared" si="33"/>
        <v>1290.780142</v>
      </c>
      <c r="O592" s="465">
        <f t="shared" si="6"/>
        <v>31375.88652</v>
      </c>
      <c r="P592" s="467"/>
    </row>
    <row r="593" ht="26.25" customHeight="1">
      <c r="A593" s="459">
        <v>45967.0</v>
      </c>
      <c r="B593" s="461" t="s">
        <v>31</v>
      </c>
      <c r="C593" s="461" t="str">
        <f t="shared" si="1"/>
        <v>الخميس</v>
      </c>
      <c r="D593" s="462">
        <v>0.35138888888888886</v>
      </c>
      <c r="E593" s="462">
        <v>0.7083333333333334</v>
      </c>
      <c r="F593" s="463">
        <v>700000.0</v>
      </c>
      <c r="G593" s="464">
        <f t="shared" si="21"/>
        <v>2978.723404</v>
      </c>
      <c r="H593" s="464">
        <f t="shared" si="7"/>
        <v>8.566666667</v>
      </c>
      <c r="I593" s="464">
        <f t="shared" si="3"/>
        <v>0</v>
      </c>
      <c r="J593" s="464">
        <f t="shared" si="4"/>
        <v>0</v>
      </c>
      <c r="K593" s="465">
        <f t="shared" si="5"/>
        <v>25517.7305</v>
      </c>
      <c r="L593" s="466"/>
      <c r="M593" s="466"/>
      <c r="N593" s="465">
        <f t="shared" si="33"/>
        <v>1290.780142</v>
      </c>
      <c r="O593" s="465">
        <f t="shared" si="6"/>
        <v>24226.95035</v>
      </c>
      <c r="P593" s="467"/>
    </row>
    <row r="594" ht="26.25" customHeight="1">
      <c r="A594" s="459">
        <v>45969.0</v>
      </c>
      <c r="B594" s="461" t="s">
        <v>31</v>
      </c>
      <c r="C594" s="461" t="str">
        <f t="shared" si="1"/>
        <v>السبت</v>
      </c>
      <c r="D594" s="462">
        <v>0.3840277777777778</v>
      </c>
      <c r="E594" s="462">
        <v>0.7083333333333334</v>
      </c>
      <c r="F594" s="463">
        <v>700000.0</v>
      </c>
      <c r="G594" s="464">
        <f t="shared" si="21"/>
        <v>2978.723404</v>
      </c>
      <c r="H594" s="464">
        <f t="shared" si="7"/>
        <v>7.783333333</v>
      </c>
      <c r="I594" s="464">
        <f t="shared" si="3"/>
        <v>0</v>
      </c>
      <c r="J594" s="464">
        <f t="shared" si="4"/>
        <v>0</v>
      </c>
      <c r="K594" s="465">
        <f t="shared" si="5"/>
        <v>23184.39716</v>
      </c>
      <c r="L594" s="466"/>
      <c r="M594" s="466"/>
      <c r="N594" s="465">
        <f t="shared" si="33"/>
        <v>3624.113475</v>
      </c>
      <c r="O594" s="465">
        <f t="shared" si="6"/>
        <v>19560.28369</v>
      </c>
      <c r="P594" s="470"/>
    </row>
    <row r="595" ht="26.25" customHeight="1">
      <c r="A595" s="459">
        <v>45970.0</v>
      </c>
      <c r="B595" s="461" t="s">
        <v>31</v>
      </c>
      <c r="C595" s="461" t="str">
        <f t="shared" si="1"/>
        <v>الأحد</v>
      </c>
      <c r="D595" s="462">
        <v>0.3451388888888889</v>
      </c>
      <c r="E595" s="462">
        <v>0.7083333333333334</v>
      </c>
      <c r="F595" s="463">
        <v>700000.0</v>
      </c>
      <c r="G595" s="464">
        <f t="shared" si="21"/>
        <v>2978.723404</v>
      </c>
      <c r="H595" s="464">
        <f t="shared" si="7"/>
        <v>8.716666667</v>
      </c>
      <c r="I595" s="464">
        <f t="shared" si="3"/>
        <v>0</v>
      </c>
      <c r="J595" s="464">
        <f t="shared" si="4"/>
        <v>0</v>
      </c>
      <c r="K595" s="465">
        <f t="shared" si="5"/>
        <v>25964.53901</v>
      </c>
      <c r="L595" s="466"/>
      <c r="M595" s="466"/>
      <c r="N595" s="465">
        <f t="shared" si="33"/>
        <v>843.9716312</v>
      </c>
      <c r="O595" s="465">
        <f t="shared" si="6"/>
        <v>25120.56738</v>
      </c>
      <c r="P595" s="467"/>
    </row>
    <row r="596" ht="26.25" customHeight="1">
      <c r="A596" s="459">
        <v>45971.0</v>
      </c>
      <c r="B596" s="461" t="s">
        <v>31</v>
      </c>
      <c r="C596" s="461" t="str">
        <f t="shared" si="1"/>
        <v>الاثنين</v>
      </c>
      <c r="D596" s="462">
        <v>0.36527777777777776</v>
      </c>
      <c r="E596" s="462">
        <v>0.6104166666666667</v>
      </c>
      <c r="F596" s="463">
        <v>700000.0</v>
      </c>
      <c r="G596" s="464">
        <f t="shared" si="21"/>
        <v>2978.723404</v>
      </c>
      <c r="H596" s="464">
        <f t="shared" si="7"/>
        <v>5.883333333</v>
      </c>
      <c r="I596" s="464">
        <f t="shared" si="3"/>
        <v>0</v>
      </c>
      <c r="J596" s="464">
        <f t="shared" si="4"/>
        <v>0</v>
      </c>
      <c r="K596" s="465">
        <f t="shared" si="5"/>
        <v>17524.8227</v>
      </c>
      <c r="L596" s="466"/>
      <c r="M596" s="466"/>
      <c r="N596" s="465">
        <f t="shared" si="33"/>
        <v>2283.687943</v>
      </c>
      <c r="O596" s="465">
        <f t="shared" si="6"/>
        <v>15241.13475</v>
      </c>
      <c r="P596" s="467"/>
    </row>
    <row r="597" ht="26.25" customHeight="1">
      <c r="A597" s="459">
        <v>45974.0</v>
      </c>
      <c r="B597" s="461" t="s">
        <v>31</v>
      </c>
      <c r="C597" s="461" t="str">
        <f t="shared" si="1"/>
        <v>الخميس</v>
      </c>
      <c r="D597" s="462">
        <v>0.35138888888888886</v>
      </c>
      <c r="E597" s="462">
        <v>0.7083333333333334</v>
      </c>
      <c r="F597" s="463">
        <v>700000.0</v>
      </c>
      <c r="G597" s="464">
        <f t="shared" si="21"/>
        <v>2978.723404</v>
      </c>
      <c r="H597" s="464">
        <f t="shared" si="7"/>
        <v>8.566666667</v>
      </c>
      <c r="I597" s="464">
        <f t="shared" si="3"/>
        <v>0</v>
      </c>
      <c r="J597" s="464">
        <f t="shared" si="4"/>
        <v>0</v>
      </c>
      <c r="K597" s="465">
        <f t="shared" si="5"/>
        <v>25517.7305</v>
      </c>
      <c r="L597" s="466"/>
      <c r="M597" s="466"/>
      <c r="N597" s="465">
        <f t="shared" si="33"/>
        <v>1290.780142</v>
      </c>
      <c r="O597" s="465">
        <f t="shared" si="6"/>
        <v>24226.95035</v>
      </c>
      <c r="P597" s="467"/>
    </row>
    <row r="598" ht="26.25" customHeight="1">
      <c r="A598" s="459">
        <v>45979.0</v>
      </c>
      <c r="B598" s="461" t="s">
        <v>31</v>
      </c>
      <c r="C598" s="461" t="str">
        <f t="shared" si="1"/>
        <v>الثلاثاء</v>
      </c>
      <c r="D598" s="462">
        <v>0.3638888888888889</v>
      </c>
      <c r="E598" s="462">
        <v>0.7083333333333334</v>
      </c>
      <c r="F598" s="463">
        <v>700000.0</v>
      </c>
      <c r="G598" s="464">
        <f t="shared" si="21"/>
        <v>2978.723404</v>
      </c>
      <c r="H598" s="464">
        <f t="shared" si="7"/>
        <v>8.266666667</v>
      </c>
      <c r="I598" s="464">
        <f t="shared" si="3"/>
        <v>0</v>
      </c>
      <c r="J598" s="464">
        <f t="shared" si="4"/>
        <v>0</v>
      </c>
      <c r="K598" s="465">
        <f t="shared" si="5"/>
        <v>24624.11348</v>
      </c>
      <c r="L598" s="466"/>
      <c r="M598" s="466"/>
      <c r="N598" s="465">
        <f t="shared" si="33"/>
        <v>2184.397163</v>
      </c>
      <c r="O598" s="465">
        <f t="shared" si="6"/>
        <v>22439.71631</v>
      </c>
      <c r="P598" s="467"/>
    </row>
    <row r="599" ht="26.25" customHeight="1">
      <c r="A599" s="459">
        <v>45962.0</v>
      </c>
      <c r="B599" s="469" t="s">
        <v>20</v>
      </c>
      <c r="C599" s="461" t="str">
        <f t="shared" si="1"/>
        <v>السبت</v>
      </c>
      <c r="D599" s="462">
        <v>0.3423611111111111</v>
      </c>
      <c r="E599" s="462">
        <v>0.7083333333333334</v>
      </c>
      <c r="F599" s="463">
        <v>425000.0</v>
      </c>
      <c r="G599" s="464">
        <f t="shared" si="21"/>
        <v>1808.510638</v>
      </c>
      <c r="H599" s="464">
        <f t="shared" si="7"/>
        <v>8.783333333</v>
      </c>
      <c r="I599" s="464">
        <f t="shared" si="3"/>
        <v>0</v>
      </c>
      <c r="J599" s="464">
        <f t="shared" si="4"/>
        <v>0</v>
      </c>
      <c r="K599" s="465">
        <f t="shared" si="5"/>
        <v>15884.75177</v>
      </c>
      <c r="L599" s="466"/>
      <c r="M599" s="466"/>
      <c r="N599" s="465">
        <f t="shared" si="33"/>
        <v>391.8439716</v>
      </c>
      <c r="O599" s="465">
        <f t="shared" si="6"/>
        <v>15492.9078</v>
      </c>
      <c r="P599" s="467"/>
    </row>
    <row r="600" ht="26.25" customHeight="1">
      <c r="A600" s="459">
        <v>45963.0</v>
      </c>
      <c r="B600" s="469" t="s">
        <v>20</v>
      </c>
      <c r="C600" s="461" t="str">
        <f t="shared" si="1"/>
        <v>الأحد</v>
      </c>
      <c r="D600" s="462">
        <v>0.3541666666666667</v>
      </c>
      <c r="E600" s="462">
        <v>0.7083333333333334</v>
      </c>
      <c r="F600" s="463">
        <v>425000.0</v>
      </c>
      <c r="G600" s="464">
        <f t="shared" si="21"/>
        <v>1808.510638</v>
      </c>
      <c r="H600" s="464">
        <f t="shared" si="7"/>
        <v>8.5</v>
      </c>
      <c r="I600" s="464">
        <f t="shared" si="3"/>
        <v>0</v>
      </c>
      <c r="J600" s="464">
        <f t="shared" si="4"/>
        <v>0</v>
      </c>
      <c r="K600" s="465">
        <f t="shared" si="5"/>
        <v>15372.34043</v>
      </c>
      <c r="L600" s="466"/>
      <c r="M600" s="465">
        <v>381250.0</v>
      </c>
      <c r="N600" s="465">
        <f t="shared" si="33"/>
        <v>904.2553191</v>
      </c>
      <c r="O600" s="465">
        <f t="shared" si="6"/>
        <v>-366781.9149</v>
      </c>
      <c r="P600" s="468" t="s">
        <v>2504</v>
      </c>
    </row>
    <row r="601" ht="26.25" customHeight="1">
      <c r="A601" s="459">
        <v>45964.0</v>
      </c>
      <c r="B601" s="469" t="s">
        <v>20</v>
      </c>
      <c r="C601" s="461" t="str">
        <f t="shared" si="1"/>
        <v>الاثنين</v>
      </c>
      <c r="D601" s="462">
        <v>0.35208333333333336</v>
      </c>
      <c r="E601" s="462">
        <v>0.7159722222222222</v>
      </c>
      <c r="F601" s="463">
        <v>425000.0</v>
      </c>
      <c r="G601" s="464">
        <f t="shared" si="21"/>
        <v>1808.510638</v>
      </c>
      <c r="H601" s="464">
        <f t="shared" si="7"/>
        <v>8.733333333</v>
      </c>
      <c r="I601" s="464">
        <f t="shared" si="3"/>
        <v>0</v>
      </c>
      <c r="J601" s="464">
        <f t="shared" si="4"/>
        <v>0</v>
      </c>
      <c r="K601" s="465">
        <f t="shared" si="5"/>
        <v>15794.32624</v>
      </c>
      <c r="L601" s="466"/>
      <c r="M601" s="466"/>
      <c r="N601" s="465">
        <f t="shared" si="33"/>
        <v>813.8297872</v>
      </c>
      <c r="O601" s="465">
        <f t="shared" si="6"/>
        <v>14980.49645</v>
      </c>
      <c r="P601" s="467"/>
    </row>
    <row r="602" ht="26.25" customHeight="1">
      <c r="A602" s="459">
        <v>45965.0</v>
      </c>
      <c r="B602" s="469" t="s">
        <v>20</v>
      </c>
      <c r="C602" s="461" t="str">
        <f t="shared" si="1"/>
        <v>الثلاثاء</v>
      </c>
      <c r="D602" s="462">
        <v>0.3263888888888889</v>
      </c>
      <c r="E602" s="462">
        <v>0.7569444444444444</v>
      </c>
      <c r="F602" s="463">
        <v>425000.0</v>
      </c>
      <c r="G602" s="464">
        <f t="shared" si="21"/>
        <v>1808.510638</v>
      </c>
      <c r="H602" s="464">
        <f t="shared" si="7"/>
        <v>10.16666667</v>
      </c>
      <c r="I602" s="464">
        <f t="shared" si="3"/>
        <v>0.1666666667</v>
      </c>
      <c r="J602" s="464">
        <f t="shared" si="4"/>
        <v>0</v>
      </c>
      <c r="K602" s="465">
        <f t="shared" si="5"/>
        <v>18838.65248</v>
      </c>
      <c r="L602" s="466"/>
      <c r="M602" s="466"/>
      <c r="N602" s="465">
        <f t="shared" si="33"/>
        <v>0</v>
      </c>
      <c r="O602" s="465">
        <f t="shared" si="6"/>
        <v>18838.65248</v>
      </c>
      <c r="P602" s="467"/>
    </row>
    <row r="603" ht="26.25" customHeight="1">
      <c r="A603" s="459">
        <v>45966.0</v>
      </c>
      <c r="B603" s="469" t="s">
        <v>20</v>
      </c>
      <c r="C603" s="461" t="str">
        <f t="shared" si="1"/>
        <v>الأربعاء</v>
      </c>
      <c r="D603" s="462">
        <v>0.34305555555555556</v>
      </c>
      <c r="E603" s="462">
        <v>0.7118055555555556</v>
      </c>
      <c r="F603" s="463">
        <v>425000.0</v>
      </c>
      <c r="G603" s="464">
        <f t="shared" si="21"/>
        <v>1808.510638</v>
      </c>
      <c r="H603" s="464">
        <f t="shared" si="7"/>
        <v>8.85</v>
      </c>
      <c r="I603" s="464">
        <f t="shared" si="3"/>
        <v>0</v>
      </c>
      <c r="J603" s="464">
        <f t="shared" si="4"/>
        <v>0</v>
      </c>
      <c r="K603" s="465">
        <f t="shared" si="5"/>
        <v>16005.31915</v>
      </c>
      <c r="L603" s="466"/>
      <c r="M603" s="466"/>
      <c r="N603" s="465">
        <f t="shared" si="33"/>
        <v>421.9858156</v>
      </c>
      <c r="O603" s="465">
        <f t="shared" si="6"/>
        <v>15583.33333</v>
      </c>
      <c r="P603" s="467"/>
    </row>
    <row r="604" ht="26.25" customHeight="1">
      <c r="A604" s="459">
        <v>45969.0</v>
      </c>
      <c r="B604" s="469" t="s">
        <v>20</v>
      </c>
      <c r="C604" s="461" t="str">
        <f t="shared" si="1"/>
        <v>السبت</v>
      </c>
      <c r="D604" s="462">
        <v>0.35</v>
      </c>
      <c r="E604" s="462">
        <v>0.8340277777777778</v>
      </c>
      <c r="F604" s="463">
        <v>425000.0</v>
      </c>
      <c r="G604" s="464">
        <f t="shared" si="21"/>
        <v>1808.510638</v>
      </c>
      <c r="H604" s="464">
        <f t="shared" si="7"/>
        <v>9.6</v>
      </c>
      <c r="I604" s="464">
        <f t="shared" si="3"/>
        <v>2.016666667</v>
      </c>
      <c r="J604" s="464">
        <f t="shared" si="4"/>
        <v>0</v>
      </c>
      <c r="K604" s="465">
        <f t="shared" si="5"/>
        <v>22832.44681</v>
      </c>
      <c r="L604" s="466"/>
      <c r="M604" s="466"/>
      <c r="N604" s="465">
        <f t="shared" si="33"/>
        <v>723.4042553</v>
      </c>
      <c r="O604" s="465">
        <f t="shared" si="6"/>
        <v>22109.04255</v>
      </c>
      <c r="P604" s="467"/>
    </row>
    <row r="605" ht="26.25" customHeight="1">
      <c r="A605" s="459">
        <v>45970.0</v>
      </c>
      <c r="B605" s="469" t="s">
        <v>20</v>
      </c>
      <c r="C605" s="461" t="str">
        <f t="shared" si="1"/>
        <v>الأحد</v>
      </c>
      <c r="D605" s="462">
        <v>0.33541666666666664</v>
      </c>
      <c r="E605" s="462">
        <v>0.7083333333333334</v>
      </c>
      <c r="F605" s="463">
        <v>425000.0</v>
      </c>
      <c r="G605" s="464">
        <f t="shared" si="21"/>
        <v>1808.510638</v>
      </c>
      <c r="H605" s="464">
        <f t="shared" si="7"/>
        <v>8.95</v>
      </c>
      <c r="I605" s="464">
        <f t="shared" si="3"/>
        <v>0</v>
      </c>
      <c r="J605" s="464">
        <f t="shared" si="4"/>
        <v>0</v>
      </c>
      <c r="K605" s="465">
        <f t="shared" si="5"/>
        <v>16186.17021</v>
      </c>
      <c r="L605" s="466"/>
      <c r="M605" s="466"/>
      <c r="N605" s="465">
        <f t="shared" si="33"/>
        <v>90.42553191</v>
      </c>
      <c r="O605" s="465">
        <f t="shared" si="6"/>
        <v>16095.74468</v>
      </c>
      <c r="P605" s="467"/>
    </row>
    <row r="606" ht="26.25" customHeight="1">
      <c r="A606" s="459">
        <v>45971.0</v>
      </c>
      <c r="B606" s="469" t="s">
        <v>20</v>
      </c>
      <c r="C606" s="461" t="str">
        <f t="shared" si="1"/>
        <v>الاثنين</v>
      </c>
      <c r="D606" s="462">
        <v>0.3368055555555556</v>
      </c>
      <c r="E606" s="462">
        <v>0.7173611111111111</v>
      </c>
      <c r="F606" s="463">
        <v>425000.0</v>
      </c>
      <c r="G606" s="464">
        <f t="shared" si="21"/>
        <v>1808.510638</v>
      </c>
      <c r="H606" s="464">
        <f t="shared" si="7"/>
        <v>9.133333333</v>
      </c>
      <c r="I606" s="464">
        <f t="shared" si="3"/>
        <v>0</v>
      </c>
      <c r="J606" s="464">
        <f t="shared" si="4"/>
        <v>0</v>
      </c>
      <c r="K606" s="465">
        <f t="shared" si="5"/>
        <v>16517.7305</v>
      </c>
      <c r="L606" s="466"/>
      <c r="M606" s="465">
        <v>10000.0</v>
      </c>
      <c r="N606" s="465">
        <f t="shared" si="33"/>
        <v>150.7092199</v>
      </c>
      <c r="O606" s="465">
        <f t="shared" si="6"/>
        <v>6367.021277</v>
      </c>
      <c r="P606" s="467"/>
    </row>
    <row r="607" ht="26.25" customHeight="1">
      <c r="A607" s="459">
        <v>45973.0</v>
      </c>
      <c r="B607" s="469" t="s">
        <v>20</v>
      </c>
      <c r="C607" s="461" t="str">
        <f t="shared" si="1"/>
        <v>الأربعاء</v>
      </c>
      <c r="D607" s="462">
        <v>0.3402777777777778</v>
      </c>
      <c r="E607" s="462">
        <v>0.8743055555555556</v>
      </c>
      <c r="F607" s="463">
        <v>425000.0</v>
      </c>
      <c r="G607" s="464">
        <f t="shared" si="21"/>
        <v>1808.510638</v>
      </c>
      <c r="H607" s="464">
        <f t="shared" si="7"/>
        <v>9.833333333</v>
      </c>
      <c r="I607" s="464">
        <f t="shared" si="3"/>
        <v>2.983333333</v>
      </c>
      <c r="J607" s="464">
        <f t="shared" si="4"/>
        <v>0</v>
      </c>
      <c r="K607" s="465">
        <f t="shared" si="5"/>
        <v>25876.77305</v>
      </c>
      <c r="L607" s="466"/>
      <c r="M607" s="466"/>
      <c r="N607" s="465">
        <f t="shared" si="33"/>
        <v>301.4184397</v>
      </c>
      <c r="O607" s="465">
        <f t="shared" si="6"/>
        <v>25575.35461</v>
      </c>
      <c r="P607" s="467"/>
    </row>
    <row r="608" ht="26.25" customHeight="1">
      <c r="A608" s="459">
        <v>45974.0</v>
      </c>
      <c r="B608" s="460" t="s">
        <v>20</v>
      </c>
      <c r="C608" s="461" t="str">
        <f t="shared" si="1"/>
        <v>الخميس</v>
      </c>
      <c r="D608" s="462">
        <v>0.34097222222222223</v>
      </c>
      <c r="E608" s="462">
        <v>0.7083333333333334</v>
      </c>
      <c r="F608" s="463">
        <v>425000.0</v>
      </c>
      <c r="G608" s="464">
        <f t="shared" si="21"/>
        <v>1808.510638</v>
      </c>
      <c r="H608" s="464">
        <f t="shared" si="7"/>
        <v>8.816666667</v>
      </c>
      <c r="I608" s="464">
        <f t="shared" si="3"/>
        <v>0</v>
      </c>
      <c r="J608" s="464">
        <f t="shared" si="4"/>
        <v>0</v>
      </c>
      <c r="K608" s="465">
        <f t="shared" si="5"/>
        <v>15945.03546</v>
      </c>
      <c r="L608" s="466"/>
      <c r="M608" s="466"/>
      <c r="N608" s="465">
        <f t="shared" si="33"/>
        <v>331.5602837</v>
      </c>
      <c r="O608" s="465">
        <f t="shared" si="6"/>
        <v>15613.47518</v>
      </c>
      <c r="P608" s="467"/>
    </row>
    <row r="609" ht="26.25" customHeight="1">
      <c r="A609" s="459">
        <v>45976.0</v>
      </c>
      <c r="B609" s="460" t="s">
        <v>20</v>
      </c>
      <c r="C609" s="461" t="str">
        <f t="shared" si="1"/>
        <v>السبت</v>
      </c>
      <c r="D609" s="462">
        <v>0.30625</v>
      </c>
      <c r="E609" s="462">
        <v>0.7083333333333334</v>
      </c>
      <c r="F609" s="463">
        <v>425000.0</v>
      </c>
      <c r="G609" s="464">
        <f t="shared" si="21"/>
        <v>1808.510638</v>
      </c>
      <c r="H609" s="464">
        <f t="shared" si="7"/>
        <v>9.65</v>
      </c>
      <c r="I609" s="464">
        <f t="shared" si="3"/>
        <v>0</v>
      </c>
      <c r="J609" s="464">
        <f t="shared" si="4"/>
        <v>0</v>
      </c>
      <c r="K609" s="465">
        <f t="shared" si="5"/>
        <v>17452.12766</v>
      </c>
      <c r="L609" s="466"/>
      <c r="M609" s="466"/>
      <c r="N609" s="465">
        <f t="shared" si="33"/>
        <v>0</v>
      </c>
      <c r="O609" s="465">
        <f t="shared" si="6"/>
        <v>17452.12766</v>
      </c>
      <c r="P609" s="467"/>
    </row>
    <row r="610" ht="26.25" customHeight="1">
      <c r="A610" s="459">
        <v>45977.0</v>
      </c>
      <c r="B610" s="460" t="s">
        <v>20</v>
      </c>
      <c r="C610" s="461" t="str">
        <f t="shared" si="1"/>
        <v>الأحد</v>
      </c>
      <c r="D610" s="462">
        <v>0.3388888888888889</v>
      </c>
      <c r="E610" s="462">
        <v>0.7083333333333334</v>
      </c>
      <c r="F610" s="463">
        <v>425000.0</v>
      </c>
      <c r="G610" s="464">
        <f t="shared" si="21"/>
        <v>1808.510638</v>
      </c>
      <c r="H610" s="464">
        <f t="shared" si="7"/>
        <v>8.866666667</v>
      </c>
      <c r="I610" s="464">
        <f t="shared" si="3"/>
        <v>0</v>
      </c>
      <c r="J610" s="464">
        <f t="shared" si="4"/>
        <v>0</v>
      </c>
      <c r="K610" s="465">
        <f t="shared" si="5"/>
        <v>16035.46099</v>
      </c>
      <c r="L610" s="466"/>
      <c r="M610" s="466"/>
      <c r="N610" s="465">
        <f t="shared" si="33"/>
        <v>241.1347518</v>
      </c>
      <c r="O610" s="465">
        <f t="shared" si="6"/>
        <v>15794.32624</v>
      </c>
      <c r="P610" s="470"/>
    </row>
    <row r="611" ht="26.25" customHeight="1">
      <c r="A611" s="459">
        <v>45978.0</v>
      </c>
      <c r="B611" s="460" t="s">
        <v>20</v>
      </c>
      <c r="C611" s="461" t="str">
        <f t="shared" si="1"/>
        <v>الاثنين</v>
      </c>
      <c r="D611" s="462">
        <v>0.3368055555555556</v>
      </c>
      <c r="E611" s="462">
        <v>0.7083333333333334</v>
      </c>
      <c r="F611" s="463">
        <v>425000.0</v>
      </c>
      <c r="G611" s="464">
        <f t="shared" si="21"/>
        <v>1808.510638</v>
      </c>
      <c r="H611" s="464">
        <f t="shared" si="7"/>
        <v>8.916666667</v>
      </c>
      <c r="I611" s="464">
        <f t="shared" si="3"/>
        <v>0</v>
      </c>
      <c r="J611" s="464">
        <f t="shared" si="4"/>
        <v>0</v>
      </c>
      <c r="K611" s="465">
        <f t="shared" si="5"/>
        <v>16125.88652</v>
      </c>
      <c r="L611" s="466"/>
      <c r="M611" s="465">
        <v>5000.0</v>
      </c>
      <c r="N611" s="465">
        <f t="shared" si="33"/>
        <v>150.7092199</v>
      </c>
      <c r="O611" s="465">
        <f t="shared" si="6"/>
        <v>10975.1773</v>
      </c>
      <c r="P611" s="467"/>
    </row>
    <row r="612" ht="26.25" customHeight="1">
      <c r="A612" s="459">
        <v>45979.0</v>
      </c>
      <c r="B612" s="460" t="s">
        <v>20</v>
      </c>
      <c r="C612" s="461" t="str">
        <f t="shared" si="1"/>
        <v>الثلاثاء</v>
      </c>
      <c r="D612" s="462">
        <v>0.3402777777777778</v>
      </c>
      <c r="E612" s="462">
        <v>0.7333333333333333</v>
      </c>
      <c r="F612" s="463">
        <v>425000.0</v>
      </c>
      <c r="G612" s="464">
        <f t="shared" si="21"/>
        <v>1808.510638</v>
      </c>
      <c r="H612" s="464">
        <f t="shared" si="7"/>
        <v>9.433333333</v>
      </c>
      <c r="I612" s="464">
        <f t="shared" si="3"/>
        <v>0</v>
      </c>
      <c r="J612" s="464">
        <f t="shared" si="4"/>
        <v>0</v>
      </c>
      <c r="K612" s="465">
        <f t="shared" si="5"/>
        <v>17060.28369</v>
      </c>
      <c r="L612" s="466"/>
      <c r="M612" s="465">
        <v>25000.0</v>
      </c>
      <c r="N612" s="465">
        <f t="shared" si="33"/>
        <v>301.4184397</v>
      </c>
      <c r="O612" s="465">
        <f t="shared" si="6"/>
        <v>-8241.134752</v>
      </c>
      <c r="P612" s="467"/>
    </row>
    <row r="613" ht="26.25" customHeight="1">
      <c r="A613" s="459">
        <v>45980.0</v>
      </c>
      <c r="B613" s="472" t="s">
        <v>20</v>
      </c>
      <c r="C613" s="461" t="str">
        <f t="shared" si="1"/>
        <v>الأربعاء</v>
      </c>
      <c r="D613" s="462">
        <v>0.5409722222222222</v>
      </c>
      <c r="E613" s="462">
        <v>0.8041666666666667</v>
      </c>
      <c r="F613" s="463">
        <v>425000.0</v>
      </c>
      <c r="G613" s="464">
        <f t="shared" si="21"/>
        <v>1808.510638</v>
      </c>
      <c r="H613" s="464">
        <f t="shared" si="7"/>
        <v>5.016666667</v>
      </c>
      <c r="I613" s="464">
        <f t="shared" si="3"/>
        <v>1.3</v>
      </c>
      <c r="J613" s="464">
        <f t="shared" si="4"/>
        <v>0</v>
      </c>
      <c r="K613" s="465">
        <f t="shared" si="5"/>
        <v>12599.29078</v>
      </c>
      <c r="L613" s="466"/>
      <c r="M613" s="466"/>
      <c r="N613" s="465">
        <f t="shared" si="33"/>
        <v>9012.411348</v>
      </c>
      <c r="O613" s="465">
        <f t="shared" si="6"/>
        <v>3586.879433</v>
      </c>
      <c r="P613" s="467"/>
    </row>
    <row r="614" ht="26.25" customHeight="1">
      <c r="A614" s="459">
        <v>45981.0</v>
      </c>
      <c r="B614" s="472" t="s">
        <v>20</v>
      </c>
      <c r="C614" s="461" t="str">
        <f t="shared" si="1"/>
        <v>الخميس</v>
      </c>
      <c r="D614" s="462">
        <v>0.3875</v>
      </c>
      <c r="E614" s="462">
        <v>0.9354166666666667</v>
      </c>
      <c r="F614" s="463">
        <v>425000.0</v>
      </c>
      <c r="G614" s="464">
        <f t="shared" si="21"/>
        <v>1808.510638</v>
      </c>
      <c r="H614" s="464">
        <f t="shared" si="7"/>
        <v>8.7</v>
      </c>
      <c r="I614" s="464">
        <f t="shared" si="3"/>
        <v>4.45</v>
      </c>
      <c r="J614" s="464">
        <f t="shared" si="4"/>
        <v>0</v>
      </c>
      <c r="K614" s="465">
        <f t="shared" si="5"/>
        <v>27805.85106</v>
      </c>
      <c r="L614" s="466"/>
      <c r="M614" s="465">
        <v>10000.0</v>
      </c>
      <c r="N614" s="465">
        <f t="shared" si="33"/>
        <v>2351.06383</v>
      </c>
      <c r="O614" s="465">
        <f t="shared" si="6"/>
        <v>15454.78723</v>
      </c>
      <c r="P614" s="467"/>
    </row>
    <row r="615" ht="26.25" customHeight="1">
      <c r="A615" s="459">
        <v>45982.0</v>
      </c>
      <c r="B615" s="472" t="s">
        <v>20</v>
      </c>
      <c r="C615" s="461" t="str">
        <f t="shared" si="1"/>
        <v>الجمعة</v>
      </c>
      <c r="D615" s="462">
        <v>0.5055555555555555</v>
      </c>
      <c r="E615" s="462">
        <v>0.9965277777777778</v>
      </c>
      <c r="F615" s="463">
        <v>425000.0</v>
      </c>
      <c r="G615" s="464">
        <f t="shared" si="21"/>
        <v>1808.510638</v>
      </c>
      <c r="H615" s="464">
        <f t="shared" si="7"/>
        <v>0</v>
      </c>
      <c r="I615" s="464">
        <f t="shared" si="3"/>
        <v>0</v>
      </c>
      <c r="J615" s="464">
        <f t="shared" si="4"/>
        <v>11.78333333</v>
      </c>
      <c r="K615" s="465">
        <f t="shared" si="5"/>
        <v>42620.56738</v>
      </c>
      <c r="L615" s="466"/>
      <c r="M615" s="466"/>
      <c r="N615" s="465">
        <f t="shared" si="33"/>
        <v>0</v>
      </c>
      <c r="O615" s="465">
        <f t="shared" si="6"/>
        <v>42620.56738</v>
      </c>
      <c r="P615" s="467"/>
    </row>
    <row r="616" ht="26.25" customHeight="1">
      <c r="A616" s="459">
        <v>45983.0</v>
      </c>
      <c r="B616" s="472" t="s">
        <v>20</v>
      </c>
      <c r="C616" s="461" t="str">
        <f t="shared" si="1"/>
        <v>السبت</v>
      </c>
      <c r="D616" s="462">
        <v>0.3451388888888889</v>
      </c>
      <c r="E616" s="462">
        <v>0.80625</v>
      </c>
      <c r="F616" s="463">
        <v>425000.0</v>
      </c>
      <c r="G616" s="464">
        <f t="shared" si="21"/>
        <v>1808.510638</v>
      </c>
      <c r="H616" s="464">
        <f t="shared" si="7"/>
        <v>9.716666667</v>
      </c>
      <c r="I616" s="464">
        <f t="shared" si="3"/>
        <v>1.35</v>
      </c>
      <c r="J616" s="464">
        <f t="shared" si="4"/>
        <v>0</v>
      </c>
      <c r="K616" s="465">
        <f t="shared" si="5"/>
        <v>21234.92908</v>
      </c>
      <c r="L616" s="466"/>
      <c r="M616" s="465">
        <v>35000.0</v>
      </c>
      <c r="N616" s="465">
        <f t="shared" si="33"/>
        <v>512.4113475</v>
      </c>
      <c r="O616" s="465">
        <f t="shared" si="6"/>
        <v>-14277.48227</v>
      </c>
      <c r="P616" s="467"/>
    </row>
    <row r="617" ht="26.25" customHeight="1">
      <c r="A617" s="459">
        <v>45984.0</v>
      </c>
      <c r="B617" s="472" t="s">
        <v>20</v>
      </c>
      <c r="C617" s="461" t="str">
        <f t="shared" si="1"/>
        <v>الأحد</v>
      </c>
      <c r="D617" s="462">
        <v>0.3597222222222222</v>
      </c>
      <c r="E617" s="462">
        <v>0.7131944444444445</v>
      </c>
      <c r="F617" s="463">
        <v>425000.0</v>
      </c>
      <c r="G617" s="464">
        <f t="shared" si="21"/>
        <v>1808.510638</v>
      </c>
      <c r="H617" s="464">
        <f t="shared" si="7"/>
        <v>8.483333333</v>
      </c>
      <c r="I617" s="464">
        <f t="shared" si="3"/>
        <v>0</v>
      </c>
      <c r="J617" s="464">
        <f t="shared" si="4"/>
        <v>0</v>
      </c>
      <c r="K617" s="465">
        <f t="shared" si="5"/>
        <v>15342.19858</v>
      </c>
      <c r="L617" s="466"/>
      <c r="M617" s="466"/>
      <c r="N617" s="465">
        <f t="shared" si="33"/>
        <v>1145.390071</v>
      </c>
      <c r="O617" s="465">
        <f t="shared" si="6"/>
        <v>14196.80851</v>
      </c>
      <c r="P617" s="467"/>
    </row>
    <row r="618" ht="26.25" customHeight="1">
      <c r="A618" s="459">
        <v>45985.0</v>
      </c>
      <c r="B618" s="472" t="s">
        <v>20</v>
      </c>
      <c r="C618" s="461" t="str">
        <f t="shared" si="1"/>
        <v>الاثنين</v>
      </c>
      <c r="D618" s="462">
        <v>0.3506944444444444</v>
      </c>
      <c r="E618" s="462">
        <v>0.8590277777777777</v>
      </c>
      <c r="F618" s="463">
        <v>425000.0</v>
      </c>
      <c r="G618" s="464">
        <f t="shared" si="21"/>
        <v>1808.510638</v>
      </c>
      <c r="H618" s="464">
        <f t="shared" si="7"/>
        <v>9.583333333</v>
      </c>
      <c r="I618" s="464">
        <f t="shared" si="3"/>
        <v>2.616666667</v>
      </c>
      <c r="J618" s="464">
        <f t="shared" si="4"/>
        <v>0</v>
      </c>
      <c r="K618" s="465">
        <f t="shared" si="5"/>
        <v>24429.96454</v>
      </c>
      <c r="L618" s="466"/>
      <c r="M618" s="466"/>
      <c r="N618" s="465">
        <f t="shared" si="33"/>
        <v>753.5460993</v>
      </c>
      <c r="O618" s="465">
        <f t="shared" si="6"/>
        <v>23676.41844</v>
      </c>
      <c r="P618" s="467"/>
    </row>
    <row r="619" ht="26.25" customHeight="1">
      <c r="A619" s="459">
        <v>45986.0</v>
      </c>
      <c r="B619" s="472" t="s">
        <v>20</v>
      </c>
      <c r="C619" s="461" t="str">
        <f t="shared" si="1"/>
        <v>الثلاثاء</v>
      </c>
      <c r="D619" s="462">
        <v>0.48541666666666666</v>
      </c>
      <c r="E619" s="462">
        <v>0.7097222222222223</v>
      </c>
      <c r="F619" s="463">
        <v>425000.0</v>
      </c>
      <c r="G619" s="464">
        <f t="shared" si="21"/>
        <v>1808.510638</v>
      </c>
      <c r="H619" s="464">
        <f t="shared" si="7"/>
        <v>5.383333333</v>
      </c>
      <c r="I619" s="464">
        <f t="shared" si="3"/>
        <v>0</v>
      </c>
      <c r="J619" s="464">
        <f t="shared" si="4"/>
        <v>0</v>
      </c>
      <c r="K619" s="465">
        <f t="shared" si="5"/>
        <v>9735.815603</v>
      </c>
      <c r="L619" s="466"/>
      <c r="M619" s="466"/>
      <c r="N619" s="465">
        <f t="shared" si="33"/>
        <v>6601.06383</v>
      </c>
      <c r="O619" s="465">
        <f t="shared" si="6"/>
        <v>3134.751773</v>
      </c>
      <c r="P619" s="467"/>
    </row>
    <row r="620" ht="26.25" customHeight="1">
      <c r="A620" s="459">
        <v>45987.0</v>
      </c>
      <c r="B620" s="472" t="s">
        <v>20</v>
      </c>
      <c r="C620" s="461" t="str">
        <f t="shared" si="1"/>
        <v>الأربعاء</v>
      </c>
      <c r="D620" s="462">
        <v>0.09861111111111111</v>
      </c>
      <c r="E620" s="462">
        <v>0.7083333333333334</v>
      </c>
      <c r="F620" s="463">
        <v>425000.0</v>
      </c>
      <c r="G620" s="464">
        <f t="shared" si="21"/>
        <v>1808.510638</v>
      </c>
      <c r="H620" s="464">
        <f t="shared" si="7"/>
        <v>11</v>
      </c>
      <c r="I620" s="464">
        <f t="shared" si="3"/>
        <v>3.633333333</v>
      </c>
      <c r="J620" s="464">
        <f t="shared" si="4"/>
        <v>0</v>
      </c>
      <c r="K620" s="465">
        <f t="shared" si="5"/>
        <v>29750</v>
      </c>
      <c r="L620" s="466"/>
      <c r="M620" s="465">
        <v>10000.0</v>
      </c>
      <c r="N620" s="465">
        <f t="shared" si="33"/>
        <v>0</v>
      </c>
      <c r="O620" s="465">
        <f t="shared" si="6"/>
        <v>19750</v>
      </c>
      <c r="P620" s="467"/>
    </row>
    <row r="621" ht="26.25" customHeight="1">
      <c r="A621" s="459">
        <v>45988.0</v>
      </c>
      <c r="B621" s="472" t="s">
        <v>20</v>
      </c>
      <c r="C621" s="461" t="str">
        <f t="shared" si="1"/>
        <v>الخميس</v>
      </c>
      <c r="D621" s="462">
        <v>0.5034722222222222</v>
      </c>
      <c r="E621" s="462">
        <v>0.8965277777777778</v>
      </c>
      <c r="F621" s="463">
        <v>425000.0</v>
      </c>
      <c r="G621" s="464">
        <f t="shared" si="21"/>
        <v>1808.510638</v>
      </c>
      <c r="H621" s="464">
        <f t="shared" si="7"/>
        <v>5.916666667</v>
      </c>
      <c r="I621" s="464">
        <f t="shared" si="3"/>
        <v>3.516666667</v>
      </c>
      <c r="J621" s="464">
        <f t="shared" si="4"/>
        <v>0</v>
      </c>
      <c r="K621" s="465">
        <f t="shared" si="5"/>
        <v>20240.24823</v>
      </c>
      <c r="L621" s="466"/>
      <c r="M621" s="466"/>
      <c r="N621" s="465">
        <f t="shared" si="33"/>
        <v>7384.751773</v>
      </c>
      <c r="O621" s="465">
        <f t="shared" si="6"/>
        <v>12855.49645</v>
      </c>
      <c r="P621" s="467"/>
    </row>
    <row r="622" ht="26.25" customHeight="1">
      <c r="A622" s="459">
        <v>45990.0</v>
      </c>
      <c r="B622" s="472" t="s">
        <v>20</v>
      </c>
      <c r="C622" s="461" t="str">
        <f t="shared" si="1"/>
        <v>السبت</v>
      </c>
      <c r="D622" s="462">
        <v>0.37083333333333335</v>
      </c>
      <c r="E622" s="462">
        <v>0.8444444444444444</v>
      </c>
      <c r="F622" s="463">
        <v>425000.0</v>
      </c>
      <c r="G622" s="464">
        <f t="shared" si="21"/>
        <v>1808.510638</v>
      </c>
      <c r="H622" s="464">
        <f t="shared" si="7"/>
        <v>9.1</v>
      </c>
      <c r="I622" s="464">
        <f t="shared" si="3"/>
        <v>2.266666667</v>
      </c>
      <c r="J622" s="464">
        <f t="shared" si="4"/>
        <v>0</v>
      </c>
      <c r="K622" s="465">
        <f t="shared" si="5"/>
        <v>22606.38298</v>
      </c>
      <c r="L622" s="466"/>
      <c r="M622" s="465">
        <v>75000.0</v>
      </c>
      <c r="N622" s="465">
        <f t="shared" si="33"/>
        <v>1627.659574</v>
      </c>
      <c r="O622" s="465">
        <f t="shared" si="6"/>
        <v>-54021.2766</v>
      </c>
      <c r="P622" s="467"/>
    </row>
    <row r="623" ht="26.25" customHeight="1">
      <c r="A623" s="459">
        <v>45991.0</v>
      </c>
      <c r="B623" s="472" t="s">
        <v>20</v>
      </c>
      <c r="C623" s="461" t="str">
        <f t="shared" si="1"/>
        <v>الأحد</v>
      </c>
      <c r="D623" s="462">
        <v>0.38263888888888886</v>
      </c>
      <c r="E623" s="462">
        <v>0.7993055555555556</v>
      </c>
      <c r="F623" s="463">
        <v>425000.0</v>
      </c>
      <c r="G623" s="464">
        <f t="shared" si="21"/>
        <v>1808.510638</v>
      </c>
      <c r="H623" s="464">
        <f t="shared" si="7"/>
        <v>8.816666667</v>
      </c>
      <c r="I623" s="464">
        <f t="shared" si="3"/>
        <v>1.183333333</v>
      </c>
      <c r="J623" s="464">
        <f t="shared" si="4"/>
        <v>0</v>
      </c>
      <c r="K623" s="465">
        <f t="shared" si="5"/>
        <v>19155.14184</v>
      </c>
      <c r="L623" s="466"/>
      <c r="M623" s="466"/>
      <c r="N623" s="465">
        <f t="shared" si="33"/>
        <v>2140.070922</v>
      </c>
      <c r="O623" s="465">
        <f t="shared" si="6"/>
        <v>17015.07092</v>
      </c>
      <c r="P623" s="467"/>
    </row>
    <row r="624" ht="26.25" customHeight="1">
      <c r="A624" s="459">
        <v>45962.0</v>
      </c>
      <c r="B624" s="460" t="s">
        <v>26</v>
      </c>
      <c r="C624" s="461" t="str">
        <f t="shared" si="1"/>
        <v>السبت</v>
      </c>
      <c r="D624" s="462">
        <v>0.3347222222222222</v>
      </c>
      <c r="E624" s="462">
        <v>0.6277777777777778</v>
      </c>
      <c r="F624" s="463">
        <v>300000.0</v>
      </c>
      <c r="G624" s="464">
        <f t="shared" ref="G624:G642" si="34">F624/183</f>
        <v>1639.344262</v>
      </c>
      <c r="H624" s="464">
        <f t="shared" si="7"/>
        <v>7.033333333</v>
      </c>
      <c r="I624" s="464">
        <f t="shared" si="3"/>
        <v>0</v>
      </c>
      <c r="J624" s="464">
        <f t="shared" si="4"/>
        <v>0</v>
      </c>
      <c r="K624" s="465">
        <f t="shared" si="5"/>
        <v>11530.05464</v>
      </c>
      <c r="L624" s="466"/>
      <c r="M624" s="466"/>
      <c r="N624" s="465">
        <f t="shared" si="33"/>
        <v>54.64480874</v>
      </c>
      <c r="O624" s="465">
        <f t="shared" si="6"/>
        <v>11475.40984</v>
      </c>
      <c r="P624" s="470"/>
    </row>
    <row r="625" ht="26.25" customHeight="1">
      <c r="A625" s="459">
        <v>45963.0</v>
      </c>
      <c r="B625" s="460" t="s">
        <v>26</v>
      </c>
      <c r="C625" s="461" t="str">
        <f t="shared" si="1"/>
        <v>الأحد</v>
      </c>
      <c r="D625" s="462">
        <v>0.3375</v>
      </c>
      <c r="E625" s="462">
        <v>0.6381944444444444</v>
      </c>
      <c r="F625" s="463">
        <v>300000.0</v>
      </c>
      <c r="G625" s="464">
        <f t="shared" si="34"/>
        <v>1639.344262</v>
      </c>
      <c r="H625" s="464">
        <f t="shared" si="7"/>
        <v>7.216666667</v>
      </c>
      <c r="I625" s="464">
        <f t="shared" si="3"/>
        <v>0</v>
      </c>
      <c r="J625" s="464">
        <f t="shared" si="4"/>
        <v>0</v>
      </c>
      <c r="K625" s="465">
        <f t="shared" si="5"/>
        <v>11830.60109</v>
      </c>
      <c r="L625" s="466"/>
      <c r="M625" s="466"/>
      <c r="N625" s="465">
        <f t="shared" si="33"/>
        <v>163.9344262</v>
      </c>
      <c r="O625" s="465">
        <f t="shared" si="6"/>
        <v>11666.66667</v>
      </c>
      <c r="P625" s="467"/>
    </row>
    <row r="626" ht="26.25" customHeight="1">
      <c r="A626" s="459">
        <v>45964.0</v>
      </c>
      <c r="B626" s="460" t="s">
        <v>26</v>
      </c>
      <c r="C626" s="461" t="str">
        <f t="shared" si="1"/>
        <v>الاثنين</v>
      </c>
      <c r="D626" s="462">
        <v>0.33819444444444446</v>
      </c>
      <c r="E626" s="462">
        <v>0.63125</v>
      </c>
      <c r="F626" s="463">
        <v>300000.0</v>
      </c>
      <c r="G626" s="464">
        <f t="shared" si="34"/>
        <v>1639.344262</v>
      </c>
      <c r="H626" s="464">
        <f t="shared" si="7"/>
        <v>7.033333333</v>
      </c>
      <c r="I626" s="464">
        <f t="shared" si="3"/>
        <v>0</v>
      </c>
      <c r="J626" s="464">
        <f t="shared" si="4"/>
        <v>0</v>
      </c>
      <c r="K626" s="465">
        <f t="shared" si="5"/>
        <v>11530.05464</v>
      </c>
      <c r="L626" s="466"/>
      <c r="M626" s="466"/>
      <c r="N626" s="465">
        <f t="shared" si="33"/>
        <v>191.2568306</v>
      </c>
      <c r="O626" s="465">
        <f t="shared" si="6"/>
        <v>11338.79781</v>
      </c>
      <c r="P626" s="470"/>
    </row>
    <row r="627" ht="26.25" customHeight="1">
      <c r="A627" s="459">
        <v>45965.0</v>
      </c>
      <c r="B627" s="460" t="s">
        <v>26</v>
      </c>
      <c r="C627" s="461" t="str">
        <f t="shared" si="1"/>
        <v>الثلاثاء</v>
      </c>
      <c r="D627" s="462">
        <v>0.33819444444444446</v>
      </c>
      <c r="E627" s="462">
        <v>0.63125</v>
      </c>
      <c r="F627" s="463">
        <v>300000.0</v>
      </c>
      <c r="G627" s="464">
        <f t="shared" si="34"/>
        <v>1639.344262</v>
      </c>
      <c r="H627" s="464">
        <f t="shared" si="7"/>
        <v>7.033333333</v>
      </c>
      <c r="I627" s="464">
        <f t="shared" si="3"/>
        <v>0</v>
      </c>
      <c r="J627" s="464">
        <f t="shared" si="4"/>
        <v>0</v>
      </c>
      <c r="K627" s="465">
        <f t="shared" si="5"/>
        <v>11530.05464</v>
      </c>
      <c r="L627" s="466"/>
      <c r="M627" s="466"/>
      <c r="N627" s="465">
        <f t="shared" si="33"/>
        <v>191.2568306</v>
      </c>
      <c r="O627" s="465">
        <f t="shared" si="6"/>
        <v>11338.79781</v>
      </c>
      <c r="P627" s="467"/>
    </row>
    <row r="628" ht="26.25" customHeight="1">
      <c r="A628" s="459">
        <v>45966.0</v>
      </c>
      <c r="B628" s="460" t="s">
        <v>26</v>
      </c>
      <c r="C628" s="461" t="str">
        <f t="shared" si="1"/>
        <v>الأربعاء</v>
      </c>
      <c r="D628" s="462">
        <v>0.3284722222222222</v>
      </c>
      <c r="E628" s="462">
        <v>0.5375</v>
      </c>
      <c r="F628" s="463">
        <v>300000.0</v>
      </c>
      <c r="G628" s="464">
        <f t="shared" si="34"/>
        <v>1639.344262</v>
      </c>
      <c r="H628" s="464">
        <f t="shared" si="7"/>
        <v>5.016666667</v>
      </c>
      <c r="I628" s="464">
        <f t="shared" si="3"/>
        <v>0</v>
      </c>
      <c r="J628" s="464">
        <f t="shared" si="4"/>
        <v>0</v>
      </c>
      <c r="K628" s="465">
        <f t="shared" si="5"/>
        <v>8224.043716</v>
      </c>
      <c r="L628" s="466"/>
      <c r="M628" s="466"/>
      <c r="N628" s="465">
        <f t="shared" si="33"/>
        <v>0</v>
      </c>
      <c r="O628" s="465">
        <f t="shared" si="6"/>
        <v>8224.043716</v>
      </c>
      <c r="P628" s="467"/>
    </row>
    <row r="629" ht="26.25" customHeight="1">
      <c r="A629" s="459">
        <v>45969.0</v>
      </c>
      <c r="B629" s="460" t="s">
        <v>26</v>
      </c>
      <c r="C629" s="461" t="str">
        <f t="shared" si="1"/>
        <v>السبت</v>
      </c>
      <c r="D629" s="462">
        <v>0.3423611111111111</v>
      </c>
      <c r="E629" s="462">
        <v>0.6479166666666667</v>
      </c>
      <c r="F629" s="463">
        <v>300000.0</v>
      </c>
      <c r="G629" s="464">
        <f t="shared" si="34"/>
        <v>1639.344262</v>
      </c>
      <c r="H629" s="464">
        <f t="shared" si="7"/>
        <v>7.333333333</v>
      </c>
      <c r="I629" s="464">
        <f t="shared" si="3"/>
        <v>0</v>
      </c>
      <c r="J629" s="464">
        <f t="shared" si="4"/>
        <v>0</v>
      </c>
      <c r="K629" s="465">
        <f t="shared" si="5"/>
        <v>12021.85792</v>
      </c>
      <c r="L629" s="466"/>
      <c r="M629" s="466"/>
      <c r="N629" s="465">
        <f t="shared" si="33"/>
        <v>355.1912568</v>
      </c>
      <c r="O629" s="465">
        <f t="shared" si="6"/>
        <v>11666.66667</v>
      </c>
      <c r="P629" s="467"/>
    </row>
    <row r="630" ht="26.25" customHeight="1">
      <c r="A630" s="459">
        <v>45970.0</v>
      </c>
      <c r="B630" s="460" t="s">
        <v>26</v>
      </c>
      <c r="C630" s="461" t="str">
        <f t="shared" si="1"/>
        <v>الأحد</v>
      </c>
      <c r="D630" s="462">
        <v>0.33819444444444446</v>
      </c>
      <c r="E630" s="462">
        <v>0.625</v>
      </c>
      <c r="F630" s="463">
        <v>300000.0</v>
      </c>
      <c r="G630" s="464">
        <f t="shared" si="34"/>
        <v>1639.344262</v>
      </c>
      <c r="H630" s="464">
        <f t="shared" si="7"/>
        <v>6.883333333</v>
      </c>
      <c r="I630" s="464">
        <f t="shared" si="3"/>
        <v>0</v>
      </c>
      <c r="J630" s="464">
        <f t="shared" si="4"/>
        <v>0</v>
      </c>
      <c r="K630" s="465">
        <f t="shared" si="5"/>
        <v>11284.15301</v>
      </c>
      <c r="L630" s="466"/>
      <c r="M630" s="466"/>
      <c r="N630" s="465">
        <f t="shared" si="33"/>
        <v>191.2568306</v>
      </c>
      <c r="O630" s="465">
        <f t="shared" si="6"/>
        <v>11092.89617</v>
      </c>
      <c r="P630" s="470"/>
    </row>
    <row r="631" ht="26.25" customHeight="1">
      <c r="A631" s="459">
        <v>45971.0</v>
      </c>
      <c r="B631" s="460" t="s">
        <v>26</v>
      </c>
      <c r="C631" s="461" t="str">
        <f t="shared" si="1"/>
        <v>الاثنين</v>
      </c>
      <c r="D631" s="462">
        <v>0.32916666666666666</v>
      </c>
      <c r="E631" s="462">
        <v>0.5520833333333334</v>
      </c>
      <c r="F631" s="463">
        <v>300000.0</v>
      </c>
      <c r="G631" s="464">
        <f t="shared" si="34"/>
        <v>1639.344262</v>
      </c>
      <c r="H631" s="464">
        <f t="shared" si="7"/>
        <v>5.35</v>
      </c>
      <c r="I631" s="464">
        <f t="shared" si="3"/>
        <v>0</v>
      </c>
      <c r="J631" s="464">
        <f t="shared" si="4"/>
        <v>0</v>
      </c>
      <c r="K631" s="465">
        <f t="shared" si="5"/>
        <v>8770.491803</v>
      </c>
      <c r="L631" s="466"/>
      <c r="M631" s="466"/>
      <c r="N631" s="465">
        <f t="shared" si="33"/>
        <v>0</v>
      </c>
      <c r="O631" s="465">
        <f t="shared" si="6"/>
        <v>8770.491803</v>
      </c>
      <c r="P631" s="470"/>
    </row>
    <row r="632" ht="26.25" customHeight="1">
      <c r="A632" s="459">
        <v>45974.0</v>
      </c>
      <c r="B632" s="460" t="s">
        <v>26</v>
      </c>
      <c r="C632" s="461" t="str">
        <f t="shared" si="1"/>
        <v>الخميس</v>
      </c>
      <c r="D632" s="462">
        <v>0.3326388888888889</v>
      </c>
      <c r="E632" s="462">
        <v>0.6465277777777778</v>
      </c>
      <c r="F632" s="463">
        <v>300000.0</v>
      </c>
      <c r="G632" s="464">
        <f t="shared" si="34"/>
        <v>1639.344262</v>
      </c>
      <c r="H632" s="464">
        <f t="shared" si="7"/>
        <v>7.533333333</v>
      </c>
      <c r="I632" s="464">
        <f t="shared" si="3"/>
        <v>0</v>
      </c>
      <c r="J632" s="464">
        <f t="shared" si="4"/>
        <v>0</v>
      </c>
      <c r="K632" s="465">
        <f t="shared" si="5"/>
        <v>12349.72678</v>
      </c>
      <c r="L632" s="466"/>
      <c r="M632" s="466"/>
      <c r="N632" s="465">
        <f t="shared" si="33"/>
        <v>0</v>
      </c>
      <c r="O632" s="465">
        <f t="shared" si="6"/>
        <v>12349.72678</v>
      </c>
      <c r="P632" s="470"/>
    </row>
    <row r="633" ht="26.25" customHeight="1">
      <c r="A633" s="459">
        <v>45976.0</v>
      </c>
      <c r="B633" s="460" t="s">
        <v>26</v>
      </c>
      <c r="C633" s="461" t="str">
        <f t="shared" si="1"/>
        <v>السبت</v>
      </c>
      <c r="D633" s="462">
        <v>0.33055555555555555</v>
      </c>
      <c r="E633" s="462">
        <v>0.6270833333333333</v>
      </c>
      <c r="F633" s="463">
        <v>300000.0</v>
      </c>
      <c r="G633" s="464">
        <f t="shared" si="34"/>
        <v>1639.344262</v>
      </c>
      <c r="H633" s="464">
        <f t="shared" si="7"/>
        <v>7.116666667</v>
      </c>
      <c r="I633" s="464">
        <f t="shared" si="3"/>
        <v>0</v>
      </c>
      <c r="J633" s="464">
        <f t="shared" si="4"/>
        <v>0</v>
      </c>
      <c r="K633" s="465">
        <f t="shared" si="5"/>
        <v>11666.66667</v>
      </c>
      <c r="L633" s="466"/>
      <c r="M633" s="466"/>
      <c r="N633" s="465">
        <f t="shared" si="33"/>
        <v>0</v>
      </c>
      <c r="O633" s="465">
        <f t="shared" si="6"/>
        <v>11666.66667</v>
      </c>
      <c r="P633" s="470"/>
    </row>
    <row r="634" ht="26.25" customHeight="1">
      <c r="A634" s="459">
        <v>45977.0</v>
      </c>
      <c r="B634" s="460" t="s">
        <v>26</v>
      </c>
      <c r="C634" s="461" t="str">
        <f t="shared" si="1"/>
        <v>الأحد</v>
      </c>
      <c r="D634" s="462">
        <v>0.33819444444444446</v>
      </c>
      <c r="E634" s="462">
        <v>0.6298611111111111</v>
      </c>
      <c r="F634" s="463">
        <v>300000.0</v>
      </c>
      <c r="G634" s="464">
        <f t="shared" si="34"/>
        <v>1639.344262</v>
      </c>
      <c r="H634" s="464">
        <f t="shared" si="7"/>
        <v>7</v>
      </c>
      <c r="I634" s="464">
        <f t="shared" si="3"/>
        <v>0</v>
      </c>
      <c r="J634" s="464">
        <f t="shared" si="4"/>
        <v>0</v>
      </c>
      <c r="K634" s="465">
        <f t="shared" si="5"/>
        <v>11475.40984</v>
      </c>
      <c r="L634" s="466"/>
      <c r="M634" s="466"/>
      <c r="N634" s="465">
        <f t="shared" si="33"/>
        <v>191.2568306</v>
      </c>
      <c r="O634" s="465">
        <f t="shared" si="6"/>
        <v>11284.15301</v>
      </c>
      <c r="P634" s="467"/>
    </row>
    <row r="635" ht="26.25" customHeight="1">
      <c r="A635" s="459">
        <v>45978.0</v>
      </c>
      <c r="B635" s="461" t="s">
        <v>26</v>
      </c>
      <c r="C635" s="461" t="str">
        <f t="shared" si="1"/>
        <v>الاثنين</v>
      </c>
      <c r="D635" s="462">
        <v>0.33958333333333335</v>
      </c>
      <c r="E635" s="462">
        <v>0.6270833333333333</v>
      </c>
      <c r="F635" s="463">
        <v>300000.0</v>
      </c>
      <c r="G635" s="464">
        <f t="shared" si="34"/>
        <v>1639.344262</v>
      </c>
      <c r="H635" s="464">
        <f t="shared" si="7"/>
        <v>6.9</v>
      </c>
      <c r="I635" s="464">
        <f t="shared" si="3"/>
        <v>0</v>
      </c>
      <c r="J635" s="464">
        <f t="shared" si="4"/>
        <v>0</v>
      </c>
      <c r="K635" s="465">
        <f t="shared" si="5"/>
        <v>11311.47541</v>
      </c>
      <c r="L635" s="466"/>
      <c r="M635" s="466"/>
      <c r="N635" s="465">
        <f t="shared" si="33"/>
        <v>245.9016393</v>
      </c>
      <c r="O635" s="465">
        <f t="shared" si="6"/>
        <v>11065.57377</v>
      </c>
      <c r="P635" s="467"/>
    </row>
    <row r="636" ht="26.25" customHeight="1">
      <c r="A636" s="459">
        <v>45979.0</v>
      </c>
      <c r="B636" s="461" t="s">
        <v>26</v>
      </c>
      <c r="C636" s="461" t="str">
        <f t="shared" si="1"/>
        <v>الثلاثاء</v>
      </c>
      <c r="D636" s="462">
        <v>0.33402777777777776</v>
      </c>
      <c r="E636" s="462">
        <v>0.6263888888888889</v>
      </c>
      <c r="F636" s="463">
        <v>300000.0</v>
      </c>
      <c r="G636" s="464">
        <f t="shared" si="34"/>
        <v>1639.344262</v>
      </c>
      <c r="H636" s="464">
        <f t="shared" si="7"/>
        <v>7.016666667</v>
      </c>
      <c r="I636" s="464">
        <f t="shared" si="3"/>
        <v>0</v>
      </c>
      <c r="J636" s="464">
        <f t="shared" si="4"/>
        <v>0</v>
      </c>
      <c r="K636" s="465">
        <f t="shared" si="5"/>
        <v>11502.73224</v>
      </c>
      <c r="L636" s="466"/>
      <c r="M636" s="466"/>
      <c r="N636" s="465">
        <f t="shared" si="33"/>
        <v>27.32240437</v>
      </c>
      <c r="O636" s="465">
        <f t="shared" si="6"/>
        <v>11475.40984</v>
      </c>
      <c r="P636" s="467"/>
    </row>
    <row r="637" ht="26.25" customHeight="1">
      <c r="A637" s="459">
        <v>45980.0</v>
      </c>
      <c r="B637" s="461" t="s">
        <v>26</v>
      </c>
      <c r="C637" s="461" t="str">
        <f t="shared" si="1"/>
        <v>الأربعاء</v>
      </c>
      <c r="D637" s="462">
        <v>0.33611111111111114</v>
      </c>
      <c r="E637" s="462">
        <v>0.6291666666666667</v>
      </c>
      <c r="F637" s="463">
        <v>300000.0</v>
      </c>
      <c r="G637" s="464">
        <f t="shared" si="34"/>
        <v>1639.344262</v>
      </c>
      <c r="H637" s="464">
        <f t="shared" si="7"/>
        <v>7.033333333</v>
      </c>
      <c r="I637" s="464">
        <f t="shared" si="3"/>
        <v>0</v>
      </c>
      <c r="J637" s="464">
        <f t="shared" si="4"/>
        <v>0</v>
      </c>
      <c r="K637" s="465">
        <f t="shared" si="5"/>
        <v>11530.05464</v>
      </c>
      <c r="L637" s="466"/>
      <c r="M637" s="466"/>
      <c r="N637" s="465">
        <f t="shared" si="33"/>
        <v>109.2896175</v>
      </c>
      <c r="O637" s="465">
        <f t="shared" si="6"/>
        <v>11420.76503</v>
      </c>
      <c r="P637" s="467"/>
    </row>
    <row r="638" ht="26.25" customHeight="1">
      <c r="A638" s="459">
        <v>45981.0</v>
      </c>
      <c r="B638" s="461" t="s">
        <v>26</v>
      </c>
      <c r="C638" s="461" t="str">
        <f t="shared" si="1"/>
        <v>الخميس</v>
      </c>
      <c r="D638" s="462">
        <v>0.34305555555555556</v>
      </c>
      <c r="E638" s="462">
        <v>0.6263888888888889</v>
      </c>
      <c r="F638" s="463">
        <v>300000.0</v>
      </c>
      <c r="G638" s="464">
        <f t="shared" si="34"/>
        <v>1639.344262</v>
      </c>
      <c r="H638" s="464">
        <f t="shared" si="7"/>
        <v>6.8</v>
      </c>
      <c r="I638" s="464">
        <f t="shared" si="3"/>
        <v>0</v>
      </c>
      <c r="J638" s="464">
        <f t="shared" si="4"/>
        <v>0</v>
      </c>
      <c r="K638" s="465">
        <f t="shared" si="5"/>
        <v>11147.54098</v>
      </c>
      <c r="L638" s="466"/>
      <c r="M638" s="466"/>
      <c r="N638" s="465">
        <f t="shared" si="33"/>
        <v>382.5136612</v>
      </c>
      <c r="O638" s="465">
        <f t="shared" si="6"/>
        <v>10765.02732</v>
      </c>
      <c r="P638" s="467"/>
    </row>
    <row r="639" ht="26.25" customHeight="1">
      <c r="A639" s="459">
        <v>45982.0</v>
      </c>
      <c r="B639" s="461" t="s">
        <v>26</v>
      </c>
      <c r="C639" s="461" t="str">
        <f t="shared" si="1"/>
        <v>الجمعة</v>
      </c>
      <c r="D639" s="471"/>
      <c r="E639" s="471"/>
      <c r="F639" s="463">
        <v>300000.0</v>
      </c>
      <c r="G639" s="464">
        <f t="shared" si="34"/>
        <v>1639.344262</v>
      </c>
      <c r="H639" s="464">
        <f t="shared" si="7"/>
        <v>0</v>
      </c>
      <c r="I639" s="464">
        <f t="shared" si="3"/>
        <v>0</v>
      </c>
      <c r="J639" s="464">
        <f t="shared" si="4"/>
        <v>0</v>
      </c>
      <c r="K639" s="465">
        <f t="shared" si="5"/>
        <v>0</v>
      </c>
      <c r="L639" s="466"/>
      <c r="M639" s="466"/>
      <c r="N639" s="465">
        <f t="shared" si="33"/>
        <v>0</v>
      </c>
      <c r="O639" s="465">
        <f t="shared" si="6"/>
        <v>0</v>
      </c>
      <c r="P639" s="467"/>
    </row>
    <row r="640" ht="26.25" customHeight="1">
      <c r="A640" s="459">
        <v>45983.0</v>
      </c>
      <c r="B640" s="461" t="s">
        <v>26</v>
      </c>
      <c r="C640" s="461" t="str">
        <f t="shared" si="1"/>
        <v>السبت</v>
      </c>
      <c r="D640" s="462">
        <v>0.33125</v>
      </c>
      <c r="E640" s="462">
        <v>0.6381944444444444</v>
      </c>
      <c r="F640" s="463">
        <v>300000.0</v>
      </c>
      <c r="G640" s="464">
        <f t="shared" si="34"/>
        <v>1639.344262</v>
      </c>
      <c r="H640" s="464">
        <f t="shared" si="7"/>
        <v>7.366666667</v>
      </c>
      <c r="I640" s="464">
        <f t="shared" si="3"/>
        <v>0</v>
      </c>
      <c r="J640" s="464">
        <f t="shared" si="4"/>
        <v>0</v>
      </c>
      <c r="K640" s="465">
        <f t="shared" si="5"/>
        <v>12076.50273</v>
      </c>
      <c r="L640" s="466"/>
      <c r="M640" s="466"/>
      <c r="N640" s="465">
        <f t="shared" si="33"/>
        <v>0</v>
      </c>
      <c r="O640" s="465">
        <f t="shared" si="6"/>
        <v>12076.50273</v>
      </c>
      <c r="P640" s="467"/>
    </row>
    <row r="641" ht="26.25" customHeight="1">
      <c r="A641" s="459">
        <v>45984.0</v>
      </c>
      <c r="B641" s="461" t="s">
        <v>26</v>
      </c>
      <c r="C641" s="461" t="str">
        <f t="shared" si="1"/>
        <v>الأحد</v>
      </c>
      <c r="D641" s="462">
        <v>0.34097222222222223</v>
      </c>
      <c r="E641" s="462">
        <v>0.6256944444444444</v>
      </c>
      <c r="F641" s="463">
        <v>300000.0</v>
      </c>
      <c r="G641" s="464">
        <f t="shared" si="34"/>
        <v>1639.344262</v>
      </c>
      <c r="H641" s="464">
        <f t="shared" si="7"/>
        <v>6.833333333</v>
      </c>
      <c r="I641" s="464">
        <f t="shared" si="3"/>
        <v>0</v>
      </c>
      <c r="J641" s="464">
        <f t="shared" si="4"/>
        <v>0</v>
      </c>
      <c r="K641" s="465">
        <f t="shared" si="5"/>
        <v>11202.18579</v>
      </c>
      <c r="L641" s="466"/>
      <c r="M641" s="466"/>
      <c r="N641" s="465">
        <f t="shared" si="33"/>
        <v>300.5464481</v>
      </c>
      <c r="O641" s="465">
        <f t="shared" si="6"/>
        <v>10901.63934</v>
      </c>
      <c r="P641" s="467"/>
    </row>
    <row r="642" ht="26.25" customHeight="1">
      <c r="A642" s="459">
        <v>45985.0</v>
      </c>
      <c r="B642" s="460" t="s">
        <v>26</v>
      </c>
      <c r="C642" s="461" t="str">
        <f t="shared" si="1"/>
        <v>الاثنين</v>
      </c>
      <c r="D642" s="462">
        <v>0.3402777777777778</v>
      </c>
      <c r="E642" s="462">
        <v>0.6284722222222222</v>
      </c>
      <c r="F642" s="463">
        <v>300000.0</v>
      </c>
      <c r="G642" s="464">
        <f t="shared" si="34"/>
        <v>1639.344262</v>
      </c>
      <c r="H642" s="464">
        <f t="shared" si="7"/>
        <v>6.916666667</v>
      </c>
      <c r="I642" s="464">
        <f t="shared" si="3"/>
        <v>0</v>
      </c>
      <c r="J642" s="464">
        <f t="shared" si="4"/>
        <v>0</v>
      </c>
      <c r="K642" s="465">
        <f t="shared" si="5"/>
        <v>11338.79781</v>
      </c>
      <c r="L642" s="466"/>
      <c r="M642" s="466"/>
      <c r="N642" s="465">
        <f t="shared" si="33"/>
        <v>273.2240437</v>
      </c>
      <c r="O642" s="465">
        <f t="shared" si="6"/>
        <v>11065.57377</v>
      </c>
      <c r="P642" s="467"/>
    </row>
    <row r="643" ht="26.25" customHeight="1">
      <c r="A643" s="459">
        <v>45992.0</v>
      </c>
      <c r="B643" s="461" t="s">
        <v>21</v>
      </c>
      <c r="C643" s="461" t="str">
        <f t="shared" si="1"/>
        <v>الاثنين</v>
      </c>
      <c r="D643" s="462">
        <v>0.3333333333333333</v>
      </c>
      <c r="E643" s="462">
        <v>0.7763888888888889</v>
      </c>
      <c r="F643" s="463">
        <v>600000.0</v>
      </c>
      <c r="G643" s="464">
        <f t="shared" ref="G643:G678" si="35">F643/235</f>
        <v>2553.191489</v>
      </c>
      <c r="H643" s="464">
        <f t="shared" si="7"/>
        <v>10</v>
      </c>
      <c r="I643" s="464">
        <f t="shared" si="3"/>
        <v>0.6333333333</v>
      </c>
      <c r="J643" s="464">
        <f t="shared" si="4"/>
        <v>0</v>
      </c>
      <c r="K643" s="465">
        <f t="shared" si="5"/>
        <v>27957.44681</v>
      </c>
      <c r="L643" s="466"/>
      <c r="M643" s="466"/>
      <c r="N643" s="465">
        <v>0.0</v>
      </c>
      <c r="O643" s="465">
        <f t="shared" ref="O643:O701" si="36">K643+L643-M643</f>
        <v>27957.44681</v>
      </c>
      <c r="P643" s="467"/>
    </row>
    <row r="644" ht="26.25" customHeight="1">
      <c r="A644" s="459">
        <v>45993.0</v>
      </c>
      <c r="B644" s="461" t="s">
        <v>21</v>
      </c>
      <c r="C644" s="461" t="str">
        <f t="shared" si="1"/>
        <v>الثلاثاء</v>
      </c>
      <c r="D644" s="462">
        <v>0.3333333333333333</v>
      </c>
      <c r="E644" s="462">
        <v>0.8006944444444445</v>
      </c>
      <c r="F644" s="463">
        <v>600000.0</v>
      </c>
      <c r="G644" s="464">
        <f t="shared" si="35"/>
        <v>2553.191489</v>
      </c>
      <c r="H644" s="464">
        <f t="shared" si="7"/>
        <v>10</v>
      </c>
      <c r="I644" s="464">
        <f t="shared" si="3"/>
        <v>1.216666667</v>
      </c>
      <c r="J644" s="464">
        <f t="shared" si="4"/>
        <v>0</v>
      </c>
      <c r="K644" s="465">
        <f t="shared" si="5"/>
        <v>30191.48936</v>
      </c>
      <c r="L644" s="466"/>
      <c r="M644" s="466"/>
      <c r="N644" s="465">
        <v>0.0</v>
      </c>
      <c r="O644" s="465">
        <f t="shared" si="36"/>
        <v>30191.48936</v>
      </c>
      <c r="P644" s="467"/>
    </row>
    <row r="645" ht="26.25" customHeight="1">
      <c r="A645" s="459">
        <v>45994.0</v>
      </c>
      <c r="B645" s="461" t="s">
        <v>21</v>
      </c>
      <c r="C645" s="461" t="str">
        <f t="shared" si="1"/>
        <v>الأربعاء</v>
      </c>
      <c r="D645" s="462">
        <v>0.3541666666666667</v>
      </c>
      <c r="E645" s="462">
        <v>0.7138888888888889</v>
      </c>
      <c r="F645" s="463">
        <v>600000.0</v>
      </c>
      <c r="G645" s="464">
        <f t="shared" si="35"/>
        <v>2553.191489</v>
      </c>
      <c r="H645" s="464">
        <f t="shared" si="7"/>
        <v>8.633333333</v>
      </c>
      <c r="I645" s="464">
        <f t="shared" si="3"/>
        <v>0</v>
      </c>
      <c r="J645" s="464">
        <f t="shared" si="4"/>
        <v>0</v>
      </c>
      <c r="K645" s="465">
        <f t="shared" si="5"/>
        <v>22042.55319</v>
      </c>
      <c r="L645" s="466"/>
      <c r="M645" s="466"/>
      <c r="N645" s="465">
        <v>0.0</v>
      </c>
      <c r="O645" s="465">
        <f t="shared" si="36"/>
        <v>22042.55319</v>
      </c>
      <c r="P645" s="467"/>
    </row>
    <row r="646" ht="26.25" customHeight="1">
      <c r="A646" s="459">
        <v>45992.0</v>
      </c>
      <c r="B646" s="461" t="s">
        <v>27</v>
      </c>
      <c r="C646" s="461" t="str">
        <f t="shared" si="1"/>
        <v>الاثنين</v>
      </c>
      <c r="D646" s="462">
        <v>0.3333333333333333</v>
      </c>
      <c r="E646" s="462">
        <v>0.7083333333333334</v>
      </c>
      <c r="F646" s="463">
        <v>350000.0</v>
      </c>
      <c r="G646" s="464">
        <f t="shared" si="35"/>
        <v>1489.361702</v>
      </c>
      <c r="H646" s="464">
        <f t="shared" si="7"/>
        <v>9</v>
      </c>
      <c r="I646" s="464">
        <f t="shared" si="3"/>
        <v>0</v>
      </c>
      <c r="J646" s="464">
        <f t="shared" si="4"/>
        <v>0</v>
      </c>
      <c r="K646" s="465">
        <f t="shared" si="5"/>
        <v>13404.25532</v>
      </c>
      <c r="L646" s="466"/>
      <c r="M646" s="466"/>
      <c r="N646" s="465">
        <v>0.0</v>
      </c>
      <c r="O646" s="465">
        <f t="shared" si="36"/>
        <v>13404.25532</v>
      </c>
      <c r="P646" s="467"/>
    </row>
    <row r="647" ht="26.25" customHeight="1">
      <c r="A647" s="459">
        <v>45993.0</v>
      </c>
      <c r="B647" s="461" t="s">
        <v>27</v>
      </c>
      <c r="C647" s="461" t="str">
        <f t="shared" si="1"/>
        <v>الثلاثاء</v>
      </c>
      <c r="D647" s="462">
        <v>0.3333333333333333</v>
      </c>
      <c r="E647" s="462">
        <v>0.7083333333333334</v>
      </c>
      <c r="F647" s="463">
        <v>350000.0</v>
      </c>
      <c r="G647" s="464">
        <f t="shared" si="35"/>
        <v>1489.361702</v>
      </c>
      <c r="H647" s="464">
        <f t="shared" si="7"/>
        <v>9</v>
      </c>
      <c r="I647" s="464">
        <f t="shared" si="3"/>
        <v>0</v>
      </c>
      <c r="J647" s="464">
        <f t="shared" si="4"/>
        <v>0</v>
      </c>
      <c r="K647" s="465">
        <f t="shared" si="5"/>
        <v>13404.25532</v>
      </c>
      <c r="L647" s="466"/>
      <c r="M647" s="466"/>
      <c r="N647" s="465">
        <v>0.0</v>
      </c>
      <c r="O647" s="465">
        <f t="shared" si="36"/>
        <v>13404.25532</v>
      </c>
      <c r="P647" s="467"/>
    </row>
    <row r="648" ht="26.25" customHeight="1">
      <c r="A648" s="459">
        <v>45994.0</v>
      </c>
      <c r="B648" s="461" t="s">
        <v>27</v>
      </c>
      <c r="C648" s="461" t="str">
        <f t="shared" si="1"/>
        <v>الأربعاء</v>
      </c>
      <c r="D648" s="462">
        <v>0.3541666666666667</v>
      </c>
      <c r="E648" s="462">
        <v>0.7083333333333334</v>
      </c>
      <c r="F648" s="463">
        <v>350000.0</v>
      </c>
      <c r="G648" s="464">
        <f t="shared" si="35"/>
        <v>1489.361702</v>
      </c>
      <c r="H648" s="464">
        <f t="shared" si="7"/>
        <v>8.5</v>
      </c>
      <c r="I648" s="464">
        <f t="shared" si="3"/>
        <v>0</v>
      </c>
      <c r="J648" s="464">
        <f t="shared" si="4"/>
        <v>0</v>
      </c>
      <c r="K648" s="465">
        <f t="shared" si="5"/>
        <v>12659.57447</v>
      </c>
      <c r="L648" s="466"/>
      <c r="M648" s="466"/>
      <c r="N648" s="465">
        <v>0.0</v>
      </c>
      <c r="O648" s="465">
        <f t="shared" si="36"/>
        <v>12659.57447</v>
      </c>
      <c r="P648" s="467"/>
    </row>
    <row r="649" ht="26.25" customHeight="1">
      <c r="A649" s="459">
        <v>45992.0</v>
      </c>
      <c r="B649" s="461" t="s">
        <v>2483</v>
      </c>
      <c r="C649" s="461" t="str">
        <f t="shared" si="1"/>
        <v>الاثنين</v>
      </c>
      <c r="D649" s="462">
        <v>0.3333333333333333</v>
      </c>
      <c r="E649" s="462">
        <v>0.7083333333333334</v>
      </c>
      <c r="F649" s="463">
        <v>350000.0</v>
      </c>
      <c r="G649" s="464">
        <f t="shared" si="35"/>
        <v>1489.361702</v>
      </c>
      <c r="H649" s="464">
        <f t="shared" si="7"/>
        <v>9</v>
      </c>
      <c r="I649" s="464">
        <f t="shared" si="3"/>
        <v>0</v>
      </c>
      <c r="J649" s="464">
        <f t="shared" si="4"/>
        <v>0</v>
      </c>
      <c r="K649" s="465">
        <f t="shared" si="5"/>
        <v>13404.25532</v>
      </c>
      <c r="L649" s="466"/>
      <c r="M649" s="466"/>
      <c r="N649" s="465">
        <v>0.0</v>
      </c>
      <c r="O649" s="465">
        <f t="shared" si="36"/>
        <v>13404.25532</v>
      </c>
      <c r="P649" s="467"/>
    </row>
    <row r="650" ht="26.25" customHeight="1">
      <c r="A650" s="459">
        <v>45993.0</v>
      </c>
      <c r="B650" s="461" t="s">
        <v>2483</v>
      </c>
      <c r="C650" s="461" t="str">
        <f t="shared" si="1"/>
        <v>الثلاثاء</v>
      </c>
      <c r="D650" s="462">
        <v>0.3333333333333333</v>
      </c>
      <c r="E650" s="462">
        <v>0.7083333333333334</v>
      </c>
      <c r="F650" s="463">
        <v>350000.0</v>
      </c>
      <c r="G650" s="464">
        <f t="shared" si="35"/>
        <v>1489.361702</v>
      </c>
      <c r="H650" s="464">
        <f t="shared" si="7"/>
        <v>9</v>
      </c>
      <c r="I650" s="464">
        <f t="shared" si="3"/>
        <v>0</v>
      </c>
      <c r="J650" s="464">
        <f t="shared" si="4"/>
        <v>0</v>
      </c>
      <c r="K650" s="465">
        <f t="shared" si="5"/>
        <v>13404.25532</v>
      </c>
      <c r="L650" s="466"/>
      <c r="M650" s="466"/>
      <c r="N650" s="465">
        <v>0.0</v>
      </c>
      <c r="O650" s="465">
        <f t="shared" si="36"/>
        <v>13404.25532</v>
      </c>
      <c r="P650" s="467"/>
    </row>
    <row r="651" ht="26.25" customHeight="1">
      <c r="A651" s="459">
        <v>45994.0</v>
      </c>
      <c r="B651" s="461" t="s">
        <v>2483</v>
      </c>
      <c r="C651" s="461" t="str">
        <f t="shared" si="1"/>
        <v>الأربعاء</v>
      </c>
      <c r="D651" s="462">
        <v>0.35347222222222224</v>
      </c>
      <c r="E651" s="462">
        <v>0.7083333333333334</v>
      </c>
      <c r="F651" s="463">
        <v>350000.0</v>
      </c>
      <c r="G651" s="464">
        <f t="shared" si="35"/>
        <v>1489.361702</v>
      </c>
      <c r="H651" s="464">
        <f t="shared" si="7"/>
        <v>8.516666667</v>
      </c>
      <c r="I651" s="464">
        <f t="shared" si="3"/>
        <v>0</v>
      </c>
      <c r="J651" s="464">
        <f t="shared" si="4"/>
        <v>0</v>
      </c>
      <c r="K651" s="465">
        <f t="shared" si="5"/>
        <v>12684.39716</v>
      </c>
      <c r="L651" s="466"/>
      <c r="M651" s="466"/>
      <c r="N651" s="465">
        <v>0.0</v>
      </c>
      <c r="O651" s="465">
        <f t="shared" si="36"/>
        <v>12684.39716</v>
      </c>
      <c r="P651" s="467"/>
    </row>
    <row r="652" ht="26.25" customHeight="1">
      <c r="A652" s="459">
        <v>45995.0</v>
      </c>
      <c r="B652" s="461" t="s">
        <v>2483</v>
      </c>
      <c r="C652" s="461" t="str">
        <f t="shared" si="1"/>
        <v>الخميس</v>
      </c>
      <c r="D652" s="462">
        <v>0.3333333333284827</v>
      </c>
      <c r="E652" s="462">
        <v>0.7083333333333334</v>
      </c>
      <c r="F652" s="463">
        <v>350000.0</v>
      </c>
      <c r="G652" s="464">
        <f t="shared" si="35"/>
        <v>1489.361702</v>
      </c>
      <c r="H652" s="464">
        <f t="shared" si="7"/>
        <v>9</v>
      </c>
      <c r="I652" s="464">
        <f t="shared" si="3"/>
        <v>0</v>
      </c>
      <c r="J652" s="464">
        <f t="shared" si="4"/>
        <v>0</v>
      </c>
      <c r="K652" s="465">
        <f t="shared" si="5"/>
        <v>13404.25532</v>
      </c>
      <c r="L652" s="466"/>
      <c r="M652" s="466"/>
      <c r="N652" s="465">
        <v>0.0</v>
      </c>
      <c r="O652" s="465">
        <f t="shared" si="36"/>
        <v>13404.25532</v>
      </c>
      <c r="P652" s="467"/>
    </row>
    <row r="653" ht="26.25" customHeight="1">
      <c r="A653" s="479">
        <v>45993.0</v>
      </c>
      <c r="B653" s="461" t="s">
        <v>20</v>
      </c>
      <c r="C653" s="461" t="str">
        <f t="shared" si="1"/>
        <v>الثلاثاء</v>
      </c>
      <c r="D653" s="480">
        <v>0.50625</v>
      </c>
      <c r="E653" s="480">
        <v>0.7083333333333334</v>
      </c>
      <c r="F653" s="463">
        <v>425000.0</v>
      </c>
      <c r="G653" s="464">
        <f t="shared" si="35"/>
        <v>1808.510638</v>
      </c>
      <c r="H653" s="464">
        <f t="shared" si="7"/>
        <v>4.85</v>
      </c>
      <c r="I653" s="464">
        <f t="shared" si="3"/>
        <v>0</v>
      </c>
      <c r="J653" s="464">
        <f t="shared" si="4"/>
        <v>0</v>
      </c>
      <c r="K653" s="465">
        <f t="shared" si="5"/>
        <v>8771.276596</v>
      </c>
      <c r="L653" s="466"/>
      <c r="M653" s="466"/>
      <c r="N653" s="465">
        <v>0.0</v>
      </c>
      <c r="O653" s="465">
        <f t="shared" si="36"/>
        <v>8771.276596</v>
      </c>
      <c r="P653" s="467"/>
    </row>
    <row r="654" ht="26.25" customHeight="1">
      <c r="A654" s="479">
        <v>45996.0</v>
      </c>
      <c r="B654" s="461" t="s">
        <v>20</v>
      </c>
      <c r="C654" s="461" t="str">
        <f t="shared" si="1"/>
        <v>الجمعة</v>
      </c>
      <c r="D654" s="481">
        <v>0.375</v>
      </c>
      <c r="E654" s="481">
        <v>0.9138888888888889</v>
      </c>
      <c r="F654" s="463">
        <v>425000.0</v>
      </c>
      <c r="G654" s="464">
        <f t="shared" si="35"/>
        <v>1808.510638</v>
      </c>
      <c r="H654" s="464">
        <f t="shared" si="7"/>
        <v>0</v>
      </c>
      <c r="I654" s="464">
        <f t="shared" si="3"/>
        <v>0</v>
      </c>
      <c r="J654" s="464">
        <f t="shared" si="4"/>
        <v>12.93333333</v>
      </c>
      <c r="K654" s="465">
        <f t="shared" si="5"/>
        <v>46780.14184</v>
      </c>
      <c r="L654" s="466"/>
      <c r="M654" s="466"/>
      <c r="N654" s="465">
        <v>0.0</v>
      </c>
      <c r="O654" s="465">
        <f t="shared" si="36"/>
        <v>46780.14184</v>
      </c>
      <c r="P654" s="467"/>
    </row>
    <row r="655" ht="26.25" customHeight="1">
      <c r="A655" s="479">
        <v>45997.0</v>
      </c>
      <c r="B655" s="461" t="s">
        <v>20</v>
      </c>
      <c r="C655" s="461" t="str">
        <f t="shared" si="1"/>
        <v>السبت</v>
      </c>
      <c r="D655" s="480">
        <v>0.125</v>
      </c>
      <c r="E655" s="481">
        <v>0.85</v>
      </c>
      <c r="F655" s="463">
        <v>425000.0</v>
      </c>
      <c r="G655" s="464">
        <f t="shared" si="35"/>
        <v>1808.510638</v>
      </c>
      <c r="H655" s="464">
        <f t="shared" si="7"/>
        <v>12</v>
      </c>
      <c r="I655" s="464">
        <f t="shared" si="3"/>
        <v>5.4</v>
      </c>
      <c r="J655" s="464">
        <f t="shared" si="4"/>
        <v>0</v>
      </c>
      <c r="K655" s="465">
        <f t="shared" si="5"/>
        <v>36351.06383</v>
      </c>
      <c r="L655" s="466"/>
      <c r="M655" s="466"/>
      <c r="N655" s="465">
        <v>0.0</v>
      </c>
      <c r="O655" s="465">
        <f t="shared" si="36"/>
        <v>36351.06383</v>
      </c>
      <c r="P655" s="467"/>
    </row>
    <row r="656" ht="26.25" customHeight="1">
      <c r="A656" s="479">
        <v>45999.0</v>
      </c>
      <c r="B656" s="461" t="s">
        <v>20</v>
      </c>
      <c r="C656" s="461" t="str">
        <f t="shared" si="1"/>
        <v>الاثنين</v>
      </c>
      <c r="D656" s="480">
        <v>0.5222222222222223</v>
      </c>
      <c r="E656" s="481">
        <v>0.9222222222222223</v>
      </c>
      <c r="F656" s="463">
        <v>425000.0</v>
      </c>
      <c r="G656" s="464">
        <f t="shared" si="35"/>
        <v>1808.510638</v>
      </c>
      <c r="H656" s="464">
        <f t="shared" si="7"/>
        <v>5.466666667</v>
      </c>
      <c r="I656" s="464">
        <f t="shared" si="3"/>
        <v>4.133333333</v>
      </c>
      <c r="J656" s="464">
        <f t="shared" si="4"/>
        <v>0</v>
      </c>
      <c r="K656" s="465">
        <f t="shared" si="5"/>
        <v>21099.29078</v>
      </c>
      <c r="L656" s="466"/>
      <c r="M656" s="466"/>
      <c r="N656" s="465">
        <v>0.0</v>
      </c>
      <c r="O656" s="465">
        <f t="shared" si="36"/>
        <v>21099.29078</v>
      </c>
      <c r="P656" s="467"/>
    </row>
    <row r="657" ht="26.25" customHeight="1">
      <c r="A657" s="479">
        <v>46008.0</v>
      </c>
      <c r="B657" s="461" t="s">
        <v>20</v>
      </c>
      <c r="C657" s="461" t="str">
        <f t="shared" si="1"/>
        <v>الأربعاء</v>
      </c>
      <c r="D657" s="481">
        <v>0.35208333333333336</v>
      </c>
      <c r="E657" s="481">
        <v>0.9784722222222222</v>
      </c>
      <c r="F657" s="463">
        <v>425000.0</v>
      </c>
      <c r="G657" s="464">
        <f t="shared" si="35"/>
        <v>1808.510638</v>
      </c>
      <c r="H657" s="464">
        <f t="shared" si="7"/>
        <v>9.55</v>
      </c>
      <c r="I657" s="464">
        <f t="shared" si="3"/>
        <v>5.483333333</v>
      </c>
      <c r="J657" s="464">
        <f t="shared" si="4"/>
        <v>0</v>
      </c>
      <c r="K657" s="465">
        <f t="shared" si="5"/>
        <v>32146.2766</v>
      </c>
      <c r="L657" s="466"/>
      <c r="M657" s="466"/>
      <c r="N657" s="465">
        <v>0.0</v>
      </c>
      <c r="O657" s="465">
        <f t="shared" si="36"/>
        <v>32146.2766</v>
      </c>
      <c r="P657" s="467"/>
    </row>
    <row r="658" ht="26.25" customHeight="1">
      <c r="A658" s="479">
        <v>46009.0</v>
      </c>
      <c r="B658" s="461" t="s">
        <v>20</v>
      </c>
      <c r="C658" s="461" t="str">
        <f t="shared" si="1"/>
        <v>الخميس</v>
      </c>
      <c r="D658" s="481">
        <v>0.4340277777777778</v>
      </c>
      <c r="E658" s="481">
        <v>0.7083333333333334</v>
      </c>
      <c r="F658" s="463">
        <v>425000.0</v>
      </c>
      <c r="G658" s="464">
        <f t="shared" si="35"/>
        <v>1808.510638</v>
      </c>
      <c r="H658" s="464">
        <f t="shared" si="7"/>
        <v>6.583333333</v>
      </c>
      <c r="I658" s="464">
        <f t="shared" si="3"/>
        <v>0</v>
      </c>
      <c r="J658" s="464">
        <f t="shared" si="4"/>
        <v>0</v>
      </c>
      <c r="K658" s="465">
        <f t="shared" si="5"/>
        <v>11906.02837</v>
      </c>
      <c r="L658" s="466"/>
      <c r="M658" s="466"/>
      <c r="N658" s="465">
        <v>0.0</v>
      </c>
      <c r="O658" s="465">
        <f t="shared" si="36"/>
        <v>11906.02837</v>
      </c>
      <c r="P658" s="467"/>
    </row>
    <row r="659" ht="26.25" customHeight="1">
      <c r="A659" s="479">
        <v>46011.0</v>
      </c>
      <c r="B659" s="461" t="s">
        <v>20</v>
      </c>
      <c r="C659" s="461" t="str">
        <f t="shared" si="1"/>
        <v>السبت</v>
      </c>
      <c r="D659" s="481">
        <v>0.3993055555555556</v>
      </c>
      <c r="E659" s="481">
        <v>0.7083333333333334</v>
      </c>
      <c r="F659" s="463">
        <v>425000.0</v>
      </c>
      <c r="G659" s="464">
        <f t="shared" si="35"/>
        <v>1808.510638</v>
      </c>
      <c r="H659" s="464">
        <f t="shared" si="7"/>
        <v>7.416666667</v>
      </c>
      <c r="I659" s="464">
        <f t="shared" si="3"/>
        <v>0</v>
      </c>
      <c r="J659" s="464">
        <f t="shared" si="4"/>
        <v>0</v>
      </c>
      <c r="K659" s="465">
        <f t="shared" si="5"/>
        <v>13413.12057</v>
      </c>
      <c r="L659" s="466"/>
      <c r="M659" s="466"/>
      <c r="N659" s="465">
        <v>0.0</v>
      </c>
      <c r="O659" s="465">
        <f t="shared" si="36"/>
        <v>13413.12057</v>
      </c>
      <c r="P659" s="467"/>
    </row>
    <row r="660" ht="26.25" customHeight="1">
      <c r="A660" s="479">
        <v>46012.0</v>
      </c>
      <c r="B660" s="461" t="s">
        <v>20</v>
      </c>
      <c r="C660" s="461" t="str">
        <f t="shared" si="1"/>
        <v>الأحد</v>
      </c>
      <c r="D660" s="481">
        <v>0.34375</v>
      </c>
      <c r="E660" s="481">
        <v>0.8333333333333334</v>
      </c>
      <c r="F660" s="463">
        <v>425000.0</v>
      </c>
      <c r="G660" s="464">
        <f t="shared" si="35"/>
        <v>1808.510638</v>
      </c>
      <c r="H660" s="464">
        <f t="shared" si="7"/>
        <v>9.75</v>
      </c>
      <c r="I660" s="464">
        <f t="shared" si="3"/>
        <v>2</v>
      </c>
      <c r="J660" s="464">
        <f t="shared" si="4"/>
        <v>0</v>
      </c>
      <c r="K660" s="465">
        <f t="shared" si="5"/>
        <v>23058.51064</v>
      </c>
      <c r="L660" s="466"/>
      <c r="M660" s="466"/>
      <c r="N660" s="465">
        <v>0.0</v>
      </c>
      <c r="O660" s="465">
        <f t="shared" si="36"/>
        <v>23058.51064</v>
      </c>
      <c r="P660" s="467"/>
    </row>
    <row r="661" ht="26.25" customHeight="1">
      <c r="A661" s="479">
        <v>46015.0</v>
      </c>
      <c r="B661" s="461" t="s">
        <v>20</v>
      </c>
      <c r="C661" s="461" t="str">
        <f t="shared" si="1"/>
        <v>الأربعاء</v>
      </c>
      <c r="D661" s="481">
        <v>0.3333333333333333</v>
      </c>
      <c r="E661" s="481">
        <v>0.7083333333333334</v>
      </c>
      <c r="F661" s="463">
        <v>425000.0</v>
      </c>
      <c r="G661" s="464">
        <f t="shared" si="35"/>
        <v>1808.510638</v>
      </c>
      <c r="H661" s="464">
        <f t="shared" si="7"/>
        <v>9</v>
      </c>
      <c r="I661" s="464">
        <f t="shared" si="3"/>
        <v>0</v>
      </c>
      <c r="J661" s="464">
        <f t="shared" si="4"/>
        <v>0</v>
      </c>
      <c r="K661" s="465">
        <f t="shared" si="5"/>
        <v>16276.59574</v>
      </c>
      <c r="L661" s="466"/>
      <c r="M661" s="466"/>
      <c r="N661" s="465">
        <v>0.0</v>
      </c>
      <c r="O661" s="465">
        <f t="shared" si="36"/>
        <v>16276.59574</v>
      </c>
      <c r="P661" s="467"/>
    </row>
    <row r="662" ht="26.25" customHeight="1">
      <c r="A662" s="459">
        <v>45993.0</v>
      </c>
      <c r="B662" s="477" t="s">
        <v>2470</v>
      </c>
      <c r="C662" s="461" t="str">
        <f t="shared" si="1"/>
        <v>الثلاثاء</v>
      </c>
      <c r="D662" s="462">
        <v>0.3416666666666667</v>
      </c>
      <c r="E662" s="462">
        <v>0.7284722222222222</v>
      </c>
      <c r="F662" s="463">
        <v>300000.0</v>
      </c>
      <c r="G662" s="464">
        <f t="shared" si="35"/>
        <v>1276.595745</v>
      </c>
      <c r="H662" s="464">
        <f t="shared" si="7"/>
        <v>9.283333333</v>
      </c>
      <c r="I662" s="464">
        <f t="shared" si="3"/>
        <v>0</v>
      </c>
      <c r="J662" s="464">
        <f t="shared" si="4"/>
        <v>0</v>
      </c>
      <c r="K662" s="465">
        <f t="shared" si="5"/>
        <v>11851.06383</v>
      </c>
      <c r="L662" s="466"/>
      <c r="M662" s="466"/>
      <c r="N662" s="465">
        <v>0.0</v>
      </c>
      <c r="O662" s="465">
        <f t="shared" si="36"/>
        <v>11851.06383</v>
      </c>
      <c r="P662" s="467"/>
    </row>
    <row r="663" ht="26.25" customHeight="1">
      <c r="A663" s="459">
        <v>45994.0</v>
      </c>
      <c r="B663" s="477" t="s">
        <v>2470</v>
      </c>
      <c r="C663" s="461" t="str">
        <f t="shared" si="1"/>
        <v>الأربعاء</v>
      </c>
      <c r="D663" s="462">
        <v>0.3388888888888889</v>
      </c>
      <c r="E663" s="462">
        <v>0.71875</v>
      </c>
      <c r="F663" s="463">
        <v>300000.0</v>
      </c>
      <c r="G663" s="464">
        <f t="shared" si="35"/>
        <v>1276.595745</v>
      </c>
      <c r="H663" s="464">
        <f t="shared" si="7"/>
        <v>9.116666667</v>
      </c>
      <c r="I663" s="464">
        <f t="shared" si="3"/>
        <v>0</v>
      </c>
      <c r="J663" s="464">
        <f t="shared" si="4"/>
        <v>0</v>
      </c>
      <c r="K663" s="465">
        <f t="shared" si="5"/>
        <v>11638.29787</v>
      </c>
      <c r="L663" s="466"/>
      <c r="M663" s="466"/>
      <c r="N663" s="465">
        <v>0.0</v>
      </c>
      <c r="O663" s="465">
        <f t="shared" si="36"/>
        <v>11638.29787</v>
      </c>
      <c r="P663" s="467"/>
    </row>
    <row r="664" ht="26.25" customHeight="1">
      <c r="A664" s="459">
        <v>45995.0</v>
      </c>
      <c r="B664" s="477" t="s">
        <v>2470</v>
      </c>
      <c r="C664" s="461" t="str">
        <f t="shared" si="1"/>
        <v>الخميس</v>
      </c>
      <c r="D664" s="462">
        <v>0.3402777777777778</v>
      </c>
      <c r="E664" s="462">
        <v>0.7180555555555556</v>
      </c>
      <c r="F664" s="463">
        <v>300000.0</v>
      </c>
      <c r="G664" s="464">
        <f t="shared" si="35"/>
        <v>1276.595745</v>
      </c>
      <c r="H664" s="464">
        <f t="shared" si="7"/>
        <v>9.066666667</v>
      </c>
      <c r="I664" s="464">
        <f t="shared" si="3"/>
        <v>0</v>
      </c>
      <c r="J664" s="464">
        <f t="shared" si="4"/>
        <v>0</v>
      </c>
      <c r="K664" s="465">
        <f t="shared" si="5"/>
        <v>11574.46809</v>
      </c>
      <c r="L664" s="466"/>
      <c r="M664" s="466"/>
      <c r="N664" s="465">
        <v>0.0</v>
      </c>
      <c r="O664" s="465">
        <f t="shared" si="36"/>
        <v>11574.46809</v>
      </c>
      <c r="P664" s="467"/>
    </row>
    <row r="665" ht="26.25" customHeight="1">
      <c r="A665" s="459">
        <v>45997.0</v>
      </c>
      <c r="B665" s="477" t="s">
        <v>2470</v>
      </c>
      <c r="C665" s="461" t="str">
        <f t="shared" si="1"/>
        <v>السبت</v>
      </c>
      <c r="D665" s="462">
        <v>0.33819444444444446</v>
      </c>
      <c r="E665" s="462">
        <v>0.8416666666666667</v>
      </c>
      <c r="F665" s="463">
        <v>300000.0</v>
      </c>
      <c r="G665" s="464">
        <f t="shared" si="35"/>
        <v>1276.595745</v>
      </c>
      <c r="H665" s="464">
        <f t="shared" si="7"/>
        <v>9.883333333</v>
      </c>
      <c r="I665" s="464">
        <f t="shared" si="3"/>
        <v>2.2</v>
      </c>
      <c r="J665" s="464">
        <f t="shared" si="4"/>
        <v>0</v>
      </c>
      <c r="K665" s="465">
        <f t="shared" si="5"/>
        <v>16829.78723</v>
      </c>
      <c r="L665" s="466"/>
      <c r="M665" s="466"/>
      <c r="N665" s="465">
        <v>0.0</v>
      </c>
      <c r="O665" s="465">
        <f t="shared" si="36"/>
        <v>16829.78723</v>
      </c>
      <c r="P665" s="467"/>
    </row>
    <row r="666" ht="26.25" customHeight="1">
      <c r="A666" s="459">
        <v>45998.0</v>
      </c>
      <c r="B666" s="477" t="s">
        <v>2470</v>
      </c>
      <c r="C666" s="461" t="str">
        <f t="shared" si="1"/>
        <v>الأحد</v>
      </c>
      <c r="D666" s="462">
        <v>0.33541666666666664</v>
      </c>
      <c r="E666" s="462">
        <v>0.7104166666666667</v>
      </c>
      <c r="F666" s="463">
        <v>300000.0</v>
      </c>
      <c r="G666" s="464">
        <f t="shared" si="35"/>
        <v>1276.595745</v>
      </c>
      <c r="H666" s="464">
        <f t="shared" si="7"/>
        <v>9</v>
      </c>
      <c r="I666" s="464">
        <f t="shared" si="3"/>
        <v>0</v>
      </c>
      <c r="J666" s="464">
        <f t="shared" si="4"/>
        <v>0</v>
      </c>
      <c r="K666" s="465">
        <f t="shared" si="5"/>
        <v>11489.3617</v>
      </c>
      <c r="L666" s="466"/>
      <c r="M666" s="466"/>
      <c r="N666" s="465">
        <v>0.0</v>
      </c>
      <c r="O666" s="465">
        <f t="shared" si="36"/>
        <v>11489.3617</v>
      </c>
      <c r="P666" s="467"/>
    </row>
    <row r="667" ht="26.25" customHeight="1">
      <c r="A667" s="459">
        <v>45999.0</v>
      </c>
      <c r="B667" s="477" t="s">
        <v>2470</v>
      </c>
      <c r="C667" s="461" t="str">
        <f t="shared" si="1"/>
        <v>الاثنين</v>
      </c>
      <c r="D667" s="462">
        <v>0.34375</v>
      </c>
      <c r="E667" s="462">
        <v>0.10069444444444445</v>
      </c>
      <c r="F667" s="463">
        <v>300000.0</v>
      </c>
      <c r="G667" s="464">
        <f t="shared" si="35"/>
        <v>1276.595745</v>
      </c>
      <c r="H667" s="464">
        <f t="shared" si="7"/>
        <v>0</v>
      </c>
      <c r="I667" s="464">
        <f t="shared" si="3"/>
        <v>18.16666667</v>
      </c>
      <c r="J667" s="464">
        <f t="shared" si="4"/>
        <v>0</v>
      </c>
      <c r="K667" s="465">
        <f t="shared" si="5"/>
        <v>34787.23404</v>
      </c>
      <c r="L667" s="466"/>
      <c r="M667" s="466"/>
      <c r="N667" s="465">
        <v>0.0</v>
      </c>
      <c r="O667" s="465">
        <f t="shared" si="36"/>
        <v>34787.23404</v>
      </c>
      <c r="P667" s="467"/>
    </row>
    <row r="668" ht="26.25" customHeight="1">
      <c r="A668" s="459">
        <v>46000.0</v>
      </c>
      <c r="B668" s="477" t="s">
        <v>2470</v>
      </c>
      <c r="C668" s="461" t="str">
        <f t="shared" si="1"/>
        <v>الثلاثاء</v>
      </c>
      <c r="D668" s="462">
        <v>0.35208333333333336</v>
      </c>
      <c r="E668" s="462">
        <v>0.7145833333333333</v>
      </c>
      <c r="F668" s="463">
        <v>300000.0</v>
      </c>
      <c r="G668" s="464">
        <f t="shared" si="35"/>
        <v>1276.595745</v>
      </c>
      <c r="H668" s="464">
        <f t="shared" si="7"/>
        <v>8.7</v>
      </c>
      <c r="I668" s="464">
        <f t="shared" si="3"/>
        <v>0</v>
      </c>
      <c r="J668" s="464">
        <f t="shared" si="4"/>
        <v>0</v>
      </c>
      <c r="K668" s="465">
        <f t="shared" si="5"/>
        <v>11106.38298</v>
      </c>
      <c r="L668" s="466"/>
      <c r="M668" s="466"/>
      <c r="N668" s="465">
        <v>0.0</v>
      </c>
      <c r="O668" s="465">
        <f t="shared" si="36"/>
        <v>11106.38298</v>
      </c>
      <c r="P668" s="467"/>
    </row>
    <row r="669" ht="26.25" customHeight="1">
      <c r="A669" s="459">
        <v>46001.0</v>
      </c>
      <c r="B669" s="477" t="s">
        <v>2470</v>
      </c>
      <c r="C669" s="461" t="str">
        <f t="shared" si="1"/>
        <v>الأربعاء</v>
      </c>
      <c r="D669" s="462">
        <v>0.3486111111111111</v>
      </c>
      <c r="E669" s="462">
        <v>0.7138888888888889</v>
      </c>
      <c r="F669" s="463">
        <v>300000.0</v>
      </c>
      <c r="G669" s="464">
        <f t="shared" si="35"/>
        <v>1276.595745</v>
      </c>
      <c r="H669" s="464">
        <f t="shared" si="7"/>
        <v>8.766666667</v>
      </c>
      <c r="I669" s="464">
        <f t="shared" si="3"/>
        <v>0</v>
      </c>
      <c r="J669" s="464">
        <f t="shared" si="4"/>
        <v>0</v>
      </c>
      <c r="K669" s="465">
        <f t="shared" si="5"/>
        <v>11191.48936</v>
      </c>
      <c r="L669" s="466"/>
      <c r="M669" s="466"/>
      <c r="N669" s="465">
        <v>0.0</v>
      </c>
      <c r="O669" s="465">
        <f t="shared" si="36"/>
        <v>11191.48936</v>
      </c>
      <c r="P669" s="467"/>
    </row>
    <row r="670" ht="26.25" customHeight="1">
      <c r="A670" s="459">
        <v>46002.0</v>
      </c>
      <c r="B670" s="477" t="s">
        <v>2470</v>
      </c>
      <c r="C670" s="461" t="str">
        <f t="shared" si="1"/>
        <v>الخميس</v>
      </c>
      <c r="D670" s="462">
        <v>0.34791666666666665</v>
      </c>
      <c r="E670" s="462">
        <v>0.7472222222222222</v>
      </c>
      <c r="F670" s="463">
        <v>300000.0</v>
      </c>
      <c r="G670" s="464">
        <f t="shared" si="35"/>
        <v>1276.595745</v>
      </c>
      <c r="H670" s="464">
        <f t="shared" si="7"/>
        <v>9.583333333</v>
      </c>
      <c r="I670" s="464">
        <f t="shared" si="3"/>
        <v>0</v>
      </c>
      <c r="J670" s="464">
        <f t="shared" si="4"/>
        <v>0</v>
      </c>
      <c r="K670" s="465">
        <f t="shared" si="5"/>
        <v>12234.04255</v>
      </c>
      <c r="L670" s="466"/>
      <c r="M670" s="466"/>
      <c r="N670" s="465">
        <v>0.0</v>
      </c>
      <c r="O670" s="465">
        <f t="shared" si="36"/>
        <v>12234.04255</v>
      </c>
      <c r="P670" s="467"/>
    </row>
    <row r="671" ht="26.25" customHeight="1">
      <c r="A671" s="459">
        <v>46003.0</v>
      </c>
      <c r="B671" s="477" t="s">
        <v>2470</v>
      </c>
      <c r="C671" s="461" t="str">
        <f t="shared" si="1"/>
        <v>الجمعة</v>
      </c>
      <c r="D671" s="462">
        <v>0.3451388888888889</v>
      </c>
      <c r="E671" s="462">
        <v>0.7340277777777777</v>
      </c>
      <c r="F671" s="463">
        <v>300000.0</v>
      </c>
      <c r="G671" s="464">
        <f t="shared" si="35"/>
        <v>1276.595745</v>
      </c>
      <c r="H671" s="464">
        <f t="shared" si="7"/>
        <v>0</v>
      </c>
      <c r="I671" s="464">
        <f t="shared" si="3"/>
        <v>0</v>
      </c>
      <c r="J671" s="464">
        <f t="shared" si="4"/>
        <v>9.333333333</v>
      </c>
      <c r="K671" s="465">
        <f t="shared" si="5"/>
        <v>23829.78723</v>
      </c>
      <c r="L671" s="466"/>
      <c r="M671" s="466"/>
      <c r="N671" s="465">
        <v>0.0</v>
      </c>
      <c r="O671" s="465">
        <f t="shared" si="36"/>
        <v>23829.78723</v>
      </c>
      <c r="P671" s="467"/>
    </row>
    <row r="672" ht="26.25" customHeight="1">
      <c r="A672" s="459">
        <v>46004.0</v>
      </c>
      <c r="B672" s="477" t="s">
        <v>2470</v>
      </c>
      <c r="C672" s="461" t="str">
        <f t="shared" si="1"/>
        <v>السبت</v>
      </c>
      <c r="D672" s="462">
        <v>0.3451388888888889</v>
      </c>
      <c r="E672" s="462">
        <v>0.7208333333333333</v>
      </c>
      <c r="F672" s="463">
        <v>300000.0</v>
      </c>
      <c r="G672" s="464">
        <f t="shared" si="35"/>
        <v>1276.595745</v>
      </c>
      <c r="H672" s="464">
        <f t="shared" si="7"/>
        <v>9.016666667</v>
      </c>
      <c r="I672" s="464">
        <f t="shared" si="3"/>
        <v>0</v>
      </c>
      <c r="J672" s="464">
        <f t="shared" si="4"/>
        <v>0</v>
      </c>
      <c r="K672" s="465">
        <f t="shared" si="5"/>
        <v>11510.6383</v>
      </c>
      <c r="L672" s="466"/>
      <c r="M672" s="466"/>
      <c r="N672" s="465">
        <v>0.0</v>
      </c>
      <c r="O672" s="465">
        <f t="shared" si="36"/>
        <v>11510.6383</v>
      </c>
      <c r="P672" s="467"/>
    </row>
    <row r="673" ht="26.25" customHeight="1">
      <c r="A673" s="459">
        <v>46005.0</v>
      </c>
      <c r="B673" s="477" t="s">
        <v>2470</v>
      </c>
      <c r="C673" s="461" t="str">
        <f t="shared" si="1"/>
        <v>الأحد</v>
      </c>
      <c r="D673" s="462">
        <v>0.3458333333333333</v>
      </c>
      <c r="E673" s="462">
        <v>0.7472222222222222</v>
      </c>
      <c r="F673" s="463">
        <v>300000.0</v>
      </c>
      <c r="G673" s="464">
        <f t="shared" si="35"/>
        <v>1276.595745</v>
      </c>
      <c r="H673" s="464">
        <f t="shared" si="7"/>
        <v>9.633333333</v>
      </c>
      <c r="I673" s="464">
        <f t="shared" si="3"/>
        <v>0</v>
      </c>
      <c r="J673" s="464">
        <f t="shared" si="4"/>
        <v>0</v>
      </c>
      <c r="K673" s="465">
        <f t="shared" si="5"/>
        <v>12297.87234</v>
      </c>
      <c r="L673" s="466"/>
      <c r="M673" s="466"/>
      <c r="N673" s="465">
        <v>0.0</v>
      </c>
      <c r="O673" s="465">
        <f t="shared" si="36"/>
        <v>12297.87234</v>
      </c>
      <c r="P673" s="467"/>
    </row>
    <row r="674" ht="26.25" customHeight="1">
      <c r="A674" s="459">
        <v>46006.0</v>
      </c>
      <c r="B674" s="477" t="s">
        <v>2470</v>
      </c>
      <c r="C674" s="461" t="str">
        <f t="shared" si="1"/>
        <v>الاثنين</v>
      </c>
      <c r="D674" s="462">
        <v>0.34305555555555556</v>
      </c>
      <c r="E674" s="462">
        <v>0.7256944444444444</v>
      </c>
      <c r="F674" s="463">
        <v>300000.0</v>
      </c>
      <c r="G674" s="464">
        <f t="shared" si="35"/>
        <v>1276.595745</v>
      </c>
      <c r="H674" s="464">
        <f t="shared" si="7"/>
        <v>9.183333333</v>
      </c>
      <c r="I674" s="464">
        <f t="shared" si="3"/>
        <v>0</v>
      </c>
      <c r="J674" s="464">
        <f t="shared" si="4"/>
        <v>0</v>
      </c>
      <c r="K674" s="465">
        <f t="shared" si="5"/>
        <v>11723.40426</v>
      </c>
      <c r="L674" s="466"/>
      <c r="M674" s="466"/>
      <c r="N674" s="465">
        <v>0.0</v>
      </c>
      <c r="O674" s="465">
        <f t="shared" si="36"/>
        <v>11723.40426</v>
      </c>
      <c r="P674" s="467"/>
    </row>
    <row r="675" ht="26.25" customHeight="1">
      <c r="A675" s="459">
        <v>46007.0</v>
      </c>
      <c r="B675" s="477" t="s">
        <v>2470</v>
      </c>
      <c r="C675" s="461" t="str">
        <f t="shared" si="1"/>
        <v>الثلاثاء</v>
      </c>
      <c r="D675" s="462">
        <v>0.35</v>
      </c>
      <c r="E675" s="462">
        <v>0.7701388888888889</v>
      </c>
      <c r="F675" s="463">
        <v>300000.0</v>
      </c>
      <c r="G675" s="464">
        <f t="shared" si="35"/>
        <v>1276.595745</v>
      </c>
      <c r="H675" s="464">
        <f t="shared" si="7"/>
        <v>9.6</v>
      </c>
      <c r="I675" s="464">
        <f t="shared" si="3"/>
        <v>0.4833333333</v>
      </c>
      <c r="J675" s="464">
        <f t="shared" si="4"/>
        <v>0</v>
      </c>
      <c r="K675" s="465">
        <f t="shared" si="5"/>
        <v>13180.85106</v>
      </c>
      <c r="L675" s="466"/>
      <c r="M675" s="466"/>
      <c r="N675" s="465">
        <v>0.0</v>
      </c>
      <c r="O675" s="465">
        <f t="shared" si="36"/>
        <v>13180.85106</v>
      </c>
      <c r="P675" s="467"/>
    </row>
    <row r="676" ht="26.25" customHeight="1">
      <c r="A676" s="459">
        <v>46008.0</v>
      </c>
      <c r="B676" s="477" t="s">
        <v>2470</v>
      </c>
      <c r="C676" s="461" t="str">
        <f t="shared" si="1"/>
        <v>الأربعاء</v>
      </c>
      <c r="D676" s="462">
        <v>0.39444444444444443</v>
      </c>
      <c r="E676" s="462">
        <v>0.7256944444444444</v>
      </c>
      <c r="F676" s="463">
        <v>300000.0</v>
      </c>
      <c r="G676" s="464">
        <f t="shared" si="35"/>
        <v>1276.595745</v>
      </c>
      <c r="H676" s="464">
        <f t="shared" si="7"/>
        <v>7.95</v>
      </c>
      <c r="I676" s="464">
        <f t="shared" si="3"/>
        <v>0</v>
      </c>
      <c r="J676" s="464">
        <f t="shared" si="4"/>
        <v>0</v>
      </c>
      <c r="K676" s="465">
        <f t="shared" si="5"/>
        <v>10148.93617</v>
      </c>
      <c r="L676" s="466"/>
      <c r="M676" s="466"/>
      <c r="N676" s="465">
        <v>0.0</v>
      </c>
      <c r="O676" s="465">
        <f t="shared" si="36"/>
        <v>10148.93617</v>
      </c>
      <c r="P676" s="467"/>
    </row>
    <row r="677" ht="26.25" customHeight="1">
      <c r="A677" s="459">
        <v>46009.0</v>
      </c>
      <c r="B677" s="477" t="s">
        <v>2470</v>
      </c>
      <c r="C677" s="461" t="str">
        <f t="shared" si="1"/>
        <v>الخميس</v>
      </c>
      <c r="D677" s="462">
        <v>0.3451388888888889</v>
      </c>
      <c r="E677" s="462">
        <v>0.9902777777777778</v>
      </c>
      <c r="F677" s="463">
        <v>300000.0</v>
      </c>
      <c r="G677" s="464">
        <f t="shared" si="35"/>
        <v>1276.595745</v>
      </c>
      <c r="H677" s="464">
        <f t="shared" si="7"/>
        <v>9.716666667</v>
      </c>
      <c r="I677" s="464">
        <f t="shared" si="3"/>
        <v>5.766666667</v>
      </c>
      <c r="J677" s="464">
        <f t="shared" si="4"/>
        <v>0</v>
      </c>
      <c r="K677" s="465">
        <f t="shared" si="5"/>
        <v>23446.80851</v>
      </c>
      <c r="L677" s="466"/>
      <c r="M677" s="466"/>
      <c r="N677" s="465">
        <v>0.0</v>
      </c>
      <c r="O677" s="465">
        <f t="shared" si="36"/>
        <v>23446.80851</v>
      </c>
      <c r="P677" s="467"/>
    </row>
    <row r="678" ht="26.25" customHeight="1">
      <c r="A678" s="459">
        <v>46010.0</v>
      </c>
      <c r="B678" s="477" t="s">
        <v>2470</v>
      </c>
      <c r="C678" s="461" t="str">
        <f t="shared" si="1"/>
        <v>الجمعة</v>
      </c>
      <c r="D678" s="462">
        <v>0.38125</v>
      </c>
      <c r="E678" s="462">
        <v>0.73125</v>
      </c>
      <c r="F678" s="463">
        <v>300000.0</v>
      </c>
      <c r="G678" s="464">
        <f t="shared" si="35"/>
        <v>1276.595745</v>
      </c>
      <c r="H678" s="464">
        <f t="shared" si="7"/>
        <v>0</v>
      </c>
      <c r="I678" s="464">
        <f t="shared" si="3"/>
        <v>0</v>
      </c>
      <c r="J678" s="464">
        <f t="shared" si="4"/>
        <v>8.4</v>
      </c>
      <c r="K678" s="465">
        <f t="shared" si="5"/>
        <v>21446.80851</v>
      </c>
      <c r="L678" s="466"/>
      <c r="M678" s="466"/>
      <c r="N678" s="465">
        <v>0.0</v>
      </c>
      <c r="O678" s="465">
        <f t="shared" si="36"/>
        <v>21446.80851</v>
      </c>
      <c r="P678" s="467"/>
    </row>
    <row r="679" ht="26.25" customHeight="1">
      <c r="A679" s="459">
        <v>45992.0</v>
      </c>
      <c r="B679" s="477" t="s">
        <v>2471</v>
      </c>
      <c r="C679" s="461" t="str">
        <f t="shared" si="1"/>
        <v>الاثنين</v>
      </c>
      <c r="D679" s="480">
        <v>0.375</v>
      </c>
      <c r="E679" s="480">
        <v>0.6666666666715173</v>
      </c>
      <c r="F679" s="482">
        <v>950000.0</v>
      </c>
      <c r="G679" s="464">
        <f t="shared" ref="G679:G701" si="37">F679/198</f>
        <v>4797.979798</v>
      </c>
      <c r="H679" s="464">
        <f t="shared" si="7"/>
        <v>7</v>
      </c>
      <c r="I679" s="464">
        <f t="shared" si="3"/>
        <v>0</v>
      </c>
      <c r="J679" s="464">
        <f t="shared" si="4"/>
        <v>0</v>
      </c>
      <c r="K679" s="465">
        <f t="shared" si="5"/>
        <v>33585.85859</v>
      </c>
      <c r="L679" s="466"/>
      <c r="M679" s="466"/>
      <c r="N679" s="465">
        <v>0.0</v>
      </c>
      <c r="O679" s="465">
        <f t="shared" si="36"/>
        <v>33585.85859</v>
      </c>
      <c r="P679" s="467"/>
    </row>
    <row r="680" ht="26.25" customHeight="1">
      <c r="A680" s="459">
        <v>45993.0</v>
      </c>
      <c r="B680" s="477" t="s">
        <v>2471</v>
      </c>
      <c r="C680" s="461" t="str">
        <f t="shared" si="1"/>
        <v>الثلاثاء</v>
      </c>
      <c r="D680" s="481">
        <v>0.3854166666678793</v>
      </c>
      <c r="E680" s="481">
        <v>0.8194444444452529</v>
      </c>
      <c r="F680" s="482">
        <v>950000.0</v>
      </c>
      <c r="G680" s="464">
        <f t="shared" si="37"/>
        <v>4797.979798</v>
      </c>
      <c r="H680" s="464">
        <f t="shared" si="7"/>
        <v>8.75</v>
      </c>
      <c r="I680" s="464">
        <f t="shared" si="3"/>
        <v>1.666666667</v>
      </c>
      <c r="J680" s="464">
        <f t="shared" si="4"/>
        <v>0</v>
      </c>
      <c r="K680" s="465">
        <f t="shared" si="5"/>
        <v>53977.27273</v>
      </c>
      <c r="L680" s="466"/>
      <c r="M680" s="466"/>
      <c r="N680" s="465">
        <v>0.0</v>
      </c>
      <c r="O680" s="465">
        <f t="shared" si="36"/>
        <v>53977.27273</v>
      </c>
      <c r="P680" s="468" t="s">
        <v>2505</v>
      </c>
    </row>
    <row r="681" ht="26.25" customHeight="1">
      <c r="A681" s="459">
        <v>45994.0</v>
      </c>
      <c r="B681" s="477" t="s">
        <v>2471</v>
      </c>
      <c r="C681" s="461" t="str">
        <f t="shared" si="1"/>
        <v>الأربعاء</v>
      </c>
      <c r="D681" s="462">
        <v>0.4</v>
      </c>
      <c r="E681" s="481">
        <v>0.6458333333321207</v>
      </c>
      <c r="F681" s="482">
        <v>950000.0</v>
      </c>
      <c r="G681" s="464">
        <f t="shared" si="37"/>
        <v>4797.979798</v>
      </c>
      <c r="H681" s="464">
        <f t="shared" si="7"/>
        <v>5.9</v>
      </c>
      <c r="I681" s="464">
        <f t="shared" si="3"/>
        <v>0</v>
      </c>
      <c r="J681" s="464">
        <f t="shared" si="4"/>
        <v>0</v>
      </c>
      <c r="K681" s="465">
        <f t="shared" si="5"/>
        <v>28308.08081</v>
      </c>
      <c r="L681" s="466"/>
      <c r="M681" s="466"/>
      <c r="N681" s="465">
        <v>0.0</v>
      </c>
      <c r="O681" s="465">
        <f t="shared" si="36"/>
        <v>28308.08081</v>
      </c>
      <c r="P681" s="467"/>
    </row>
    <row r="682" ht="26.25" customHeight="1">
      <c r="A682" s="459">
        <v>45995.0</v>
      </c>
      <c r="B682" s="477" t="s">
        <v>2471</v>
      </c>
      <c r="C682" s="461" t="str">
        <f t="shared" si="1"/>
        <v>الخميس</v>
      </c>
      <c r="D682" s="462">
        <v>0.6951388888888889</v>
      </c>
      <c r="E682" s="481">
        <v>0.041666666667879326</v>
      </c>
      <c r="F682" s="482">
        <v>950000.0</v>
      </c>
      <c r="G682" s="464">
        <f t="shared" si="37"/>
        <v>4797.979798</v>
      </c>
      <c r="H682" s="464">
        <f t="shared" si="7"/>
        <v>0</v>
      </c>
      <c r="I682" s="464">
        <f t="shared" si="3"/>
        <v>8.316666667</v>
      </c>
      <c r="J682" s="464">
        <f t="shared" si="4"/>
        <v>0</v>
      </c>
      <c r="K682" s="465">
        <f t="shared" si="5"/>
        <v>59854.79798</v>
      </c>
      <c r="L682" s="466"/>
      <c r="M682" s="466"/>
      <c r="N682" s="465">
        <v>0.0</v>
      </c>
      <c r="O682" s="465">
        <f t="shared" si="36"/>
        <v>59854.79798</v>
      </c>
      <c r="P682" s="467"/>
    </row>
    <row r="683" ht="26.25" customHeight="1">
      <c r="A683" s="459">
        <v>45997.0</v>
      </c>
      <c r="B683" s="477" t="s">
        <v>2471</v>
      </c>
      <c r="C683" s="461" t="str">
        <f t="shared" si="1"/>
        <v>السبت</v>
      </c>
      <c r="D683" s="462">
        <v>0.40625</v>
      </c>
      <c r="E683" s="481">
        <v>0.6666666666678793</v>
      </c>
      <c r="F683" s="482">
        <v>950000.0</v>
      </c>
      <c r="G683" s="464">
        <f t="shared" si="37"/>
        <v>4797.979798</v>
      </c>
      <c r="H683" s="464">
        <f t="shared" si="7"/>
        <v>6.25</v>
      </c>
      <c r="I683" s="464">
        <f t="shared" si="3"/>
        <v>0</v>
      </c>
      <c r="J683" s="464">
        <f t="shared" si="4"/>
        <v>0</v>
      </c>
      <c r="K683" s="465">
        <f t="shared" si="5"/>
        <v>29987.37374</v>
      </c>
      <c r="L683" s="466"/>
      <c r="M683" s="466"/>
      <c r="N683" s="465">
        <v>0.0</v>
      </c>
      <c r="O683" s="465">
        <f t="shared" si="36"/>
        <v>29987.37374</v>
      </c>
      <c r="P683" s="468" t="s">
        <v>2506</v>
      </c>
    </row>
    <row r="684" ht="26.25" customHeight="1">
      <c r="A684" s="459">
        <v>45998.0</v>
      </c>
      <c r="B684" s="477" t="s">
        <v>2471</v>
      </c>
      <c r="C684" s="461" t="str">
        <f t="shared" si="1"/>
        <v>الأحد</v>
      </c>
      <c r="D684" s="462">
        <v>0.38333333333333336</v>
      </c>
      <c r="E684" s="481">
        <v>0.71875</v>
      </c>
      <c r="F684" s="482">
        <v>950000.0</v>
      </c>
      <c r="G684" s="464">
        <f t="shared" si="37"/>
        <v>4797.979798</v>
      </c>
      <c r="H684" s="464">
        <f t="shared" si="7"/>
        <v>8.05</v>
      </c>
      <c r="I684" s="464">
        <f t="shared" si="3"/>
        <v>0</v>
      </c>
      <c r="J684" s="464">
        <f t="shared" si="4"/>
        <v>0</v>
      </c>
      <c r="K684" s="465">
        <f t="shared" si="5"/>
        <v>38623.73737</v>
      </c>
      <c r="L684" s="466"/>
      <c r="M684" s="466"/>
      <c r="N684" s="465">
        <v>0.0</v>
      </c>
      <c r="O684" s="465">
        <f t="shared" si="36"/>
        <v>38623.73737</v>
      </c>
      <c r="P684" s="468" t="s">
        <v>2506</v>
      </c>
    </row>
    <row r="685" ht="26.25" customHeight="1">
      <c r="A685" s="459">
        <v>45999.0</v>
      </c>
      <c r="B685" s="477" t="s">
        <v>2471</v>
      </c>
      <c r="C685" s="461" t="str">
        <f t="shared" si="1"/>
        <v>الاثنين</v>
      </c>
      <c r="D685" s="462">
        <v>0.38472222222222224</v>
      </c>
      <c r="E685" s="481">
        <v>0.9791666666678793</v>
      </c>
      <c r="F685" s="482">
        <v>950000.0</v>
      </c>
      <c r="G685" s="464">
        <f t="shared" si="37"/>
        <v>4797.979798</v>
      </c>
      <c r="H685" s="464">
        <f t="shared" si="7"/>
        <v>8.766666667</v>
      </c>
      <c r="I685" s="464">
        <f t="shared" si="3"/>
        <v>5.5</v>
      </c>
      <c r="J685" s="464">
        <f t="shared" si="4"/>
        <v>0</v>
      </c>
      <c r="K685" s="465">
        <f t="shared" si="5"/>
        <v>81645.6229</v>
      </c>
      <c r="L685" s="466"/>
      <c r="M685" s="466"/>
      <c r="N685" s="465">
        <v>0.0</v>
      </c>
      <c r="O685" s="465">
        <f t="shared" si="36"/>
        <v>81645.6229</v>
      </c>
      <c r="P685" s="467"/>
    </row>
    <row r="686" ht="26.25" customHeight="1">
      <c r="A686" s="459">
        <v>46000.0</v>
      </c>
      <c r="B686" s="477" t="s">
        <v>2471</v>
      </c>
      <c r="C686" s="461" t="str">
        <f t="shared" si="1"/>
        <v>الثلاثاء</v>
      </c>
      <c r="D686" s="462">
        <v>0.37430555555555556</v>
      </c>
      <c r="E686" s="462">
        <v>0.6083333333333333</v>
      </c>
      <c r="F686" s="482">
        <v>950000.0</v>
      </c>
      <c r="G686" s="464">
        <f t="shared" si="37"/>
        <v>4797.979798</v>
      </c>
      <c r="H686" s="464">
        <f t="shared" si="7"/>
        <v>5.616666667</v>
      </c>
      <c r="I686" s="464">
        <f t="shared" si="3"/>
        <v>0</v>
      </c>
      <c r="J686" s="464">
        <f t="shared" si="4"/>
        <v>0</v>
      </c>
      <c r="K686" s="465">
        <f t="shared" si="5"/>
        <v>26948.6532</v>
      </c>
      <c r="L686" s="466"/>
      <c r="M686" s="466"/>
      <c r="N686" s="465">
        <v>0.0</v>
      </c>
      <c r="O686" s="465">
        <f t="shared" si="36"/>
        <v>26948.6532</v>
      </c>
      <c r="P686" s="467"/>
    </row>
    <row r="687" ht="26.25" customHeight="1">
      <c r="A687" s="459">
        <v>46001.0</v>
      </c>
      <c r="B687" s="477" t="s">
        <v>2471</v>
      </c>
      <c r="C687" s="461" t="str">
        <f t="shared" si="1"/>
        <v>الأربعاء</v>
      </c>
      <c r="D687" s="480">
        <v>0.6805555555547471</v>
      </c>
      <c r="E687" s="480">
        <v>0.15625</v>
      </c>
      <c r="F687" s="482">
        <v>950000.0</v>
      </c>
      <c r="G687" s="464">
        <f t="shared" si="37"/>
        <v>4797.979798</v>
      </c>
      <c r="H687" s="464">
        <f t="shared" si="7"/>
        <v>0</v>
      </c>
      <c r="I687" s="464">
        <f t="shared" si="3"/>
        <v>11.41666667</v>
      </c>
      <c r="J687" s="464">
        <f t="shared" si="4"/>
        <v>0</v>
      </c>
      <c r="K687" s="465">
        <f t="shared" si="5"/>
        <v>82165.40404</v>
      </c>
      <c r="L687" s="466"/>
      <c r="M687" s="466"/>
      <c r="N687" s="465">
        <v>0.0</v>
      </c>
      <c r="O687" s="465">
        <f t="shared" si="36"/>
        <v>82165.40404</v>
      </c>
      <c r="P687" s="467"/>
    </row>
    <row r="688" ht="26.25" customHeight="1">
      <c r="A688" s="459">
        <v>46002.0</v>
      </c>
      <c r="B688" s="477" t="s">
        <v>2471</v>
      </c>
      <c r="C688" s="461" t="str">
        <f t="shared" si="1"/>
        <v>الخميس</v>
      </c>
      <c r="D688" s="462">
        <v>0.5493055555555556</v>
      </c>
      <c r="E688" s="462">
        <v>0.8659722222222223</v>
      </c>
      <c r="F688" s="482">
        <v>950000.0</v>
      </c>
      <c r="G688" s="464">
        <f t="shared" si="37"/>
        <v>4797.979798</v>
      </c>
      <c r="H688" s="464">
        <f t="shared" si="7"/>
        <v>4.816666667</v>
      </c>
      <c r="I688" s="464">
        <f t="shared" si="3"/>
        <v>2.783333333</v>
      </c>
      <c r="J688" s="464">
        <f t="shared" si="4"/>
        <v>0</v>
      </c>
      <c r="K688" s="465">
        <f t="shared" si="5"/>
        <v>43141.83502</v>
      </c>
      <c r="L688" s="466"/>
      <c r="M688" s="466"/>
      <c r="N688" s="465">
        <v>0.0</v>
      </c>
      <c r="O688" s="465">
        <f t="shared" si="36"/>
        <v>43141.83502</v>
      </c>
      <c r="P688" s="468" t="s">
        <v>2507</v>
      </c>
    </row>
    <row r="689" ht="26.25" customHeight="1">
      <c r="A689" s="459">
        <v>46004.0</v>
      </c>
      <c r="B689" s="477" t="s">
        <v>2471</v>
      </c>
      <c r="C689" s="461" t="str">
        <f t="shared" si="1"/>
        <v>السبت</v>
      </c>
      <c r="D689" s="462">
        <v>0.3798611111111111</v>
      </c>
      <c r="E689" s="481">
        <v>0.6666666666678793</v>
      </c>
      <c r="F689" s="482">
        <v>950000.0</v>
      </c>
      <c r="G689" s="464">
        <f t="shared" si="37"/>
        <v>4797.979798</v>
      </c>
      <c r="H689" s="464">
        <f t="shared" si="7"/>
        <v>6.883333333</v>
      </c>
      <c r="I689" s="464">
        <f t="shared" si="3"/>
        <v>0</v>
      </c>
      <c r="J689" s="464">
        <f t="shared" si="4"/>
        <v>0</v>
      </c>
      <c r="K689" s="465">
        <f t="shared" si="5"/>
        <v>33026.09428</v>
      </c>
      <c r="L689" s="466"/>
      <c r="M689" s="466"/>
      <c r="N689" s="465">
        <v>0.0</v>
      </c>
      <c r="O689" s="465">
        <f t="shared" si="36"/>
        <v>33026.09428</v>
      </c>
      <c r="P689" s="467"/>
    </row>
    <row r="690" ht="26.25" customHeight="1">
      <c r="A690" s="459">
        <v>46005.0</v>
      </c>
      <c r="B690" s="477" t="s">
        <v>2471</v>
      </c>
      <c r="C690" s="461" t="str">
        <f t="shared" si="1"/>
        <v>الأحد</v>
      </c>
      <c r="D690" s="462">
        <v>0.38125</v>
      </c>
      <c r="E690" s="481">
        <v>0.7083333333321207</v>
      </c>
      <c r="F690" s="482">
        <v>950000.0</v>
      </c>
      <c r="G690" s="464">
        <f t="shared" si="37"/>
        <v>4797.979798</v>
      </c>
      <c r="H690" s="464">
        <f t="shared" si="7"/>
        <v>7.85</v>
      </c>
      <c r="I690" s="464">
        <f t="shared" si="3"/>
        <v>0</v>
      </c>
      <c r="J690" s="464">
        <f t="shared" si="4"/>
        <v>0</v>
      </c>
      <c r="K690" s="465">
        <f t="shared" si="5"/>
        <v>37664.14141</v>
      </c>
      <c r="L690" s="466"/>
      <c r="M690" s="466"/>
      <c r="N690" s="465">
        <v>0.0</v>
      </c>
      <c r="O690" s="465">
        <f t="shared" si="36"/>
        <v>37664.14141</v>
      </c>
      <c r="P690" s="467"/>
    </row>
    <row r="691" ht="26.25" customHeight="1">
      <c r="A691" s="459">
        <v>46007.0</v>
      </c>
      <c r="B691" s="477" t="s">
        <v>2471</v>
      </c>
      <c r="C691" s="461" t="str">
        <f t="shared" si="1"/>
        <v>الثلاثاء</v>
      </c>
      <c r="D691" s="462">
        <v>0.6840277777777778</v>
      </c>
      <c r="E691" s="481">
        <v>0.9479166666678793</v>
      </c>
      <c r="F691" s="482">
        <v>950000.0</v>
      </c>
      <c r="G691" s="464">
        <f t="shared" si="37"/>
        <v>4797.979798</v>
      </c>
      <c r="H691" s="464">
        <f t="shared" si="7"/>
        <v>1.583333333</v>
      </c>
      <c r="I691" s="464">
        <f t="shared" si="3"/>
        <v>4.75</v>
      </c>
      <c r="J691" s="464">
        <f t="shared" si="4"/>
        <v>0</v>
      </c>
      <c r="K691" s="465">
        <f t="shared" si="5"/>
        <v>41782.40741</v>
      </c>
      <c r="L691" s="466"/>
      <c r="M691" s="466"/>
      <c r="N691" s="465">
        <v>0.0</v>
      </c>
      <c r="O691" s="465">
        <f t="shared" si="36"/>
        <v>41782.40741</v>
      </c>
      <c r="P691" s="467"/>
    </row>
    <row r="692" ht="26.25" customHeight="1">
      <c r="A692" s="459">
        <v>46008.0</v>
      </c>
      <c r="B692" s="477" t="s">
        <v>2471</v>
      </c>
      <c r="C692" s="461" t="str">
        <f t="shared" si="1"/>
        <v>الأربعاء</v>
      </c>
      <c r="D692" s="462">
        <v>0.5055555555555555</v>
      </c>
      <c r="E692" s="481">
        <v>0.8194444444452529</v>
      </c>
      <c r="F692" s="482">
        <v>950000.0</v>
      </c>
      <c r="G692" s="464">
        <f t="shared" si="37"/>
        <v>4797.979798</v>
      </c>
      <c r="H692" s="464">
        <f t="shared" si="7"/>
        <v>5.866666667</v>
      </c>
      <c r="I692" s="464">
        <f t="shared" si="3"/>
        <v>1.666666667</v>
      </c>
      <c r="J692" s="464">
        <f t="shared" si="4"/>
        <v>0</v>
      </c>
      <c r="K692" s="465">
        <f t="shared" si="5"/>
        <v>40143.09764</v>
      </c>
      <c r="L692" s="466"/>
      <c r="M692" s="466"/>
      <c r="N692" s="465">
        <v>0.0</v>
      </c>
      <c r="O692" s="465">
        <f t="shared" si="36"/>
        <v>40143.09764</v>
      </c>
      <c r="P692" s="468" t="s">
        <v>2508</v>
      </c>
    </row>
    <row r="693" ht="26.25" customHeight="1">
      <c r="A693" s="459">
        <v>46009.0</v>
      </c>
      <c r="B693" s="477" t="s">
        <v>2471</v>
      </c>
      <c r="C693" s="461" t="str">
        <f t="shared" si="1"/>
        <v>الخميس</v>
      </c>
      <c r="D693" s="481">
        <v>0.42361111110949423</v>
      </c>
      <c r="E693" s="462">
        <v>0.6465277777777778</v>
      </c>
      <c r="F693" s="482">
        <v>950000.0</v>
      </c>
      <c r="G693" s="464">
        <f t="shared" si="37"/>
        <v>4797.979798</v>
      </c>
      <c r="H693" s="464">
        <f t="shared" si="7"/>
        <v>5.35</v>
      </c>
      <c r="I693" s="464">
        <f t="shared" si="3"/>
        <v>0</v>
      </c>
      <c r="J693" s="464">
        <f t="shared" si="4"/>
        <v>0</v>
      </c>
      <c r="K693" s="465">
        <f t="shared" si="5"/>
        <v>25669.19192</v>
      </c>
      <c r="L693" s="466"/>
      <c r="M693" s="466"/>
      <c r="N693" s="465">
        <v>0.0</v>
      </c>
      <c r="O693" s="465">
        <f t="shared" si="36"/>
        <v>25669.19192</v>
      </c>
      <c r="P693" s="467"/>
    </row>
    <row r="694" ht="26.25" customHeight="1">
      <c r="A694" s="459">
        <v>46011.0</v>
      </c>
      <c r="B694" s="477" t="s">
        <v>2471</v>
      </c>
      <c r="C694" s="461" t="str">
        <f t="shared" si="1"/>
        <v>السبت</v>
      </c>
      <c r="D694" s="462">
        <v>0.37569444444444444</v>
      </c>
      <c r="E694" s="481">
        <v>0.6736111111094942</v>
      </c>
      <c r="F694" s="482">
        <v>950000.0</v>
      </c>
      <c r="G694" s="464">
        <f t="shared" si="37"/>
        <v>4797.979798</v>
      </c>
      <c r="H694" s="464">
        <f t="shared" si="7"/>
        <v>7.15</v>
      </c>
      <c r="I694" s="464">
        <f t="shared" si="3"/>
        <v>0</v>
      </c>
      <c r="J694" s="464">
        <f t="shared" si="4"/>
        <v>0</v>
      </c>
      <c r="K694" s="465">
        <f t="shared" si="5"/>
        <v>34305.55556</v>
      </c>
      <c r="L694" s="466"/>
      <c r="M694" s="466"/>
      <c r="N694" s="465">
        <v>0.0</v>
      </c>
      <c r="O694" s="465">
        <f t="shared" si="36"/>
        <v>34305.55556</v>
      </c>
      <c r="P694" s="467"/>
    </row>
    <row r="695" ht="26.25" customHeight="1">
      <c r="A695" s="459">
        <v>46013.0</v>
      </c>
      <c r="B695" s="477" t="s">
        <v>2471</v>
      </c>
      <c r="C695" s="461" t="str">
        <f t="shared" si="1"/>
        <v>الاثنين</v>
      </c>
      <c r="D695" s="462">
        <v>0.19166666666666668</v>
      </c>
      <c r="E695" s="481">
        <v>0.9583333333321207</v>
      </c>
      <c r="F695" s="482">
        <v>950000.0</v>
      </c>
      <c r="G695" s="464">
        <f t="shared" si="37"/>
        <v>4797.979798</v>
      </c>
      <c r="H695" s="464">
        <f t="shared" si="7"/>
        <v>12</v>
      </c>
      <c r="I695" s="464">
        <f t="shared" si="3"/>
        <v>6.4</v>
      </c>
      <c r="J695" s="464">
        <f t="shared" si="4"/>
        <v>0</v>
      </c>
      <c r="K695" s="465">
        <f t="shared" si="5"/>
        <v>103636.3636</v>
      </c>
      <c r="L695" s="466"/>
      <c r="M695" s="466"/>
      <c r="N695" s="465">
        <v>0.0</v>
      </c>
      <c r="O695" s="465">
        <f t="shared" si="36"/>
        <v>103636.3636</v>
      </c>
      <c r="P695" s="467"/>
    </row>
    <row r="696" ht="26.25" customHeight="1">
      <c r="A696" s="459">
        <v>46014.0</v>
      </c>
      <c r="B696" s="477" t="s">
        <v>2471</v>
      </c>
      <c r="C696" s="461" t="str">
        <f t="shared" si="1"/>
        <v>الثلاثاء</v>
      </c>
      <c r="D696" s="462">
        <v>0.41805555555555557</v>
      </c>
      <c r="E696" s="462">
        <v>0.6652777777777777</v>
      </c>
      <c r="F696" s="482">
        <v>950000.0</v>
      </c>
      <c r="G696" s="464">
        <f t="shared" si="37"/>
        <v>4797.979798</v>
      </c>
      <c r="H696" s="464">
        <f t="shared" si="7"/>
        <v>5.933333333</v>
      </c>
      <c r="I696" s="464">
        <f t="shared" si="3"/>
        <v>0</v>
      </c>
      <c r="J696" s="464">
        <f t="shared" si="4"/>
        <v>0</v>
      </c>
      <c r="K696" s="465">
        <f t="shared" si="5"/>
        <v>28468.01347</v>
      </c>
      <c r="L696" s="466"/>
      <c r="M696" s="466"/>
      <c r="N696" s="465">
        <v>0.0</v>
      </c>
      <c r="O696" s="465">
        <f t="shared" si="36"/>
        <v>28468.01347</v>
      </c>
      <c r="P696" s="468" t="s">
        <v>2506</v>
      </c>
    </row>
    <row r="697" ht="26.25" customHeight="1">
      <c r="A697" s="459">
        <v>46015.0</v>
      </c>
      <c r="B697" s="477" t="s">
        <v>2471</v>
      </c>
      <c r="C697" s="461" t="str">
        <f t="shared" si="1"/>
        <v>الأربعاء</v>
      </c>
      <c r="D697" s="481">
        <v>0.3958333333321207</v>
      </c>
      <c r="E697" s="483">
        <v>0.6458333333321207</v>
      </c>
      <c r="F697" s="482">
        <v>950000.0</v>
      </c>
      <c r="G697" s="464">
        <f t="shared" si="37"/>
        <v>4797.979798</v>
      </c>
      <c r="H697" s="464">
        <f t="shared" si="7"/>
        <v>6</v>
      </c>
      <c r="I697" s="464">
        <f t="shared" si="3"/>
        <v>0</v>
      </c>
      <c r="J697" s="464">
        <f t="shared" si="4"/>
        <v>0</v>
      </c>
      <c r="K697" s="465">
        <f t="shared" si="5"/>
        <v>28787.87879</v>
      </c>
      <c r="L697" s="466"/>
      <c r="M697" s="466"/>
      <c r="N697" s="465">
        <v>0.0</v>
      </c>
      <c r="O697" s="465">
        <f t="shared" si="36"/>
        <v>28787.87879</v>
      </c>
      <c r="P697" s="467"/>
    </row>
    <row r="698" ht="26.25" customHeight="1">
      <c r="A698" s="459">
        <v>46016.0</v>
      </c>
      <c r="B698" s="477" t="s">
        <v>2471</v>
      </c>
      <c r="C698" s="461" t="str">
        <f t="shared" si="1"/>
        <v>الخميس</v>
      </c>
      <c r="D698" s="484">
        <v>0.37361111110658385</v>
      </c>
      <c r="E698" s="485">
        <v>0.7472222222204437</v>
      </c>
      <c r="F698" s="482">
        <v>950000.0</v>
      </c>
      <c r="G698" s="464">
        <f t="shared" si="37"/>
        <v>4797.979798</v>
      </c>
      <c r="H698" s="464">
        <f t="shared" si="7"/>
        <v>8.966666667</v>
      </c>
      <c r="I698" s="464">
        <f t="shared" si="3"/>
        <v>0</v>
      </c>
      <c r="J698" s="464">
        <f t="shared" si="4"/>
        <v>0</v>
      </c>
      <c r="K698" s="465">
        <f t="shared" si="5"/>
        <v>43021.88552</v>
      </c>
      <c r="L698" s="466"/>
      <c r="M698" s="466"/>
      <c r="N698" s="465">
        <v>0.0</v>
      </c>
      <c r="O698" s="465">
        <f t="shared" si="36"/>
        <v>43021.88552</v>
      </c>
      <c r="P698" s="467"/>
    </row>
    <row r="699" ht="26.25" customHeight="1">
      <c r="A699" s="459">
        <v>46018.0</v>
      </c>
      <c r="B699" s="477" t="s">
        <v>2471</v>
      </c>
      <c r="C699" s="461" t="str">
        <f t="shared" si="1"/>
        <v>السبت</v>
      </c>
      <c r="D699" s="484">
        <v>0.37222222222044365</v>
      </c>
      <c r="E699" s="485">
        <v>0.6652777777781012</v>
      </c>
      <c r="F699" s="482">
        <v>950000.0</v>
      </c>
      <c r="G699" s="464">
        <f t="shared" si="37"/>
        <v>4797.979798</v>
      </c>
      <c r="H699" s="464">
        <f t="shared" si="7"/>
        <v>7.033333333</v>
      </c>
      <c r="I699" s="464">
        <f t="shared" si="3"/>
        <v>0</v>
      </c>
      <c r="J699" s="464">
        <f t="shared" si="4"/>
        <v>0</v>
      </c>
      <c r="K699" s="465">
        <f t="shared" si="5"/>
        <v>33745.79125</v>
      </c>
      <c r="L699" s="466"/>
      <c r="M699" s="466"/>
      <c r="N699" s="465">
        <v>0.0</v>
      </c>
      <c r="O699" s="465">
        <f t="shared" si="36"/>
        <v>33745.79125</v>
      </c>
      <c r="P699" s="467"/>
    </row>
    <row r="700" ht="26.25" customHeight="1">
      <c r="A700" s="459">
        <v>46019.0</v>
      </c>
      <c r="B700" s="477" t="s">
        <v>2471</v>
      </c>
      <c r="C700" s="461" t="str">
        <f t="shared" si="1"/>
        <v>الأحد</v>
      </c>
      <c r="D700" s="484">
        <v>0.6861111111065838</v>
      </c>
      <c r="E700" s="485">
        <v>0.004166666665696539</v>
      </c>
      <c r="F700" s="482">
        <v>950000.0</v>
      </c>
      <c r="G700" s="464">
        <f t="shared" si="37"/>
        <v>4797.979798</v>
      </c>
      <c r="H700" s="464">
        <f t="shared" si="7"/>
        <v>0</v>
      </c>
      <c r="I700" s="464">
        <f t="shared" si="3"/>
        <v>7.633333333</v>
      </c>
      <c r="J700" s="464">
        <f t="shared" si="4"/>
        <v>0</v>
      </c>
      <c r="K700" s="465">
        <f t="shared" si="5"/>
        <v>54936.86869</v>
      </c>
      <c r="L700" s="466"/>
      <c r="M700" s="466"/>
      <c r="N700" s="465">
        <v>0.0</v>
      </c>
      <c r="O700" s="465">
        <f t="shared" si="36"/>
        <v>54936.86869</v>
      </c>
      <c r="P700" s="467"/>
    </row>
    <row r="701" ht="26.25" customHeight="1">
      <c r="A701" s="459">
        <v>46021.0</v>
      </c>
      <c r="B701" s="477" t="s">
        <v>2471</v>
      </c>
      <c r="C701" s="461" t="str">
        <f t="shared" si="1"/>
        <v>الثلاثاء</v>
      </c>
      <c r="D701" s="484">
        <v>0.6868055555532919</v>
      </c>
      <c r="E701" s="485">
        <v>0.7916666666715173</v>
      </c>
      <c r="F701" s="482">
        <v>950000.0</v>
      </c>
      <c r="G701" s="464">
        <f t="shared" si="37"/>
        <v>4797.979798</v>
      </c>
      <c r="H701" s="464">
        <f t="shared" si="7"/>
        <v>1.516666667</v>
      </c>
      <c r="I701" s="464">
        <f t="shared" si="3"/>
        <v>1</v>
      </c>
      <c r="J701" s="464">
        <f t="shared" si="4"/>
        <v>0</v>
      </c>
      <c r="K701" s="465">
        <f t="shared" si="5"/>
        <v>14473.90573</v>
      </c>
      <c r="L701" s="466"/>
      <c r="M701" s="466"/>
      <c r="N701" s="465">
        <v>0.0</v>
      </c>
      <c r="O701" s="465">
        <f t="shared" si="36"/>
        <v>14473.90573</v>
      </c>
      <c r="P701" s="467"/>
    </row>
    <row r="702" ht="26.25" customHeight="1">
      <c r="A702" s="459">
        <v>45992.0</v>
      </c>
      <c r="B702" s="461" t="s">
        <v>2377</v>
      </c>
      <c r="C702" s="461" t="str">
        <f t="shared" si="1"/>
        <v>الاثنين</v>
      </c>
      <c r="D702" s="462">
        <v>0.3333333333333333</v>
      </c>
      <c r="E702" s="462">
        <v>0.9583333333333334</v>
      </c>
      <c r="F702" s="482">
        <v>750000.0</v>
      </c>
      <c r="G702" s="464">
        <f t="shared" ref="G702:G731" si="38">F702/235</f>
        <v>3191.489362</v>
      </c>
      <c r="H702" s="464">
        <f t="shared" ref="H702:H731" si="39">24*(IF(E702&lt;D702,E702+1-D702,E702-D702))</f>
        <v>15</v>
      </c>
      <c r="I702" s="464">
        <f t="shared" ref="I702:I745" si="40">MIN(9,H702)</f>
        <v>9</v>
      </c>
      <c r="J702" s="464">
        <f t="shared" ref="J702:J745" si="41">MAX(0,H702-9)</f>
        <v>6</v>
      </c>
      <c r="K702" s="465">
        <f t="shared" ref="K702:K731" si="42">I702*G702</f>
        <v>28723.40426</v>
      </c>
      <c r="L702" s="466"/>
      <c r="M702" s="466"/>
      <c r="N702" s="465">
        <f t="shared" ref="N702:N745" si="43"> J702*G702* 1.5</f>
        <v>28723.40426</v>
      </c>
      <c r="O702" s="465">
        <f t="shared" ref="O702:O731" si="44">K702+N702</f>
        <v>57446.80851</v>
      </c>
      <c r="P702" s="467"/>
    </row>
    <row r="703" ht="26.25" customHeight="1">
      <c r="A703" s="459">
        <v>45993.0</v>
      </c>
      <c r="B703" s="461" t="s">
        <v>2377</v>
      </c>
      <c r="C703" s="461" t="str">
        <f t="shared" si="1"/>
        <v>الثلاثاء</v>
      </c>
      <c r="D703" s="462">
        <v>0.3416666666666667</v>
      </c>
      <c r="E703" s="462">
        <v>0.9048611111111111</v>
      </c>
      <c r="F703" s="482">
        <v>750000.0</v>
      </c>
      <c r="G703" s="464">
        <f t="shared" si="38"/>
        <v>3191.489362</v>
      </c>
      <c r="H703" s="464">
        <f t="shared" si="39"/>
        <v>13.51666667</v>
      </c>
      <c r="I703" s="464">
        <f t="shared" si="40"/>
        <v>9</v>
      </c>
      <c r="J703" s="464">
        <f t="shared" si="41"/>
        <v>4.516666667</v>
      </c>
      <c r="K703" s="465">
        <f t="shared" si="42"/>
        <v>28723.40426</v>
      </c>
      <c r="L703" s="466"/>
      <c r="M703" s="466"/>
      <c r="N703" s="465">
        <f t="shared" si="43"/>
        <v>21622.34043</v>
      </c>
      <c r="O703" s="465">
        <f t="shared" si="44"/>
        <v>50345.74468</v>
      </c>
      <c r="P703" s="467"/>
    </row>
    <row r="704" ht="26.25" customHeight="1">
      <c r="A704" s="459">
        <v>45994.0</v>
      </c>
      <c r="B704" s="461" t="s">
        <v>2377</v>
      </c>
      <c r="C704" s="461" t="str">
        <f t="shared" si="1"/>
        <v>الأربعاء</v>
      </c>
      <c r="D704" s="462">
        <v>0.35625</v>
      </c>
      <c r="E704" s="462">
        <v>0.020833333333333332</v>
      </c>
      <c r="F704" s="482">
        <v>750000.0</v>
      </c>
      <c r="G704" s="464">
        <f t="shared" si="38"/>
        <v>3191.489362</v>
      </c>
      <c r="H704" s="464">
        <f t="shared" si="39"/>
        <v>15.95</v>
      </c>
      <c r="I704" s="464">
        <f t="shared" si="40"/>
        <v>9</v>
      </c>
      <c r="J704" s="464">
        <f t="shared" si="41"/>
        <v>6.95</v>
      </c>
      <c r="K704" s="465">
        <f t="shared" si="42"/>
        <v>28723.40426</v>
      </c>
      <c r="L704" s="466"/>
      <c r="M704" s="466"/>
      <c r="N704" s="465">
        <f t="shared" si="43"/>
        <v>33271.2766</v>
      </c>
      <c r="O704" s="465">
        <f t="shared" si="44"/>
        <v>61994.68085</v>
      </c>
      <c r="P704" s="467"/>
    </row>
    <row r="705" ht="26.25" customHeight="1">
      <c r="A705" s="459">
        <v>45995.0</v>
      </c>
      <c r="B705" s="461" t="s">
        <v>2377</v>
      </c>
      <c r="C705" s="461" t="str">
        <f t="shared" si="1"/>
        <v>الخميس</v>
      </c>
      <c r="D705" s="462">
        <v>0.3458333333333333</v>
      </c>
      <c r="E705" s="462">
        <v>0.8458333333333333</v>
      </c>
      <c r="F705" s="482">
        <v>750000.0</v>
      </c>
      <c r="G705" s="464">
        <f t="shared" si="38"/>
        <v>3191.489362</v>
      </c>
      <c r="H705" s="464">
        <f t="shared" si="39"/>
        <v>12</v>
      </c>
      <c r="I705" s="464">
        <f t="shared" si="40"/>
        <v>9</v>
      </c>
      <c r="J705" s="464">
        <f t="shared" si="41"/>
        <v>3</v>
      </c>
      <c r="K705" s="465">
        <f t="shared" si="42"/>
        <v>28723.40426</v>
      </c>
      <c r="L705" s="466"/>
      <c r="M705" s="466"/>
      <c r="N705" s="465">
        <f t="shared" si="43"/>
        <v>14361.70213</v>
      </c>
      <c r="O705" s="465">
        <f t="shared" si="44"/>
        <v>43085.10638</v>
      </c>
      <c r="P705" s="467"/>
    </row>
    <row r="706" ht="26.25" customHeight="1">
      <c r="A706" s="459">
        <v>45996.0</v>
      </c>
      <c r="B706" s="461" t="s">
        <v>2377</v>
      </c>
      <c r="C706" s="461" t="str">
        <f t="shared" si="1"/>
        <v>الجمعة</v>
      </c>
      <c r="D706" s="462">
        <v>0.125</v>
      </c>
      <c r="E706" s="462">
        <v>0.625</v>
      </c>
      <c r="F706" s="482">
        <v>750000.0</v>
      </c>
      <c r="G706" s="464">
        <f t="shared" si="38"/>
        <v>3191.489362</v>
      </c>
      <c r="H706" s="464">
        <f t="shared" si="39"/>
        <v>12</v>
      </c>
      <c r="I706" s="464">
        <f t="shared" si="40"/>
        <v>9</v>
      </c>
      <c r="J706" s="464">
        <f t="shared" si="41"/>
        <v>3</v>
      </c>
      <c r="K706" s="465">
        <f t="shared" si="42"/>
        <v>28723.40426</v>
      </c>
      <c r="L706" s="466"/>
      <c r="M706" s="466"/>
      <c r="N706" s="465">
        <f t="shared" si="43"/>
        <v>14361.70213</v>
      </c>
      <c r="O706" s="465">
        <f t="shared" si="44"/>
        <v>43085.10638</v>
      </c>
      <c r="P706" s="467"/>
    </row>
    <row r="707" ht="26.25" customHeight="1">
      <c r="A707" s="459">
        <v>45997.0</v>
      </c>
      <c r="B707" s="461" t="s">
        <v>2377</v>
      </c>
      <c r="C707" s="461" t="str">
        <f t="shared" si="1"/>
        <v>السبت</v>
      </c>
      <c r="D707" s="462">
        <v>0.35138888888888886</v>
      </c>
      <c r="E707" s="481">
        <v>0.0</v>
      </c>
      <c r="F707" s="482">
        <v>750000.0</v>
      </c>
      <c r="G707" s="464">
        <f t="shared" si="38"/>
        <v>3191.489362</v>
      </c>
      <c r="H707" s="464">
        <f t="shared" si="39"/>
        <v>15.56666667</v>
      </c>
      <c r="I707" s="464">
        <f t="shared" si="40"/>
        <v>9</v>
      </c>
      <c r="J707" s="464">
        <f t="shared" si="41"/>
        <v>6.566666667</v>
      </c>
      <c r="K707" s="465">
        <f t="shared" si="42"/>
        <v>28723.40426</v>
      </c>
      <c r="L707" s="466"/>
      <c r="M707" s="466"/>
      <c r="N707" s="465">
        <f t="shared" si="43"/>
        <v>31436.17021</v>
      </c>
      <c r="O707" s="465">
        <f t="shared" si="44"/>
        <v>60159.57447</v>
      </c>
      <c r="P707" s="467"/>
    </row>
    <row r="708" ht="26.25" customHeight="1">
      <c r="A708" s="459">
        <v>45998.0</v>
      </c>
      <c r="B708" s="461" t="s">
        <v>2377</v>
      </c>
      <c r="C708" s="461" t="str">
        <f t="shared" si="1"/>
        <v>الأحد</v>
      </c>
      <c r="D708" s="480">
        <v>0.0</v>
      </c>
      <c r="E708" s="480">
        <v>0.2708333333333333</v>
      </c>
      <c r="F708" s="482">
        <v>750000.0</v>
      </c>
      <c r="G708" s="464">
        <f t="shared" si="38"/>
        <v>3191.489362</v>
      </c>
      <c r="H708" s="464">
        <f t="shared" si="39"/>
        <v>6.5</v>
      </c>
      <c r="I708" s="464">
        <f t="shared" si="40"/>
        <v>6.5</v>
      </c>
      <c r="J708" s="464">
        <f t="shared" si="41"/>
        <v>0</v>
      </c>
      <c r="K708" s="465">
        <f t="shared" si="42"/>
        <v>20744.68085</v>
      </c>
      <c r="L708" s="466"/>
      <c r="M708" s="466"/>
      <c r="N708" s="465">
        <f t="shared" si="43"/>
        <v>0</v>
      </c>
      <c r="O708" s="465">
        <f t="shared" si="44"/>
        <v>20744.68085</v>
      </c>
      <c r="P708" s="467"/>
    </row>
    <row r="709" ht="26.25" customHeight="1">
      <c r="A709" s="459">
        <v>45999.0</v>
      </c>
      <c r="B709" s="461" t="s">
        <v>2377</v>
      </c>
      <c r="C709" s="461" t="str">
        <f t="shared" si="1"/>
        <v>الاثنين</v>
      </c>
      <c r="D709" s="462">
        <v>0.43194444444444446</v>
      </c>
      <c r="E709" s="462">
        <v>0.13958333333333334</v>
      </c>
      <c r="F709" s="482">
        <v>750000.0</v>
      </c>
      <c r="G709" s="464">
        <f t="shared" si="38"/>
        <v>3191.489362</v>
      </c>
      <c r="H709" s="464">
        <f t="shared" si="39"/>
        <v>16.98333333</v>
      </c>
      <c r="I709" s="464">
        <f t="shared" si="40"/>
        <v>9</v>
      </c>
      <c r="J709" s="464">
        <f t="shared" si="41"/>
        <v>7.983333333</v>
      </c>
      <c r="K709" s="465">
        <f t="shared" si="42"/>
        <v>28723.40426</v>
      </c>
      <c r="L709" s="466"/>
      <c r="M709" s="466"/>
      <c r="N709" s="465">
        <f t="shared" si="43"/>
        <v>38218.08511</v>
      </c>
      <c r="O709" s="465">
        <f t="shared" si="44"/>
        <v>66941.48936</v>
      </c>
      <c r="P709" s="467"/>
    </row>
    <row r="710" ht="26.25" customHeight="1">
      <c r="A710" s="459">
        <v>46000.0</v>
      </c>
      <c r="B710" s="461" t="s">
        <v>2377</v>
      </c>
      <c r="C710" s="461" t="str">
        <f t="shared" si="1"/>
        <v>الثلاثاء</v>
      </c>
      <c r="D710" s="462">
        <v>0.43194444444444446</v>
      </c>
      <c r="E710" s="462">
        <v>0.8590277777777777</v>
      </c>
      <c r="F710" s="482">
        <v>750000.0</v>
      </c>
      <c r="G710" s="464">
        <f t="shared" si="38"/>
        <v>3191.489362</v>
      </c>
      <c r="H710" s="464">
        <f t="shared" si="39"/>
        <v>10.25</v>
      </c>
      <c r="I710" s="464">
        <f t="shared" si="40"/>
        <v>9</v>
      </c>
      <c r="J710" s="464">
        <f t="shared" si="41"/>
        <v>1.25</v>
      </c>
      <c r="K710" s="465">
        <f t="shared" si="42"/>
        <v>28723.40426</v>
      </c>
      <c r="L710" s="466"/>
      <c r="M710" s="466"/>
      <c r="N710" s="465">
        <f t="shared" si="43"/>
        <v>5984.042553</v>
      </c>
      <c r="O710" s="465">
        <f t="shared" si="44"/>
        <v>34707.44681</v>
      </c>
      <c r="P710" s="467"/>
    </row>
    <row r="711" ht="26.25" customHeight="1">
      <c r="A711" s="459">
        <v>46001.0</v>
      </c>
      <c r="B711" s="461" t="s">
        <v>2377</v>
      </c>
      <c r="C711" s="461" t="str">
        <f t="shared" si="1"/>
        <v>الأربعاء</v>
      </c>
      <c r="D711" s="462">
        <v>0.3506944444444444</v>
      </c>
      <c r="E711" s="462">
        <v>0.3375</v>
      </c>
      <c r="F711" s="482">
        <v>750000.0</v>
      </c>
      <c r="G711" s="464">
        <f t="shared" si="38"/>
        <v>3191.489362</v>
      </c>
      <c r="H711" s="464">
        <f t="shared" si="39"/>
        <v>23.68333333</v>
      </c>
      <c r="I711" s="464">
        <f t="shared" si="40"/>
        <v>9</v>
      </c>
      <c r="J711" s="464">
        <f t="shared" si="41"/>
        <v>14.68333333</v>
      </c>
      <c r="K711" s="465">
        <f t="shared" si="42"/>
        <v>28723.40426</v>
      </c>
      <c r="L711" s="466"/>
      <c r="M711" s="466"/>
      <c r="N711" s="465">
        <f t="shared" si="43"/>
        <v>70292.55319</v>
      </c>
      <c r="O711" s="465">
        <f t="shared" si="44"/>
        <v>99015.95745</v>
      </c>
      <c r="P711" s="467"/>
    </row>
    <row r="712" ht="26.25" customHeight="1">
      <c r="A712" s="459">
        <v>46002.0</v>
      </c>
      <c r="B712" s="461" t="s">
        <v>2377</v>
      </c>
      <c r="C712" s="461" t="str">
        <f t="shared" si="1"/>
        <v>الخميس</v>
      </c>
      <c r="D712" s="462">
        <v>0.33958333333333335</v>
      </c>
      <c r="E712" s="462">
        <v>0.8590277777777777</v>
      </c>
      <c r="F712" s="482">
        <v>750000.0</v>
      </c>
      <c r="G712" s="464">
        <f t="shared" si="38"/>
        <v>3191.489362</v>
      </c>
      <c r="H712" s="464">
        <f t="shared" si="39"/>
        <v>12.46666667</v>
      </c>
      <c r="I712" s="464">
        <f t="shared" si="40"/>
        <v>9</v>
      </c>
      <c r="J712" s="464">
        <f t="shared" si="41"/>
        <v>3.466666667</v>
      </c>
      <c r="K712" s="465">
        <f t="shared" si="42"/>
        <v>28723.40426</v>
      </c>
      <c r="L712" s="466"/>
      <c r="M712" s="466"/>
      <c r="N712" s="465">
        <f t="shared" si="43"/>
        <v>16595.74468</v>
      </c>
      <c r="O712" s="465">
        <f t="shared" si="44"/>
        <v>45319.14894</v>
      </c>
      <c r="P712" s="467"/>
    </row>
    <row r="713" ht="26.25" customHeight="1">
      <c r="A713" s="459">
        <v>46003.0</v>
      </c>
      <c r="B713" s="461" t="s">
        <v>2377</v>
      </c>
      <c r="C713" s="461" t="str">
        <f t="shared" si="1"/>
        <v>الجمعة</v>
      </c>
      <c r="D713" s="462">
        <v>0.23819444444444443</v>
      </c>
      <c r="E713" s="462">
        <v>0.4013888888888889</v>
      </c>
      <c r="F713" s="482">
        <v>750000.0</v>
      </c>
      <c r="G713" s="464">
        <f t="shared" si="38"/>
        <v>3191.489362</v>
      </c>
      <c r="H713" s="464">
        <f t="shared" si="39"/>
        <v>3.916666667</v>
      </c>
      <c r="I713" s="464">
        <f t="shared" si="40"/>
        <v>3.916666667</v>
      </c>
      <c r="J713" s="464">
        <f t="shared" si="41"/>
        <v>0</v>
      </c>
      <c r="K713" s="465">
        <f t="shared" si="42"/>
        <v>12500</v>
      </c>
      <c r="L713" s="466"/>
      <c r="M713" s="466"/>
      <c r="N713" s="465">
        <f t="shared" si="43"/>
        <v>0</v>
      </c>
      <c r="O713" s="465">
        <f t="shared" si="44"/>
        <v>12500</v>
      </c>
      <c r="P713" s="467"/>
    </row>
    <row r="714" ht="26.25" customHeight="1">
      <c r="A714" s="459">
        <v>46004.0</v>
      </c>
      <c r="B714" s="461" t="s">
        <v>2377</v>
      </c>
      <c r="C714" s="461" t="str">
        <f t="shared" si="1"/>
        <v>السبت</v>
      </c>
      <c r="D714" s="462">
        <v>0.4534722222222222</v>
      </c>
      <c r="E714" s="462">
        <v>0.9979166666666667</v>
      </c>
      <c r="F714" s="482">
        <v>750000.0</v>
      </c>
      <c r="G714" s="464">
        <f t="shared" si="38"/>
        <v>3191.489362</v>
      </c>
      <c r="H714" s="464">
        <f t="shared" si="39"/>
        <v>13.06666667</v>
      </c>
      <c r="I714" s="464">
        <f t="shared" si="40"/>
        <v>9</v>
      </c>
      <c r="J714" s="464">
        <f t="shared" si="41"/>
        <v>4.066666667</v>
      </c>
      <c r="K714" s="465">
        <f t="shared" si="42"/>
        <v>28723.40426</v>
      </c>
      <c r="L714" s="466"/>
      <c r="M714" s="466"/>
      <c r="N714" s="465">
        <f t="shared" si="43"/>
        <v>19468.08511</v>
      </c>
      <c r="O714" s="465">
        <f t="shared" si="44"/>
        <v>48191.48936</v>
      </c>
      <c r="P714" s="467"/>
    </row>
    <row r="715" ht="26.25" customHeight="1">
      <c r="A715" s="459">
        <v>46005.0</v>
      </c>
      <c r="B715" s="461" t="s">
        <v>2377</v>
      </c>
      <c r="C715" s="461" t="str">
        <f t="shared" si="1"/>
        <v>الأحد</v>
      </c>
      <c r="D715" s="462">
        <v>0.3784722222222222</v>
      </c>
      <c r="E715" s="462">
        <v>0.7944444444444444</v>
      </c>
      <c r="F715" s="482">
        <v>750000.0</v>
      </c>
      <c r="G715" s="464">
        <f t="shared" si="38"/>
        <v>3191.489362</v>
      </c>
      <c r="H715" s="464">
        <f t="shared" si="39"/>
        <v>9.983333333</v>
      </c>
      <c r="I715" s="464">
        <f t="shared" si="40"/>
        <v>9</v>
      </c>
      <c r="J715" s="464">
        <f t="shared" si="41"/>
        <v>0.9833333333</v>
      </c>
      <c r="K715" s="465">
        <f t="shared" si="42"/>
        <v>28723.40426</v>
      </c>
      <c r="L715" s="466"/>
      <c r="M715" s="466"/>
      <c r="N715" s="465">
        <f t="shared" si="43"/>
        <v>4707.446809</v>
      </c>
      <c r="O715" s="465">
        <f t="shared" si="44"/>
        <v>33430.85106</v>
      </c>
      <c r="P715" s="467"/>
    </row>
    <row r="716" ht="26.25" customHeight="1">
      <c r="A716" s="459">
        <v>46006.0</v>
      </c>
      <c r="B716" s="461" t="s">
        <v>2377</v>
      </c>
      <c r="C716" s="461" t="str">
        <f t="shared" si="1"/>
        <v>الاثنين</v>
      </c>
      <c r="D716" s="462">
        <v>0.3680555555555556</v>
      </c>
      <c r="E716" s="462">
        <v>0.8694444444444445</v>
      </c>
      <c r="F716" s="482">
        <v>750000.0</v>
      </c>
      <c r="G716" s="464">
        <f t="shared" si="38"/>
        <v>3191.489362</v>
      </c>
      <c r="H716" s="464">
        <f t="shared" si="39"/>
        <v>12.03333333</v>
      </c>
      <c r="I716" s="464">
        <f t="shared" si="40"/>
        <v>9</v>
      </c>
      <c r="J716" s="464">
        <f t="shared" si="41"/>
        <v>3.033333333</v>
      </c>
      <c r="K716" s="465">
        <f t="shared" si="42"/>
        <v>28723.40426</v>
      </c>
      <c r="L716" s="466"/>
      <c r="M716" s="466"/>
      <c r="N716" s="465">
        <f t="shared" si="43"/>
        <v>14521.2766</v>
      </c>
      <c r="O716" s="465">
        <f t="shared" si="44"/>
        <v>43244.68085</v>
      </c>
      <c r="P716" s="467"/>
    </row>
    <row r="717" ht="26.25" customHeight="1">
      <c r="A717" s="459">
        <v>46007.0</v>
      </c>
      <c r="B717" s="461" t="s">
        <v>2377</v>
      </c>
      <c r="C717" s="461" t="str">
        <f t="shared" si="1"/>
        <v>الثلاثاء</v>
      </c>
      <c r="D717" s="462">
        <v>0.35138888888888886</v>
      </c>
      <c r="E717" s="462">
        <v>0.9548611111111112</v>
      </c>
      <c r="F717" s="482">
        <v>750000.0</v>
      </c>
      <c r="G717" s="464">
        <f t="shared" si="38"/>
        <v>3191.489362</v>
      </c>
      <c r="H717" s="464">
        <f t="shared" si="39"/>
        <v>14.48333333</v>
      </c>
      <c r="I717" s="464">
        <f t="shared" si="40"/>
        <v>9</v>
      </c>
      <c r="J717" s="464">
        <f t="shared" si="41"/>
        <v>5.483333333</v>
      </c>
      <c r="K717" s="465">
        <f t="shared" si="42"/>
        <v>28723.40426</v>
      </c>
      <c r="L717" s="466"/>
      <c r="M717" s="466"/>
      <c r="N717" s="465">
        <f t="shared" si="43"/>
        <v>26250</v>
      </c>
      <c r="O717" s="465">
        <f t="shared" si="44"/>
        <v>54973.40426</v>
      </c>
      <c r="P717" s="467"/>
    </row>
    <row r="718" ht="26.25" customHeight="1">
      <c r="A718" s="459">
        <v>46008.0</v>
      </c>
      <c r="B718" s="461" t="s">
        <v>2377</v>
      </c>
      <c r="C718" s="461" t="str">
        <f t="shared" si="1"/>
        <v>الأربعاء</v>
      </c>
      <c r="D718" s="462">
        <v>0.3736111111111111</v>
      </c>
      <c r="E718" s="462">
        <v>0.8333333333333334</v>
      </c>
      <c r="F718" s="482">
        <v>750000.0</v>
      </c>
      <c r="G718" s="464">
        <f t="shared" si="38"/>
        <v>3191.489362</v>
      </c>
      <c r="H718" s="464">
        <f t="shared" si="39"/>
        <v>11.03333333</v>
      </c>
      <c r="I718" s="464">
        <f t="shared" si="40"/>
        <v>9</v>
      </c>
      <c r="J718" s="464">
        <f t="shared" si="41"/>
        <v>2.033333333</v>
      </c>
      <c r="K718" s="465">
        <f t="shared" si="42"/>
        <v>28723.40426</v>
      </c>
      <c r="L718" s="466"/>
      <c r="M718" s="466"/>
      <c r="N718" s="465">
        <f t="shared" si="43"/>
        <v>9734.042553</v>
      </c>
      <c r="O718" s="465">
        <f t="shared" si="44"/>
        <v>38457.44681</v>
      </c>
      <c r="P718" s="467"/>
    </row>
    <row r="719" ht="26.25" customHeight="1">
      <c r="A719" s="459">
        <v>46009.0</v>
      </c>
      <c r="B719" s="461" t="s">
        <v>2377</v>
      </c>
      <c r="C719" s="461" t="str">
        <f t="shared" si="1"/>
        <v>الخميس</v>
      </c>
      <c r="D719" s="462">
        <v>0.425</v>
      </c>
      <c r="E719" s="462">
        <v>0.041666666666666664</v>
      </c>
      <c r="F719" s="482">
        <v>750000.0</v>
      </c>
      <c r="G719" s="464">
        <f t="shared" si="38"/>
        <v>3191.489362</v>
      </c>
      <c r="H719" s="464">
        <f t="shared" si="39"/>
        <v>14.8</v>
      </c>
      <c r="I719" s="464">
        <f t="shared" si="40"/>
        <v>9</v>
      </c>
      <c r="J719" s="464">
        <f t="shared" si="41"/>
        <v>5.8</v>
      </c>
      <c r="K719" s="465">
        <f t="shared" si="42"/>
        <v>28723.40426</v>
      </c>
      <c r="L719" s="466"/>
      <c r="M719" s="466"/>
      <c r="N719" s="465">
        <f t="shared" si="43"/>
        <v>27765.95745</v>
      </c>
      <c r="O719" s="465">
        <f t="shared" si="44"/>
        <v>56489.3617</v>
      </c>
      <c r="P719" s="467"/>
    </row>
    <row r="720" ht="26.25" customHeight="1">
      <c r="A720" s="459">
        <v>46010.0</v>
      </c>
      <c r="B720" s="461" t="s">
        <v>2377</v>
      </c>
      <c r="C720" s="461" t="str">
        <f t="shared" si="1"/>
        <v>الجمعة</v>
      </c>
      <c r="D720" s="462">
        <v>0.49375</v>
      </c>
      <c r="E720" s="462">
        <v>0.9895833333333334</v>
      </c>
      <c r="F720" s="482">
        <v>750000.0</v>
      </c>
      <c r="G720" s="464">
        <f t="shared" si="38"/>
        <v>3191.489362</v>
      </c>
      <c r="H720" s="464">
        <f t="shared" si="39"/>
        <v>11.9</v>
      </c>
      <c r="I720" s="464">
        <f t="shared" si="40"/>
        <v>9</v>
      </c>
      <c r="J720" s="464">
        <f t="shared" si="41"/>
        <v>2.9</v>
      </c>
      <c r="K720" s="465">
        <f t="shared" si="42"/>
        <v>28723.40426</v>
      </c>
      <c r="L720" s="466"/>
      <c r="M720" s="466"/>
      <c r="N720" s="465">
        <f t="shared" si="43"/>
        <v>13882.97872</v>
      </c>
      <c r="O720" s="465">
        <f t="shared" si="44"/>
        <v>42606.38298</v>
      </c>
      <c r="P720" s="467"/>
    </row>
    <row r="721" ht="26.25" customHeight="1">
      <c r="A721" s="459">
        <v>46011.0</v>
      </c>
      <c r="B721" s="461" t="s">
        <v>2377</v>
      </c>
      <c r="C721" s="461" t="str">
        <f t="shared" si="1"/>
        <v>السبت</v>
      </c>
      <c r="D721" s="462">
        <v>0.4722222222222222</v>
      </c>
      <c r="E721" s="462">
        <v>0.90625</v>
      </c>
      <c r="F721" s="482">
        <v>750000.0</v>
      </c>
      <c r="G721" s="464">
        <f t="shared" si="38"/>
        <v>3191.489362</v>
      </c>
      <c r="H721" s="464">
        <f t="shared" si="39"/>
        <v>10.41666667</v>
      </c>
      <c r="I721" s="464">
        <f t="shared" si="40"/>
        <v>9</v>
      </c>
      <c r="J721" s="464">
        <f t="shared" si="41"/>
        <v>1.416666667</v>
      </c>
      <c r="K721" s="465">
        <f t="shared" si="42"/>
        <v>28723.40426</v>
      </c>
      <c r="L721" s="466"/>
      <c r="M721" s="466"/>
      <c r="N721" s="465">
        <f t="shared" si="43"/>
        <v>6781.914894</v>
      </c>
      <c r="O721" s="465">
        <f t="shared" si="44"/>
        <v>35505.31915</v>
      </c>
      <c r="P721" s="467"/>
    </row>
    <row r="722" ht="26.25" customHeight="1">
      <c r="A722" s="459">
        <v>46012.0</v>
      </c>
      <c r="B722" s="461" t="s">
        <v>2377</v>
      </c>
      <c r="C722" s="461" t="str">
        <f t="shared" si="1"/>
        <v>الأحد</v>
      </c>
      <c r="D722" s="462">
        <v>0.3576388888888889</v>
      </c>
      <c r="E722" s="462">
        <v>0.9902777777777778</v>
      </c>
      <c r="F722" s="482">
        <v>750000.0</v>
      </c>
      <c r="G722" s="464">
        <f t="shared" si="38"/>
        <v>3191.489362</v>
      </c>
      <c r="H722" s="464">
        <f t="shared" si="39"/>
        <v>15.18333333</v>
      </c>
      <c r="I722" s="464">
        <f t="shared" si="40"/>
        <v>9</v>
      </c>
      <c r="J722" s="464">
        <f t="shared" si="41"/>
        <v>6.183333333</v>
      </c>
      <c r="K722" s="465">
        <f t="shared" si="42"/>
        <v>28723.40426</v>
      </c>
      <c r="L722" s="466"/>
      <c r="M722" s="466"/>
      <c r="N722" s="465">
        <f t="shared" si="43"/>
        <v>29601.06383</v>
      </c>
      <c r="O722" s="465">
        <f t="shared" si="44"/>
        <v>58324.46809</v>
      </c>
      <c r="P722" s="467"/>
    </row>
    <row r="723" ht="26.25" customHeight="1">
      <c r="A723" s="459">
        <v>46013.0</v>
      </c>
      <c r="B723" s="461" t="s">
        <v>2377</v>
      </c>
      <c r="C723" s="461" t="str">
        <f t="shared" si="1"/>
        <v>الاثنين</v>
      </c>
      <c r="D723" s="462">
        <v>0.41041666666666665</v>
      </c>
      <c r="E723" s="462">
        <v>0.7888888888888889</v>
      </c>
      <c r="F723" s="482">
        <v>750000.0</v>
      </c>
      <c r="G723" s="464">
        <f t="shared" si="38"/>
        <v>3191.489362</v>
      </c>
      <c r="H723" s="464">
        <f t="shared" si="39"/>
        <v>9.083333333</v>
      </c>
      <c r="I723" s="464">
        <f t="shared" si="40"/>
        <v>9</v>
      </c>
      <c r="J723" s="464">
        <f t="shared" si="41"/>
        <v>0.08333333333</v>
      </c>
      <c r="K723" s="465">
        <f t="shared" si="42"/>
        <v>28723.40426</v>
      </c>
      <c r="L723" s="466"/>
      <c r="M723" s="466"/>
      <c r="N723" s="465">
        <f t="shared" si="43"/>
        <v>398.9361702</v>
      </c>
      <c r="O723" s="465">
        <f t="shared" si="44"/>
        <v>29122.34043</v>
      </c>
      <c r="P723" s="467"/>
    </row>
    <row r="724" ht="26.25" customHeight="1">
      <c r="A724" s="459">
        <v>46014.0</v>
      </c>
      <c r="B724" s="461" t="s">
        <v>2377</v>
      </c>
      <c r="C724" s="461" t="str">
        <f t="shared" si="1"/>
        <v>الثلاثاء</v>
      </c>
      <c r="D724" s="462">
        <v>0.41805555555555557</v>
      </c>
      <c r="E724" s="462">
        <v>0.10069444444444445</v>
      </c>
      <c r="F724" s="482">
        <v>750000.0</v>
      </c>
      <c r="G724" s="464">
        <f t="shared" si="38"/>
        <v>3191.489362</v>
      </c>
      <c r="H724" s="464">
        <f t="shared" si="39"/>
        <v>16.38333333</v>
      </c>
      <c r="I724" s="464">
        <f t="shared" si="40"/>
        <v>9</v>
      </c>
      <c r="J724" s="464">
        <f t="shared" si="41"/>
        <v>7.383333333</v>
      </c>
      <c r="K724" s="465">
        <f t="shared" si="42"/>
        <v>28723.40426</v>
      </c>
      <c r="L724" s="466"/>
      <c r="M724" s="466"/>
      <c r="N724" s="465">
        <f t="shared" si="43"/>
        <v>35345.74468</v>
      </c>
      <c r="O724" s="465">
        <f t="shared" si="44"/>
        <v>64069.14894</v>
      </c>
      <c r="P724" s="467"/>
    </row>
    <row r="725" ht="26.25" customHeight="1">
      <c r="A725" s="459">
        <v>46015.0</v>
      </c>
      <c r="B725" s="461" t="s">
        <v>2377</v>
      </c>
      <c r="C725" s="461" t="str">
        <f t="shared" si="1"/>
        <v>الأربعاء</v>
      </c>
      <c r="D725" s="462">
        <v>0.4812500000007276</v>
      </c>
      <c r="E725" s="486">
        <v>0.7465277777810115</v>
      </c>
      <c r="F725" s="482">
        <v>750000.0</v>
      </c>
      <c r="G725" s="464">
        <f t="shared" si="38"/>
        <v>3191.489362</v>
      </c>
      <c r="H725" s="464">
        <f t="shared" si="39"/>
        <v>6.366666667</v>
      </c>
      <c r="I725" s="464">
        <f t="shared" si="40"/>
        <v>6.366666667</v>
      </c>
      <c r="J725" s="464">
        <f t="shared" si="41"/>
        <v>0</v>
      </c>
      <c r="K725" s="465">
        <f t="shared" si="42"/>
        <v>20319.14894</v>
      </c>
      <c r="L725" s="466"/>
      <c r="M725" s="466"/>
      <c r="N725" s="465">
        <f t="shared" si="43"/>
        <v>0</v>
      </c>
      <c r="O725" s="465">
        <f t="shared" si="44"/>
        <v>20319.14894</v>
      </c>
      <c r="P725" s="467"/>
    </row>
    <row r="726" ht="26.25" customHeight="1">
      <c r="A726" s="459">
        <v>46016.0</v>
      </c>
      <c r="B726" s="461" t="s">
        <v>2377</v>
      </c>
      <c r="C726" s="461" t="str">
        <f t="shared" si="1"/>
        <v>الخميس</v>
      </c>
      <c r="D726" s="484">
        <v>0.4319444444408873</v>
      </c>
      <c r="E726" s="485">
        <v>0.9784722222248092</v>
      </c>
      <c r="F726" s="482">
        <v>750000.0</v>
      </c>
      <c r="G726" s="464">
        <f t="shared" si="38"/>
        <v>3191.489362</v>
      </c>
      <c r="H726" s="464">
        <f t="shared" si="39"/>
        <v>13.11666667</v>
      </c>
      <c r="I726" s="464">
        <f t="shared" si="40"/>
        <v>9</v>
      </c>
      <c r="J726" s="464">
        <f t="shared" si="41"/>
        <v>4.116666667</v>
      </c>
      <c r="K726" s="465">
        <f t="shared" si="42"/>
        <v>28723.40426</v>
      </c>
      <c r="L726" s="466"/>
      <c r="M726" s="466"/>
      <c r="N726" s="465">
        <f t="shared" si="43"/>
        <v>19707.44681</v>
      </c>
      <c r="O726" s="465">
        <f t="shared" si="44"/>
        <v>48430.85106</v>
      </c>
      <c r="P726" s="467"/>
    </row>
    <row r="727" ht="26.25" customHeight="1">
      <c r="A727" s="459">
        <v>46018.0</v>
      </c>
      <c r="B727" s="461" t="s">
        <v>2377</v>
      </c>
      <c r="C727" s="461" t="str">
        <f t="shared" si="1"/>
        <v>السبت</v>
      </c>
      <c r="D727" s="484">
        <v>0.39097222222335404</v>
      </c>
      <c r="E727" s="485">
        <v>0.7076388888890506</v>
      </c>
      <c r="F727" s="482">
        <v>750000.0</v>
      </c>
      <c r="G727" s="464">
        <f t="shared" si="38"/>
        <v>3191.489362</v>
      </c>
      <c r="H727" s="464">
        <f t="shared" si="39"/>
        <v>7.6</v>
      </c>
      <c r="I727" s="464">
        <f t="shared" si="40"/>
        <v>7.6</v>
      </c>
      <c r="J727" s="464">
        <f t="shared" si="41"/>
        <v>0</v>
      </c>
      <c r="K727" s="465">
        <f t="shared" si="42"/>
        <v>24255.31915</v>
      </c>
      <c r="L727" s="466"/>
      <c r="M727" s="466"/>
      <c r="N727" s="465">
        <f t="shared" si="43"/>
        <v>0</v>
      </c>
      <c r="O727" s="465">
        <f t="shared" si="44"/>
        <v>24255.31915</v>
      </c>
      <c r="P727" s="467"/>
    </row>
    <row r="728" ht="26.25" customHeight="1">
      <c r="A728" s="459">
        <v>46019.0</v>
      </c>
      <c r="B728" s="461" t="s">
        <v>2377</v>
      </c>
      <c r="C728" s="461" t="str">
        <f t="shared" si="1"/>
        <v>الأحد</v>
      </c>
      <c r="D728" s="484">
        <v>0.40347222222044365</v>
      </c>
      <c r="E728" s="485">
        <v>0.7743055555547471</v>
      </c>
      <c r="F728" s="482">
        <v>750000.0</v>
      </c>
      <c r="G728" s="464">
        <f t="shared" si="38"/>
        <v>3191.489362</v>
      </c>
      <c r="H728" s="464">
        <f t="shared" si="39"/>
        <v>8.9</v>
      </c>
      <c r="I728" s="464">
        <f t="shared" si="40"/>
        <v>8.9</v>
      </c>
      <c r="J728" s="464">
        <f t="shared" si="41"/>
        <v>0</v>
      </c>
      <c r="K728" s="465">
        <f t="shared" si="42"/>
        <v>28404.25532</v>
      </c>
      <c r="L728" s="466"/>
      <c r="M728" s="466"/>
      <c r="N728" s="465">
        <f t="shared" si="43"/>
        <v>0</v>
      </c>
      <c r="O728" s="465">
        <f t="shared" si="44"/>
        <v>28404.25532</v>
      </c>
      <c r="P728" s="467"/>
    </row>
    <row r="729" ht="26.25" customHeight="1">
      <c r="A729" s="459">
        <v>46020.0</v>
      </c>
      <c r="B729" s="461" t="s">
        <v>2377</v>
      </c>
      <c r="C729" s="461" t="str">
        <f t="shared" si="1"/>
        <v>الاثنين</v>
      </c>
      <c r="D729" s="484">
        <v>0.37222222222044365</v>
      </c>
      <c r="E729" s="485">
        <v>0.8333333333284827</v>
      </c>
      <c r="F729" s="482">
        <v>750000.0</v>
      </c>
      <c r="G729" s="464">
        <f t="shared" si="38"/>
        <v>3191.489362</v>
      </c>
      <c r="H729" s="464">
        <f t="shared" si="39"/>
        <v>11.06666667</v>
      </c>
      <c r="I729" s="464">
        <f t="shared" si="40"/>
        <v>9</v>
      </c>
      <c r="J729" s="464">
        <f t="shared" si="41"/>
        <v>2.066666667</v>
      </c>
      <c r="K729" s="465">
        <f t="shared" si="42"/>
        <v>28723.40426</v>
      </c>
      <c r="L729" s="466"/>
      <c r="M729" s="466"/>
      <c r="N729" s="465">
        <f t="shared" si="43"/>
        <v>9893.617021</v>
      </c>
      <c r="O729" s="465">
        <f t="shared" si="44"/>
        <v>38617.02128</v>
      </c>
      <c r="P729" s="467"/>
    </row>
    <row r="730" ht="26.25" customHeight="1">
      <c r="A730" s="459">
        <v>46021.0</v>
      </c>
      <c r="B730" s="461" t="s">
        <v>2377</v>
      </c>
      <c r="C730" s="461" t="str">
        <f t="shared" si="1"/>
        <v>الثلاثاء</v>
      </c>
      <c r="D730" s="484">
        <v>0.4500000000007276</v>
      </c>
      <c r="E730" s="485">
        <v>0.7916666666715173</v>
      </c>
      <c r="F730" s="482">
        <v>750000.0</v>
      </c>
      <c r="G730" s="464">
        <f t="shared" si="38"/>
        <v>3191.489362</v>
      </c>
      <c r="H730" s="464">
        <f t="shared" si="39"/>
        <v>8.2</v>
      </c>
      <c r="I730" s="464">
        <f t="shared" si="40"/>
        <v>8.2</v>
      </c>
      <c r="J730" s="464">
        <f t="shared" si="41"/>
        <v>0</v>
      </c>
      <c r="K730" s="465">
        <f t="shared" si="42"/>
        <v>26170.21277</v>
      </c>
      <c r="L730" s="466"/>
      <c r="M730" s="466"/>
      <c r="N730" s="465">
        <f t="shared" si="43"/>
        <v>0</v>
      </c>
      <c r="O730" s="465">
        <f t="shared" si="44"/>
        <v>26170.21277</v>
      </c>
      <c r="P730" s="467"/>
    </row>
    <row r="731" ht="26.25" customHeight="1">
      <c r="A731" s="459">
        <v>46022.0</v>
      </c>
      <c r="B731" s="461" t="s">
        <v>2377</v>
      </c>
      <c r="C731" s="461" t="str">
        <f t="shared" si="1"/>
        <v>الأربعاء</v>
      </c>
      <c r="D731" s="480">
        <v>0.5</v>
      </c>
      <c r="E731" s="480">
        <v>0.5833333333333334</v>
      </c>
      <c r="F731" s="482">
        <v>750000.0</v>
      </c>
      <c r="G731" s="464">
        <f t="shared" si="38"/>
        <v>3191.489362</v>
      </c>
      <c r="H731" s="464">
        <f t="shared" si="39"/>
        <v>2</v>
      </c>
      <c r="I731" s="464">
        <f t="shared" si="40"/>
        <v>2</v>
      </c>
      <c r="J731" s="464">
        <f t="shared" si="41"/>
        <v>0</v>
      </c>
      <c r="K731" s="465">
        <f t="shared" si="42"/>
        <v>6382.978723</v>
      </c>
      <c r="L731" s="466"/>
      <c r="M731" s="466"/>
      <c r="N731" s="465">
        <f t="shared" si="43"/>
        <v>0</v>
      </c>
      <c r="O731" s="465">
        <f t="shared" si="44"/>
        <v>6382.978723</v>
      </c>
      <c r="P731" s="467"/>
    </row>
    <row r="732" ht="26.25" customHeight="1">
      <c r="A732" s="459">
        <v>45992.0</v>
      </c>
      <c r="B732" s="487" t="s">
        <v>1528</v>
      </c>
      <c r="C732" s="461" t="str">
        <f t="shared" si="1"/>
        <v>الاثنين</v>
      </c>
      <c r="D732" s="480">
        <v>0.4583333333333333</v>
      </c>
      <c r="E732" s="480">
        <v>0.7916666666666666</v>
      </c>
      <c r="F732" s="488">
        <v>500000.0</v>
      </c>
      <c r="G732" s="464">
        <f t="shared" ref="G732:G745" si="45">F732/270</f>
        <v>1851.851852</v>
      </c>
      <c r="H732" s="464">
        <f t="shared" ref="H732:H736" si="46">(E732-D732)*24</f>
        <v>8</v>
      </c>
      <c r="I732" s="464">
        <f t="shared" si="40"/>
        <v>8</v>
      </c>
      <c r="J732" s="464">
        <f t="shared" si="41"/>
        <v>0</v>
      </c>
      <c r="K732" s="465">
        <f t="shared" ref="K732:K745" si="47">G732*H732</f>
        <v>14814.81481</v>
      </c>
      <c r="L732" s="466"/>
      <c r="M732" s="489"/>
      <c r="N732" s="465">
        <f t="shared" si="43"/>
        <v>0</v>
      </c>
      <c r="O732" s="465">
        <f t="shared" ref="O732:O745" si="48">K732+L732-M732</f>
        <v>14814.81481</v>
      </c>
      <c r="P732" s="467"/>
    </row>
    <row r="733" ht="26.25" customHeight="1">
      <c r="A733" s="459">
        <v>45994.0</v>
      </c>
      <c r="B733" s="487" t="s">
        <v>1528</v>
      </c>
      <c r="C733" s="461" t="str">
        <f t="shared" si="1"/>
        <v>الأربعاء</v>
      </c>
      <c r="D733" s="480">
        <v>0.46875</v>
      </c>
      <c r="E733" s="480">
        <v>0.71875</v>
      </c>
      <c r="F733" s="488">
        <v>500000.0</v>
      </c>
      <c r="G733" s="464">
        <f t="shared" si="45"/>
        <v>1851.851852</v>
      </c>
      <c r="H733" s="464">
        <f t="shared" si="46"/>
        <v>6</v>
      </c>
      <c r="I733" s="464">
        <f t="shared" si="40"/>
        <v>6</v>
      </c>
      <c r="J733" s="464">
        <f t="shared" si="41"/>
        <v>0</v>
      </c>
      <c r="K733" s="465">
        <f t="shared" si="47"/>
        <v>11111.11111</v>
      </c>
      <c r="L733" s="466"/>
      <c r="M733" s="466"/>
      <c r="N733" s="465">
        <f t="shared" si="43"/>
        <v>0</v>
      </c>
      <c r="O733" s="465">
        <f t="shared" si="48"/>
        <v>11111.11111</v>
      </c>
      <c r="P733" s="467"/>
    </row>
    <row r="734" ht="26.25" customHeight="1">
      <c r="A734" s="459">
        <v>45997.0</v>
      </c>
      <c r="B734" s="487" t="s">
        <v>1528</v>
      </c>
      <c r="C734" s="461" t="str">
        <f t="shared" si="1"/>
        <v>السبت</v>
      </c>
      <c r="D734" s="480">
        <v>0.10416666666666667</v>
      </c>
      <c r="E734" s="480">
        <v>0.6666666666666666</v>
      </c>
      <c r="F734" s="488">
        <v>500000.0</v>
      </c>
      <c r="G734" s="464">
        <f t="shared" si="45"/>
        <v>1851.851852</v>
      </c>
      <c r="H734" s="464">
        <f t="shared" si="46"/>
        <v>13.5</v>
      </c>
      <c r="I734" s="464">
        <f t="shared" si="40"/>
        <v>9</v>
      </c>
      <c r="J734" s="464">
        <f t="shared" si="41"/>
        <v>4.5</v>
      </c>
      <c r="K734" s="465">
        <f t="shared" si="47"/>
        <v>25000</v>
      </c>
      <c r="L734" s="466"/>
      <c r="M734" s="466"/>
      <c r="N734" s="465">
        <f t="shared" si="43"/>
        <v>12500</v>
      </c>
      <c r="O734" s="465">
        <f t="shared" si="48"/>
        <v>25000</v>
      </c>
      <c r="P734" s="467"/>
    </row>
    <row r="735" ht="26.25" customHeight="1">
      <c r="A735" s="459">
        <v>45999.0</v>
      </c>
      <c r="B735" s="487" t="s">
        <v>1528</v>
      </c>
      <c r="C735" s="461" t="str">
        <f t="shared" si="1"/>
        <v>الاثنين</v>
      </c>
      <c r="D735" s="480">
        <v>0.08333333333333333</v>
      </c>
      <c r="E735" s="480">
        <v>0.6666666666666666</v>
      </c>
      <c r="F735" s="488">
        <v>500000.0</v>
      </c>
      <c r="G735" s="464">
        <f t="shared" si="45"/>
        <v>1851.851852</v>
      </c>
      <c r="H735" s="464">
        <f t="shared" si="46"/>
        <v>14</v>
      </c>
      <c r="I735" s="464">
        <f t="shared" si="40"/>
        <v>9</v>
      </c>
      <c r="J735" s="464">
        <f t="shared" si="41"/>
        <v>5</v>
      </c>
      <c r="K735" s="465">
        <f t="shared" si="47"/>
        <v>25925.92593</v>
      </c>
      <c r="L735" s="466"/>
      <c r="M735" s="466"/>
      <c r="N735" s="465">
        <f t="shared" si="43"/>
        <v>13888.88889</v>
      </c>
      <c r="O735" s="465">
        <f t="shared" si="48"/>
        <v>25925.92593</v>
      </c>
      <c r="P735" s="467"/>
    </row>
    <row r="736" ht="26.25" customHeight="1">
      <c r="A736" s="459">
        <v>46000.0</v>
      </c>
      <c r="B736" s="487" t="s">
        <v>1528</v>
      </c>
      <c r="C736" s="461" t="str">
        <f t="shared" si="1"/>
        <v>الثلاثاء</v>
      </c>
      <c r="D736" s="480">
        <v>0.4166666666666667</v>
      </c>
      <c r="E736" s="480">
        <v>0.6770833333333334</v>
      </c>
      <c r="F736" s="488">
        <v>500000.0</v>
      </c>
      <c r="G736" s="464">
        <f t="shared" si="45"/>
        <v>1851.851852</v>
      </c>
      <c r="H736" s="464">
        <f t="shared" si="46"/>
        <v>6.25</v>
      </c>
      <c r="I736" s="464">
        <f t="shared" si="40"/>
        <v>6.25</v>
      </c>
      <c r="J736" s="464">
        <f t="shared" si="41"/>
        <v>0</v>
      </c>
      <c r="K736" s="465">
        <f t="shared" si="47"/>
        <v>11574.07407</v>
      </c>
      <c r="L736" s="466"/>
      <c r="M736" s="466"/>
      <c r="N736" s="465">
        <f t="shared" si="43"/>
        <v>0</v>
      </c>
      <c r="O736" s="465">
        <f t="shared" si="48"/>
        <v>11574.07407</v>
      </c>
      <c r="P736" s="467"/>
    </row>
    <row r="737" ht="26.25" customHeight="1">
      <c r="A737" s="459">
        <v>46001.0</v>
      </c>
      <c r="B737" s="487" t="s">
        <v>1528</v>
      </c>
      <c r="C737" s="461" t="str">
        <f t="shared" si="1"/>
        <v>الأربعاء</v>
      </c>
      <c r="D737" s="480">
        <v>0.6041666666666666</v>
      </c>
      <c r="E737" s="480">
        <v>0.0</v>
      </c>
      <c r="F737" s="488">
        <v>500000.0</v>
      </c>
      <c r="G737" s="464">
        <f t="shared" si="45"/>
        <v>1851.851852</v>
      </c>
      <c r="H737" s="490">
        <v>14.0</v>
      </c>
      <c r="I737" s="464">
        <f t="shared" si="40"/>
        <v>9</v>
      </c>
      <c r="J737" s="464">
        <f t="shared" si="41"/>
        <v>5</v>
      </c>
      <c r="K737" s="465">
        <f t="shared" si="47"/>
        <v>25925.92593</v>
      </c>
      <c r="L737" s="466"/>
      <c r="M737" s="466"/>
      <c r="N737" s="465">
        <f t="shared" si="43"/>
        <v>13888.88889</v>
      </c>
      <c r="O737" s="465">
        <f t="shared" si="48"/>
        <v>25925.92593</v>
      </c>
      <c r="P737" s="467"/>
    </row>
    <row r="738" ht="26.25" customHeight="1">
      <c r="A738" s="459">
        <v>46002.0</v>
      </c>
      <c r="B738" s="487" t="s">
        <v>1528</v>
      </c>
      <c r="C738" s="461" t="str">
        <f t="shared" si="1"/>
        <v>الخميس</v>
      </c>
      <c r="D738" s="480">
        <v>0.0</v>
      </c>
      <c r="E738" s="480">
        <v>0.7916666666666666</v>
      </c>
      <c r="F738" s="488">
        <v>500000.0</v>
      </c>
      <c r="G738" s="464">
        <f t="shared" si="45"/>
        <v>1851.851852</v>
      </c>
      <c r="H738" s="464">
        <f t="shared" ref="H738:H741" si="49">(E738-D738)*24</f>
        <v>19</v>
      </c>
      <c r="I738" s="464">
        <f t="shared" si="40"/>
        <v>9</v>
      </c>
      <c r="J738" s="464">
        <f t="shared" si="41"/>
        <v>10</v>
      </c>
      <c r="K738" s="465">
        <f t="shared" si="47"/>
        <v>35185.18519</v>
      </c>
      <c r="L738" s="466"/>
      <c r="M738" s="466"/>
      <c r="N738" s="465">
        <f t="shared" si="43"/>
        <v>27777.77778</v>
      </c>
      <c r="O738" s="465">
        <f t="shared" si="48"/>
        <v>35185.18519</v>
      </c>
      <c r="P738" s="467"/>
    </row>
    <row r="739" ht="26.25" customHeight="1">
      <c r="A739" s="459">
        <v>46003.0</v>
      </c>
      <c r="B739" s="487" t="s">
        <v>1528</v>
      </c>
      <c r="C739" s="461" t="str">
        <f t="shared" si="1"/>
        <v>الجمعة</v>
      </c>
      <c r="D739" s="480">
        <v>0.20833333333333334</v>
      </c>
      <c r="E739" s="480">
        <v>0.875</v>
      </c>
      <c r="F739" s="488">
        <v>500000.0</v>
      </c>
      <c r="G739" s="464">
        <f t="shared" si="45"/>
        <v>1851.851852</v>
      </c>
      <c r="H739" s="464">
        <f t="shared" si="49"/>
        <v>16</v>
      </c>
      <c r="I739" s="464">
        <f t="shared" si="40"/>
        <v>9</v>
      </c>
      <c r="J739" s="464">
        <f t="shared" si="41"/>
        <v>7</v>
      </c>
      <c r="K739" s="465">
        <f t="shared" si="47"/>
        <v>29629.62963</v>
      </c>
      <c r="L739" s="466"/>
      <c r="M739" s="466"/>
      <c r="N739" s="465">
        <f t="shared" si="43"/>
        <v>19444.44444</v>
      </c>
      <c r="O739" s="465">
        <f t="shared" si="48"/>
        <v>29629.62963</v>
      </c>
      <c r="P739" s="467"/>
    </row>
    <row r="740" ht="26.25" customHeight="1">
      <c r="A740" s="459">
        <v>46004.0</v>
      </c>
      <c r="B740" s="487" t="s">
        <v>1528</v>
      </c>
      <c r="C740" s="461" t="str">
        <f t="shared" si="1"/>
        <v>السبت</v>
      </c>
      <c r="D740" s="480">
        <v>0.4479166666666667</v>
      </c>
      <c r="E740" s="480">
        <v>0.9583333333333334</v>
      </c>
      <c r="F740" s="488">
        <v>500000.0</v>
      </c>
      <c r="G740" s="464">
        <f t="shared" si="45"/>
        <v>1851.851852</v>
      </c>
      <c r="H740" s="464">
        <f t="shared" si="49"/>
        <v>12.25</v>
      </c>
      <c r="I740" s="464">
        <f t="shared" si="40"/>
        <v>9</v>
      </c>
      <c r="J740" s="464">
        <f t="shared" si="41"/>
        <v>3.25</v>
      </c>
      <c r="K740" s="465">
        <f t="shared" si="47"/>
        <v>22685.18519</v>
      </c>
      <c r="L740" s="466"/>
      <c r="M740" s="466"/>
      <c r="N740" s="465">
        <f t="shared" si="43"/>
        <v>9027.777778</v>
      </c>
      <c r="O740" s="465">
        <f t="shared" si="48"/>
        <v>22685.18519</v>
      </c>
      <c r="P740" s="467"/>
    </row>
    <row r="741" ht="26.25" customHeight="1">
      <c r="A741" s="459">
        <v>46005.0</v>
      </c>
      <c r="B741" s="487" t="s">
        <v>1528</v>
      </c>
      <c r="C741" s="461" t="str">
        <f t="shared" si="1"/>
        <v>الأحد</v>
      </c>
      <c r="D741" s="480">
        <v>0.4375</v>
      </c>
      <c r="E741" s="480">
        <v>0.7708333333333334</v>
      </c>
      <c r="F741" s="488">
        <v>500000.0</v>
      </c>
      <c r="G741" s="464">
        <f t="shared" si="45"/>
        <v>1851.851852</v>
      </c>
      <c r="H741" s="464">
        <f t="shared" si="49"/>
        <v>8</v>
      </c>
      <c r="I741" s="464">
        <f t="shared" si="40"/>
        <v>8</v>
      </c>
      <c r="J741" s="464">
        <f t="shared" si="41"/>
        <v>0</v>
      </c>
      <c r="K741" s="465">
        <f t="shared" si="47"/>
        <v>14814.81481</v>
      </c>
      <c r="L741" s="466"/>
      <c r="M741" s="466"/>
      <c r="N741" s="465">
        <f t="shared" si="43"/>
        <v>0</v>
      </c>
      <c r="O741" s="465">
        <f t="shared" si="48"/>
        <v>14814.81481</v>
      </c>
      <c r="P741" s="467"/>
    </row>
    <row r="742" ht="26.25" customHeight="1">
      <c r="A742" s="459">
        <v>46009.0</v>
      </c>
      <c r="B742" s="487" t="s">
        <v>1528</v>
      </c>
      <c r="C742" s="461" t="str">
        <f t="shared" si="1"/>
        <v>الخميس</v>
      </c>
      <c r="D742" s="480">
        <v>0.4305555555555556</v>
      </c>
      <c r="E742" s="480">
        <v>0.041666666666666664</v>
      </c>
      <c r="F742" s="488">
        <v>500000.0</v>
      </c>
      <c r="G742" s="464">
        <f t="shared" si="45"/>
        <v>1851.851852</v>
      </c>
      <c r="H742" s="490">
        <v>14.0</v>
      </c>
      <c r="I742" s="464">
        <f t="shared" si="40"/>
        <v>9</v>
      </c>
      <c r="J742" s="464">
        <f t="shared" si="41"/>
        <v>5</v>
      </c>
      <c r="K742" s="465">
        <f t="shared" si="47"/>
        <v>25925.92593</v>
      </c>
      <c r="L742" s="466"/>
      <c r="M742" s="466"/>
      <c r="N742" s="465">
        <f t="shared" si="43"/>
        <v>13888.88889</v>
      </c>
      <c r="O742" s="465">
        <f t="shared" si="48"/>
        <v>25925.92593</v>
      </c>
      <c r="P742" s="467"/>
    </row>
    <row r="743" ht="26.25" customHeight="1">
      <c r="A743" s="459">
        <v>46010.0</v>
      </c>
      <c r="B743" s="487" t="s">
        <v>1528</v>
      </c>
      <c r="C743" s="461" t="str">
        <f t="shared" si="1"/>
        <v>الجمعة</v>
      </c>
      <c r="D743" s="480">
        <v>0.5625</v>
      </c>
      <c r="E743" s="480">
        <v>0.6666666666666666</v>
      </c>
      <c r="F743" s="488">
        <v>500000.0</v>
      </c>
      <c r="G743" s="464">
        <f t="shared" si="45"/>
        <v>1851.851852</v>
      </c>
      <c r="H743" s="490">
        <v>14.0</v>
      </c>
      <c r="I743" s="464">
        <f t="shared" si="40"/>
        <v>9</v>
      </c>
      <c r="J743" s="464">
        <f t="shared" si="41"/>
        <v>5</v>
      </c>
      <c r="K743" s="465">
        <f t="shared" si="47"/>
        <v>25925.92593</v>
      </c>
      <c r="L743" s="466"/>
      <c r="M743" s="466"/>
      <c r="N743" s="465">
        <f t="shared" si="43"/>
        <v>13888.88889</v>
      </c>
      <c r="O743" s="465">
        <f t="shared" si="48"/>
        <v>25925.92593</v>
      </c>
      <c r="P743" s="467"/>
    </row>
    <row r="744" ht="26.25" customHeight="1">
      <c r="A744" s="459">
        <v>46012.0</v>
      </c>
      <c r="B744" s="487" t="s">
        <v>1528</v>
      </c>
      <c r="C744" s="461" t="str">
        <f t="shared" si="1"/>
        <v>الأحد</v>
      </c>
      <c r="D744" s="480">
        <v>0.3611111111111111</v>
      </c>
      <c r="E744" s="480">
        <v>0.5</v>
      </c>
      <c r="F744" s="488">
        <v>500000.0</v>
      </c>
      <c r="G744" s="464">
        <f t="shared" si="45"/>
        <v>1851.851852</v>
      </c>
      <c r="H744" s="490">
        <v>15.0</v>
      </c>
      <c r="I744" s="464">
        <f t="shared" si="40"/>
        <v>9</v>
      </c>
      <c r="J744" s="464">
        <f t="shared" si="41"/>
        <v>6</v>
      </c>
      <c r="K744" s="465">
        <f t="shared" si="47"/>
        <v>27777.77778</v>
      </c>
      <c r="L744" s="466"/>
      <c r="M744" s="466"/>
      <c r="N744" s="465">
        <f t="shared" si="43"/>
        <v>16666.66667</v>
      </c>
      <c r="O744" s="465">
        <f t="shared" si="48"/>
        <v>27777.77778</v>
      </c>
      <c r="P744" s="467"/>
    </row>
    <row r="745" ht="26.25" customHeight="1">
      <c r="A745" s="459">
        <v>46013.0</v>
      </c>
      <c r="B745" s="487" t="s">
        <v>1528</v>
      </c>
      <c r="C745" s="461" t="str">
        <f t="shared" si="1"/>
        <v>الاثنين</v>
      </c>
      <c r="D745" s="480">
        <v>0.14583333333333334</v>
      </c>
      <c r="E745" s="480">
        <v>0.7916666666666666</v>
      </c>
      <c r="F745" s="488">
        <v>500000.0</v>
      </c>
      <c r="G745" s="464">
        <f t="shared" si="45"/>
        <v>1851.851852</v>
      </c>
      <c r="H745" s="464">
        <f>(E745-D745)*24</f>
        <v>15.5</v>
      </c>
      <c r="I745" s="464">
        <f t="shared" si="40"/>
        <v>9</v>
      </c>
      <c r="J745" s="464">
        <f t="shared" si="41"/>
        <v>6.5</v>
      </c>
      <c r="K745" s="465">
        <f t="shared" si="47"/>
        <v>28703.7037</v>
      </c>
      <c r="L745" s="466"/>
      <c r="M745" s="466"/>
      <c r="N745" s="465">
        <f t="shared" si="43"/>
        <v>18055.55556</v>
      </c>
      <c r="O745" s="465">
        <f t="shared" si="48"/>
        <v>28703.7037</v>
      </c>
      <c r="P745" s="467"/>
    </row>
  </sheetData>
  <customSheetViews>
    <customSheetView guid="{5EE52AE5-C16A-4C55-8EDB-E8FE16E802DD}" filter="1" showAutoFilter="1">
      <autoFilter ref="$A$1:$P$731"/>
    </customSheetView>
  </customSheetViews>
  <printOptions gridLines="1"/>
  <pageMargins bottom="0.75" footer="0.0" header="0.0" left="0.7" right="0.7" top="0.75"/>
  <pageSetup fitToHeight="0" paperSize="9" cellComments="atEnd" orientation="landscape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4.43" defaultRowHeight="15.0"/>
  <cols>
    <col customWidth="1" min="1" max="2" width="20.29"/>
    <col customWidth="1" min="3" max="3" width="22.71"/>
    <col customWidth="1" min="4" max="5" width="20.29"/>
  </cols>
  <sheetData>
    <row r="1" ht="54.75" customHeight="1">
      <c r="A1" s="491" t="s">
        <v>2509</v>
      </c>
      <c r="B1" s="492"/>
      <c r="C1" s="492"/>
      <c r="D1" s="492"/>
      <c r="E1" s="493"/>
    </row>
    <row r="2" ht="27.75" customHeight="1">
      <c r="A2" s="494" t="s">
        <v>20</v>
      </c>
      <c r="B2" s="495" t="s">
        <v>2510</v>
      </c>
      <c r="C2" s="496"/>
      <c r="D2" s="496"/>
      <c r="E2" s="497"/>
    </row>
    <row r="3" ht="27.75" customHeight="1">
      <c r="A3" s="498">
        <v>12.0</v>
      </c>
      <c r="B3" s="496"/>
      <c r="C3" s="496" t="s">
        <v>2511</v>
      </c>
      <c r="D3" s="499">
        <f>IF(A4="","",SUMIFS('الرواتب'!N:N,'الرواتب'!O:O,"&gt;="&amp;DATE(A4,1,1),'الرواتب'!O:O,"&lt;="&amp;DATE(A4,12,31)))</f>
        <v>68919058.6</v>
      </c>
      <c r="E3" s="497"/>
    </row>
    <row r="4" ht="27.75" customHeight="1">
      <c r="A4" s="498">
        <v>2025.0</v>
      </c>
      <c r="B4" s="496"/>
      <c r="C4" s="496"/>
      <c r="D4" s="496"/>
      <c r="E4" s="497"/>
    </row>
    <row r="5" ht="27.75" customHeight="1">
      <c r="A5" s="500" t="s">
        <v>0</v>
      </c>
      <c r="B5" s="495" t="s">
        <v>2512</v>
      </c>
      <c r="C5" s="496"/>
      <c r="D5" s="495" t="s">
        <v>2513</v>
      </c>
      <c r="E5" s="497"/>
    </row>
    <row r="6" ht="27.75" customHeight="1">
      <c r="A6" s="501">
        <f>IFERROR(__xludf.DUMMYFUNCTION("FILTER({'الرواتب'!O:O , 'الرواتب'!I:I} ,'الرواتب'!A:A  = $A$2)"),45658.0)</f>
        <v>45658</v>
      </c>
      <c r="B6" s="502">
        <f>IFERROR(__xludf.DUMMYFUNCTION("""COMPUTED_VALUE"""),779000.0)</f>
        <v>779000</v>
      </c>
      <c r="C6" s="496"/>
      <c r="D6" s="496"/>
      <c r="E6" s="497"/>
    </row>
    <row r="7" ht="27.75" customHeight="1">
      <c r="A7" s="501">
        <f>IFERROR(__xludf.DUMMYFUNCTION("""COMPUTED_VALUE"""),45691.0)</f>
        <v>45691</v>
      </c>
      <c r="B7" s="502">
        <f>IFERROR(__xludf.DUMMYFUNCTION("""COMPUTED_VALUE"""),570000.0)</f>
        <v>570000</v>
      </c>
      <c r="C7" s="495" t="s">
        <v>2514</v>
      </c>
      <c r="D7" s="502">
        <f>SUM(B6:B17)</f>
        <v>6742518.822</v>
      </c>
      <c r="E7" s="497"/>
    </row>
    <row r="8" ht="27.75" customHeight="1">
      <c r="A8" s="501">
        <f>IFERROR(__xludf.DUMMYFUNCTION("""COMPUTED_VALUE"""),45722.0)</f>
        <v>45722</v>
      </c>
      <c r="B8" s="502">
        <f>IFERROR(__xludf.DUMMYFUNCTION("""COMPUTED_VALUE"""),477000.0)</f>
        <v>477000</v>
      </c>
      <c r="C8" s="495" t="s">
        <v>2515</v>
      </c>
      <c r="D8" s="502">
        <f>MAX(B6:B17)</f>
        <v>802000</v>
      </c>
      <c r="E8" s="497"/>
    </row>
    <row r="9" ht="27.75" customHeight="1">
      <c r="A9" s="501">
        <f>IFERROR(__xludf.DUMMYFUNCTION("""COMPUTED_VALUE"""),45757.0)</f>
        <v>45757</v>
      </c>
      <c r="B9" s="502">
        <f>IFERROR(__xludf.DUMMYFUNCTION("""COMPUTED_VALUE"""),802000.0)</f>
        <v>802000</v>
      </c>
      <c r="C9" s="495" t="s">
        <v>2516</v>
      </c>
      <c r="D9" s="502">
        <f>MIN(B6:B17)</f>
        <v>244417.6896</v>
      </c>
      <c r="E9" s="497"/>
    </row>
    <row r="10" ht="27.75" customHeight="1">
      <c r="A10" s="501">
        <f>IFERROR(__xludf.DUMMYFUNCTION("""COMPUTED_VALUE"""),45785.0)</f>
        <v>45785</v>
      </c>
      <c r="B10" s="502">
        <f>IFERROR(__xludf.DUMMYFUNCTION("""COMPUTED_VALUE"""),607000.0)</f>
        <v>607000</v>
      </c>
      <c r="C10" s="495" t="s">
        <v>2517</v>
      </c>
      <c r="D10" s="496">
        <f>COUNTA(A6:A17)</f>
        <v>12</v>
      </c>
      <c r="E10" s="497"/>
    </row>
    <row r="11" ht="27.75" customHeight="1">
      <c r="A11" s="501">
        <f>IFERROR(__xludf.DUMMYFUNCTION("""COMPUTED_VALUE"""),45818.0)</f>
        <v>45818</v>
      </c>
      <c r="B11" s="502">
        <f>IFERROR(__xludf.DUMMYFUNCTION("""COMPUTED_VALUE"""),600000.0)</f>
        <v>600000</v>
      </c>
      <c r="C11" s="503" t="s">
        <v>2518</v>
      </c>
      <c r="D11" s="504">
        <f>IF(A2="","",SUMIFS('سلف الموضفين'!F:F,'سلف الموضفين'!A:A,A2,'سلف الموضفين'!C:C,"&gt;="&amp;DATE(A4,A3,1),'سلف الموضفين'!C:C,"&lt;="&amp;EOMONTH(DATE(A4,A3,1),0)))</f>
        <v>38000</v>
      </c>
      <c r="E11" s="503"/>
    </row>
    <row r="12" ht="27.75" customHeight="1">
      <c r="A12" s="501">
        <f>IFERROR(__xludf.DUMMYFUNCTION("""COMPUTED_VALUE"""),45847.0)</f>
        <v>45847</v>
      </c>
      <c r="B12" s="502">
        <f>IFERROR(__xludf.DUMMYFUNCTION("""COMPUTED_VALUE"""),565000.0)</f>
        <v>565000</v>
      </c>
      <c r="C12" s="496"/>
      <c r="D12" s="503"/>
      <c r="E12" s="503"/>
    </row>
    <row r="13" ht="27.75" customHeight="1">
      <c r="A13" s="501">
        <f>IFERROR(__xludf.DUMMYFUNCTION("""COMPUTED_VALUE"""),45872.0)</f>
        <v>45872</v>
      </c>
      <c r="B13" s="502">
        <f>IFERROR(__xludf.DUMMYFUNCTION("""COMPUTED_VALUE"""),421000.0)</f>
        <v>421000</v>
      </c>
      <c r="C13" s="496"/>
      <c r="D13" s="504"/>
      <c r="E13" s="504"/>
    </row>
    <row r="14" ht="27.75" customHeight="1">
      <c r="A14" s="501">
        <f>IFERROR(__xludf.DUMMYFUNCTION("""COMPUTED_VALUE"""),45901.0)</f>
        <v>45901</v>
      </c>
      <c r="B14" s="505">
        <f>IFERROR(__xludf.DUMMYFUNCTION("""COMPUTED_VALUE"""),640089.4708128751)</f>
        <v>640089.4708</v>
      </c>
      <c r="C14" s="506"/>
      <c r="D14" s="506"/>
      <c r="E14" s="497"/>
    </row>
    <row r="15" ht="27.75" customHeight="1">
      <c r="A15" s="501">
        <f>IFERROR(__xludf.DUMMYFUNCTION("""COMPUTED_VALUE"""),45941.0)</f>
        <v>45941</v>
      </c>
      <c r="B15" s="507">
        <f>IFERROR(__xludf.DUMMYFUNCTION("""COMPUTED_VALUE"""),449410.1200218223)</f>
        <v>449410.12</v>
      </c>
      <c r="C15" s="506"/>
      <c r="D15" s="506"/>
      <c r="E15" s="497"/>
    </row>
    <row r="16" ht="27.75" customHeight="1">
      <c r="A16" s="501">
        <f>IFERROR(__xludf.DUMMYFUNCTION("""COMPUTED_VALUE"""),45962.0)</f>
        <v>45962</v>
      </c>
      <c r="B16" s="507">
        <f>IFERROR(__xludf.DUMMYFUNCTION("""COMPUTED_VALUE"""),587601.5411893072)</f>
        <v>587601.5412</v>
      </c>
      <c r="C16" s="506"/>
      <c r="D16" s="506"/>
      <c r="E16" s="497"/>
    </row>
    <row r="17" ht="27.75" customHeight="1">
      <c r="A17" s="501">
        <f>IFERROR(__xludf.DUMMYFUNCTION("""COMPUTED_VALUE"""),45995.0)</f>
        <v>45995</v>
      </c>
      <c r="B17" s="507">
        <f>IFERROR(__xludf.DUMMYFUNCTION("""COMPUTED_VALUE"""),244417.68957992364)</f>
        <v>244417.6896</v>
      </c>
      <c r="C17" s="506"/>
      <c r="D17" s="506"/>
      <c r="E17" s="497"/>
    </row>
    <row r="18" ht="27.75" customHeight="1">
      <c r="A18" s="501"/>
      <c r="B18" s="506"/>
      <c r="C18" s="506"/>
      <c r="D18" s="506"/>
      <c r="E18" s="497"/>
    </row>
    <row r="19" ht="27.75" customHeight="1">
      <c r="A19" s="501"/>
      <c r="B19" s="506"/>
      <c r="C19" s="506"/>
      <c r="D19" s="506"/>
      <c r="E19" s="497"/>
    </row>
    <row r="20" ht="27.75" customHeight="1">
      <c r="A20" s="501"/>
      <c r="B20" s="506"/>
      <c r="C20" s="506"/>
      <c r="D20" s="506"/>
      <c r="E20" s="497"/>
    </row>
    <row r="21" ht="27.75" customHeight="1">
      <c r="A21" s="501"/>
      <c r="B21" s="506"/>
      <c r="C21" s="506"/>
      <c r="D21" s="506"/>
      <c r="E21" s="497"/>
    </row>
    <row r="22" ht="27.75" customHeight="1">
      <c r="A22" s="501"/>
      <c r="B22" s="506"/>
      <c r="C22" s="506"/>
      <c r="D22" s="506"/>
      <c r="E22" s="497"/>
    </row>
    <row r="23" ht="27.75" customHeight="1">
      <c r="A23" s="501"/>
      <c r="B23" s="506"/>
      <c r="C23" s="506"/>
      <c r="D23" s="506"/>
      <c r="E23" s="497"/>
    </row>
    <row r="24" ht="27.75" customHeight="1">
      <c r="A24" s="501"/>
      <c r="B24" s="506"/>
      <c r="C24" s="506"/>
      <c r="D24" s="508" t="s">
        <v>1610</v>
      </c>
      <c r="E24" s="509"/>
    </row>
    <row r="25" ht="27.75" customHeight="1">
      <c r="A25" s="510"/>
      <c r="B25" s="511"/>
      <c r="C25" s="511"/>
      <c r="D25" s="512"/>
      <c r="E25" s="513"/>
    </row>
  </sheetData>
  <mergeCells count="2">
    <mergeCell ref="A1:E1"/>
    <mergeCell ref="D24:E25"/>
  </mergeCells>
  <dataValidations>
    <dataValidation type="list" allowBlank="1" showErrorMessage="1" sqref="A3">
      <formula1>" 1,2,3,4,5,6,7,8,9,10,11,12"</formula1>
    </dataValidation>
    <dataValidation type="list" allowBlank="1" showErrorMessage="1" sqref="A2">
      <formula1>'الرواتب'!$A$2:$A25</formula1>
    </dataValidation>
    <dataValidation type="list" allowBlank="1" showErrorMessage="1" sqref="A4">
      <formula1>"2025,2026"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6.86"/>
    <col customWidth="1" min="2" max="2" width="21.57"/>
    <col customWidth="1" min="3" max="3" width="14.14"/>
    <col customWidth="1" min="4" max="4" width="13.29"/>
    <col customWidth="1" min="5" max="6" width="20.71"/>
    <col customWidth="1" min="7" max="7" width="9.43"/>
    <col customWidth="1" min="8" max="9" width="25.71"/>
  </cols>
  <sheetData>
    <row r="1" ht="26.25" customHeight="1">
      <c r="A1" s="514"/>
      <c r="B1" s="515">
        <f>SUM(B3:B49)</f>
        <v>11792000</v>
      </c>
      <c r="C1" s="516"/>
      <c r="D1" s="517">
        <f>F1-E1</f>
        <v>12078000</v>
      </c>
      <c r="E1" s="518">
        <f>IFERROR(B1-F1,0)</f>
        <v>-143000</v>
      </c>
      <c r="F1" s="518">
        <f>sum(F3:F49)</f>
        <v>11935000</v>
      </c>
      <c r="G1" s="514"/>
      <c r="H1" s="519" t="str">
        <f>#REF!</f>
        <v>#REF!</v>
      </c>
      <c r="I1" s="519"/>
    </row>
    <row r="2" ht="26.25" customHeight="1">
      <c r="A2" s="514" t="s">
        <v>2519</v>
      </c>
      <c r="B2" s="515" t="s">
        <v>2520</v>
      </c>
      <c r="C2" s="516" t="s">
        <v>948</v>
      </c>
      <c r="D2" s="520" t="s">
        <v>2521</v>
      </c>
      <c r="E2" s="518" t="s">
        <v>952</v>
      </c>
      <c r="F2" s="521" t="s">
        <v>40</v>
      </c>
      <c r="G2" s="514" t="s">
        <v>2522</v>
      </c>
      <c r="H2" s="522" t="s">
        <v>33</v>
      </c>
      <c r="I2" s="522" t="s">
        <v>2523</v>
      </c>
    </row>
    <row r="3" ht="35.25" customHeight="1">
      <c r="A3" s="523" t="s">
        <v>224</v>
      </c>
      <c r="B3" s="524">
        <v>25000.0</v>
      </c>
      <c r="C3" s="525">
        <v>45658.0</v>
      </c>
      <c r="D3" s="526">
        <f t="shared" ref="D3:D36" si="1">B3-F3-E3</f>
        <v>0</v>
      </c>
      <c r="E3" s="527">
        <f t="shared" ref="E3:E36" si="2">IFERROR(B3-F3,0)</f>
        <v>0</v>
      </c>
      <c r="F3" s="526">
        <v>25000.0</v>
      </c>
      <c r="G3" s="528" t="str">
        <f t="shared" ref="G3:G36" si="3">IF(E3&lt;=0,"احسنت","ممنوع")</f>
        <v>احسنت</v>
      </c>
      <c r="H3" s="529" t="s">
        <v>2524</v>
      </c>
      <c r="I3" s="529"/>
    </row>
    <row r="4" ht="26.25" customHeight="1">
      <c r="A4" s="523" t="s">
        <v>2525</v>
      </c>
      <c r="B4" s="530">
        <v>789000.0</v>
      </c>
      <c r="C4" s="525">
        <v>45673.0</v>
      </c>
      <c r="D4" s="526">
        <f t="shared" si="1"/>
        <v>0</v>
      </c>
      <c r="E4" s="527">
        <f t="shared" si="2"/>
        <v>0</v>
      </c>
      <c r="F4" s="531">
        <v>789000.0</v>
      </c>
      <c r="G4" s="528" t="str">
        <f t="shared" si="3"/>
        <v>احسنت</v>
      </c>
      <c r="H4" s="529" t="s">
        <v>2526</v>
      </c>
      <c r="I4" s="529"/>
    </row>
    <row r="5" ht="26.25" customHeight="1">
      <c r="A5" s="523" t="s">
        <v>224</v>
      </c>
      <c r="B5" s="524">
        <v>300000.0</v>
      </c>
      <c r="C5" s="532">
        <v>45689.0</v>
      </c>
      <c r="D5" s="526">
        <f t="shared" si="1"/>
        <v>0</v>
      </c>
      <c r="E5" s="527">
        <f t="shared" si="2"/>
        <v>0</v>
      </c>
      <c r="F5" s="526">
        <v>300000.0</v>
      </c>
      <c r="G5" s="528" t="str">
        <f t="shared" si="3"/>
        <v>احسنت</v>
      </c>
      <c r="H5" s="529" t="s">
        <v>2524</v>
      </c>
      <c r="I5" s="529"/>
    </row>
    <row r="6" ht="26.25" customHeight="1">
      <c r="A6" s="523" t="s">
        <v>2525</v>
      </c>
      <c r="B6" s="530">
        <v>1185000.0</v>
      </c>
      <c r="C6" s="525">
        <v>45700.0</v>
      </c>
      <c r="D6" s="526">
        <f t="shared" si="1"/>
        <v>0</v>
      </c>
      <c r="E6" s="527">
        <f t="shared" si="2"/>
        <v>0</v>
      </c>
      <c r="F6" s="531">
        <v>1185000.0</v>
      </c>
      <c r="G6" s="528" t="str">
        <f t="shared" si="3"/>
        <v>احسنت</v>
      </c>
      <c r="H6" s="529" t="s">
        <v>2526</v>
      </c>
      <c r="I6" s="529"/>
    </row>
    <row r="7" ht="26.25" customHeight="1">
      <c r="A7" s="523" t="s">
        <v>224</v>
      </c>
      <c r="B7" s="524">
        <v>1540000.0</v>
      </c>
      <c r="C7" s="532">
        <v>45717.0</v>
      </c>
      <c r="D7" s="526">
        <f t="shared" si="1"/>
        <v>0</v>
      </c>
      <c r="E7" s="527">
        <f t="shared" si="2"/>
        <v>0</v>
      </c>
      <c r="F7" s="526">
        <v>1540000.0</v>
      </c>
      <c r="G7" s="528" t="str">
        <f t="shared" si="3"/>
        <v>احسنت</v>
      </c>
      <c r="H7" s="529" t="s">
        <v>2524</v>
      </c>
      <c r="I7" s="529"/>
    </row>
    <row r="8" ht="26.25" customHeight="1">
      <c r="A8" s="523" t="s">
        <v>2525</v>
      </c>
      <c r="B8" s="530">
        <v>1103000.0</v>
      </c>
      <c r="C8" s="525">
        <v>45721.0</v>
      </c>
      <c r="D8" s="526">
        <f t="shared" si="1"/>
        <v>0</v>
      </c>
      <c r="E8" s="527">
        <f t="shared" si="2"/>
        <v>0</v>
      </c>
      <c r="F8" s="531">
        <v>1103000.0</v>
      </c>
      <c r="G8" s="528" t="str">
        <f t="shared" si="3"/>
        <v>احسنت</v>
      </c>
      <c r="H8" s="529" t="s">
        <v>2526</v>
      </c>
      <c r="I8" s="529"/>
    </row>
    <row r="9" ht="26.25" customHeight="1">
      <c r="A9" s="523" t="s">
        <v>2525</v>
      </c>
      <c r="B9" s="530">
        <v>1040000.0</v>
      </c>
      <c r="C9" s="525">
        <v>45754.0</v>
      </c>
      <c r="D9" s="526">
        <f t="shared" si="1"/>
        <v>0</v>
      </c>
      <c r="E9" s="527">
        <f t="shared" si="2"/>
        <v>0</v>
      </c>
      <c r="F9" s="531">
        <v>1040000.0</v>
      </c>
      <c r="G9" s="528" t="str">
        <f t="shared" si="3"/>
        <v>احسنت</v>
      </c>
      <c r="H9" s="529" t="s">
        <v>2526</v>
      </c>
      <c r="I9" s="529"/>
    </row>
    <row r="10" ht="26.25" customHeight="1">
      <c r="A10" s="523" t="s">
        <v>224</v>
      </c>
      <c r="B10" s="524">
        <v>25000.0</v>
      </c>
      <c r="C10" s="525">
        <v>45748.0</v>
      </c>
      <c r="D10" s="526">
        <f t="shared" si="1"/>
        <v>0</v>
      </c>
      <c r="E10" s="527">
        <f t="shared" si="2"/>
        <v>0</v>
      </c>
      <c r="F10" s="526">
        <v>25000.0</v>
      </c>
      <c r="G10" s="528" t="str">
        <f t="shared" si="3"/>
        <v>احسنت</v>
      </c>
      <c r="H10" s="529" t="s">
        <v>2524</v>
      </c>
      <c r="I10" s="529"/>
    </row>
    <row r="11" ht="26.25" customHeight="1">
      <c r="A11" s="523" t="s">
        <v>2525</v>
      </c>
      <c r="B11" s="530">
        <v>789000.0</v>
      </c>
      <c r="C11" s="525">
        <v>45793.0</v>
      </c>
      <c r="D11" s="526">
        <f t="shared" si="1"/>
        <v>0</v>
      </c>
      <c r="E11" s="527">
        <f t="shared" si="2"/>
        <v>0</v>
      </c>
      <c r="F11" s="531">
        <v>789000.0</v>
      </c>
      <c r="G11" s="528" t="str">
        <f t="shared" si="3"/>
        <v>احسنت</v>
      </c>
      <c r="H11" s="529" t="s">
        <v>2526</v>
      </c>
      <c r="I11" s="529"/>
    </row>
    <row r="12" ht="26.25" customHeight="1">
      <c r="A12" s="523" t="s">
        <v>2525</v>
      </c>
      <c r="B12" s="530">
        <v>1650000.0</v>
      </c>
      <c r="C12" s="525">
        <v>45811.0</v>
      </c>
      <c r="D12" s="526">
        <f t="shared" si="1"/>
        <v>0</v>
      </c>
      <c r="E12" s="527">
        <f t="shared" si="2"/>
        <v>0</v>
      </c>
      <c r="F12" s="531">
        <v>1650000.0</v>
      </c>
      <c r="G12" s="528" t="str">
        <f t="shared" si="3"/>
        <v>احسنت</v>
      </c>
      <c r="H12" s="529" t="s">
        <v>2526</v>
      </c>
      <c r="I12" s="529"/>
    </row>
    <row r="13" ht="26.25" customHeight="1">
      <c r="A13" s="523" t="s">
        <v>224</v>
      </c>
      <c r="B13" s="524">
        <v>100000.0</v>
      </c>
      <c r="C13" s="525">
        <v>45778.0</v>
      </c>
      <c r="D13" s="526">
        <f t="shared" si="1"/>
        <v>0</v>
      </c>
      <c r="E13" s="527">
        <f t="shared" si="2"/>
        <v>0</v>
      </c>
      <c r="F13" s="526">
        <v>100000.0</v>
      </c>
      <c r="G13" s="528" t="str">
        <f t="shared" si="3"/>
        <v>احسنت</v>
      </c>
      <c r="H13" s="529" t="s">
        <v>2524</v>
      </c>
      <c r="I13" s="529"/>
    </row>
    <row r="14" ht="26.25" customHeight="1">
      <c r="A14" s="523" t="s">
        <v>224</v>
      </c>
      <c r="B14" s="524">
        <v>97000.0</v>
      </c>
      <c r="C14" s="525">
        <v>45809.0</v>
      </c>
      <c r="D14" s="526">
        <f t="shared" si="1"/>
        <v>0</v>
      </c>
      <c r="E14" s="527">
        <f t="shared" si="2"/>
        <v>0</v>
      </c>
      <c r="F14" s="526">
        <v>97000.0</v>
      </c>
      <c r="G14" s="528" t="str">
        <f t="shared" si="3"/>
        <v>احسنت</v>
      </c>
      <c r="H14" s="529" t="s">
        <v>2524</v>
      </c>
      <c r="I14" s="529"/>
    </row>
    <row r="15" ht="26.25" customHeight="1">
      <c r="A15" s="523" t="s">
        <v>224</v>
      </c>
      <c r="B15" s="524">
        <v>100000.0</v>
      </c>
      <c r="C15" s="525">
        <v>45839.0</v>
      </c>
      <c r="D15" s="526">
        <f t="shared" si="1"/>
        <v>0</v>
      </c>
      <c r="E15" s="527">
        <f t="shared" si="2"/>
        <v>0</v>
      </c>
      <c r="F15" s="531">
        <v>100000.0</v>
      </c>
      <c r="G15" s="528" t="str">
        <f t="shared" si="3"/>
        <v>احسنت</v>
      </c>
      <c r="H15" s="529" t="s">
        <v>2524</v>
      </c>
      <c r="I15" s="529"/>
    </row>
    <row r="16" ht="26.25" customHeight="1">
      <c r="A16" s="523" t="s">
        <v>224</v>
      </c>
      <c r="B16" s="524">
        <v>15000.0</v>
      </c>
      <c r="C16" s="525">
        <v>45870.0</v>
      </c>
      <c r="D16" s="526">
        <f t="shared" si="1"/>
        <v>0</v>
      </c>
      <c r="E16" s="527">
        <f t="shared" si="2"/>
        <v>0</v>
      </c>
      <c r="F16" s="531">
        <v>15000.0</v>
      </c>
      <c r="G16" s="528" t="str">
        <f t="shared" si="3"/>
        <v>احسنت</v>
      </c>
      <c r="H16" s="529" t="s">
        <v>2524</v>
      </c>
      <c r="I16" s="529"/>
    </row>
    <row r="17" ht="26.25" customHeight="1">
      <c r="A17" s="523" t="s">
        <v>224</v>
      </c>
      <c r="B17" s="524">
        <v>45000.0</v>
      </c>
      <c r="C17" s="525">
        <v>45901.0</v>
      </c>
      <c r="D17" s="526">
        <f t="shared" si="1"/>
        <v>0</v>
      </c>
      <c r="E17" s="527">
        <f t="shared" si="2"/>
        <v>0</v>
      </c>
      <c r="F17" s="531">
        <v>45000.0</v>
      </c>
      <c r="G17" s="528" t="str">
        <f t="shared" si="3"/>
        <v>احسنت</v>
      </c>
      <c r="H17" s="529" t="s">
        <v>2524</v>
      </c>
      <c r="I17" s="529"/>
    </row>
    <row r="18" ht="26.25" customHeight="1">
      <c r="A18" s="523" t="s">
        <v>224</v>
      </c>
      <c r="B18" s="524">
        <v>400000.0</v>
      </c>
      <c r="C18" s="525">
        <v>45931.0</v>
      </c>
      <c r="D18" s="526">
        <f t="shared" si="1"/>
        <v>0</v>
      </c>
      <c r="E18" s="527">
        <f t="shared" si="2"/>
        <v>0</v>
      </c>
      <c r="F18" s="531">
        <v>400000.0</v>
      </c>
      <c r="G18" s="528" t="str">
        <f t="shared" si="3"/>
        <v>احسنت</v>
      </c>
      <c r="H18" s="529" t="s">
        <v>2524</v>
      </c>
      <c r="I18" s="529"/>
    </row>
    <row r="19" ht="26.25" customHeight="1">
      <c r="A19" s="523" t="s">
        <v>224</v>
      </c>
      <c r="B19" s="524">
        <v>50000.0</v>
      </c>
      <c r="C19" s="525">
        <v>45962.0</v>
      </c>
      <c r="D19" s="526">
        <f t="shared" si="1"/>
        <v>0</v>
      </c>
      <c r="E19" s="527">
        <f t="shared" si="2"/>
        <v>0</v>
      </c>
      <c r="F19" s="527">
        <v>50000.0</v>
      </c>
      <c r="G19" s="528" t="str">
        <f t="shared" si="3"/>
        <v>احسنت</v>
      </c>
      <c r="H19" s="529" t="s">
        <v>2524</v>
      </c>
      <c r="I19" s="529"/>
    </row>
    <row r="20" ht="26.25" customHeight="1">
      <c r="A20" s="523" t="s">
        <v>224</v>
      </c>
      <c r="B20" s="524">
        <v>50000.0</v>
      </c>
      <c r="C20" s="525">
        <v>45963.0</v>
      </c>
      <c r="D20" s="526">
        <f t="shared" si="1"/>
        <v>0</v>
      </c>
      <c r="E20" s="527">
        <f t="shared" si="2"/>
        <v>0</v>
      </c>
      <c r="F20" s="527">
        <v>50000.0</v>
      </c>
      <c r="G20" s="528" t="str">
        <f t="shared" si="3"/>
        <v>احسنت</v>
      </c>
      <c r="H20" s="529" t="s">
        <v>2524</v>
      </c>
      <c r="I20" s="529"/>
    </row>
    <row r="21" ht="26.25" customHeight="1">
      <c r="A21" s="523" t="s">
        <v>224</v>
      </c>
      <c r="B21" s="524">
        <v>50000.0</v>
      </c>
      <c r="C21" s="525">
        <v>45964.0</v>
      </c>
      <c r="D21" s="526">
        <f t="shared" si="1"/>
        <v>0</v>
      </c>
      <c r="E21" s="527">
        <f t="shared" si="2"/>
        <v>0</v>
      </c>
      <c r="F21" s="527">
        <v>50000.0</v>
      </c>
      <c r="G21" s="528" t="str">
        <f t="shared" si="3"/>
        <v>احسنت</v>
      </c>
      <c r="H21" s="529" t="s">
        <v>2524</v>
      </c>
      <c r="I21" s="529"/>
    </row>
    <row r="22" ht="26.25" customHeight="1">
      <c r="A22" s="523" t="s">
        <v>224</v>
      </c>
      <c r="B22" s="524">
        <v>20000.0</v>
      </c>
      <c r="C22" s="525">
        <v>45965.0</v>
      </c>
      <c r="D22" s="526">
        <f t="shared" si="1"/>
        <v>0</v>
      </c>
      <c r="E22" s="527">
        <f t="shared" si="2"/>
        <v>0</v>
      </c>
      <c r="F22" s="527">
        <v>20000.0</v>
      </c>
      <c r="G22" s="528" t="str">
        <f t="shared" si="3"/>
        <v>احسنت</v>
      </c>
      <c r="H22" s="529" t="s">
        <v>2524</v>
      </c>
      <c r="I22" s="529"/>
    </row>
    <row r="23" ht="26.25" customHeight="1">
      <c r="A23" s="523" t="s">
        <v>224</v>
      </c>
      <c r="B23" s="524">
        <v>765000.0</v>
      </c>
      <c r="C23" s="525">
        <v>45966.0</v>
      </c>
      <c r="D23" s="526">
        <f t="shared" si="1"/>
        <v>0</v>
      </c>
      <c r="E23" s="527">
        <f t="shared" si="2"/>
        <v>0</v>
      </c>
      <c r="F23" s="527">
        <v>765000.0</v>
      </c>
      <c r="G23" s="528" t="str">
        <f t="shared" si="3"/>
        <v>احسنت</v>
      </c>
      <c r="H23" s="529" t="s">
        <v>2524</v>
      </c>
      <c r="I23" s="529"/>
    </row>
    <row r="24" ht="26.25" customHeight="1">
      <c r="A24" s="523" t="s">
        <v>224</v>
      </c>
      <c r="B24" s="524">
        <v>1500000.0</v>
      </c>
      <c r="C24" s="525">
        <v>45967.0</v>
      </c>
      <c r="D24" s="526">
        <f t="shared" si="1"/>
        <v>0</v>
      </c>
      <c r="E24" s="527">
        <f t="shared" si="2"/>
        <v>0</v>
      </c>
      <c r="F24" s="527">
        <v>1500000.0</v>
      </c>
      <c r="G24" s="528" t="str">
        <f t="shared" si="3"/>
        <v>احسنت</v>
      </c>
      <c r="H24" s="529" t="s">
        <v>2524</v>
      </c>
      <c r="I24" s="529"/>
    </row>
    <row r="25" ht="26.25" customHeight="1">
      <c r="A25" s="523" t="s">
        <v>224</v>
      </c>
      <c r="B25" s="524">
        <v>25000.0</v>
      </c>
      <c r="C25" s="532">
        <v>45968.0</v>
      </c>
      <c r="D25" s="526">
        <f t="shared" si="1"/>
        <v>0</v>
      </c>
      <c r="E25" s="527">
        <f t="shared" si="2"/>
        <v>0</v>
      </c>
      <c r="F25" s="527">
        <v>25000.0</v>
      </c>
      <c r="G25" s="528" t="str">
        <f t="shared" si="3"/>
        <v>احسنت</v>
      </c>
      <c r="H25" s="529" t="s">
        <v>2524</v>
      </c>
      <c r="I25" s="529"/>
    </row>
    <row r="26" ht="26.25" customHeight="1">
      <c r="A26" s="523" t="s">
        <v>224</v>
      </c>
      <c r="B26" s="524">
        <v>97000.0</v>
      </c>
      <c r="C26" s="532">
        <v>45969.0</v>
      </c>
      <c r="D26" s="526">
        <f t="shared" si="1"/>
        <v>0</v>
      </c>
      <c r="E26" s="527">
        <f t="shared" si="2"/>
        <v>0</v>
      </c>
      <c r="F26" s="527">
        <v>97000.0</v>
      </c>
      <c r="G26" s="528" t="str">
        <f t="shared" si="3"/>
        <v>احسنت</v>
      </c>
      <c r="H26" s="529" t="s">
        <v>2524</v>
      </c>
      <c r="I26" s="529"/>
    </row>
    <row r="27" ht="26.25" customHeight="1">
      <c r="A27" s="533" t="s">
        <v>20</v>
      </c>
      <c r="B27" s="530">
        <v>0.0</v>
      </c>
      <c r="C27" s="525">
        <v>46021.0</v>
      </c>
      <c r="D27" s="526">
        <f t="shared" si="1"/>
        <v>0</v>
      </c>
      <c r="E27" s="527">
        <f t="shared" si="2"/>
        <v>-25000</v>
      </c>
      <c r="F27" s="526">
        <v>25000.0</v>
      </c>
      <c r="G27" s="528" t="str">
        <f t="shared" si="3"/>
        <v>احسنت</v>
      </c>
      <c r="H27" s="529" t="s">
        <v>2526</v>
      </c>
      <c r="I27" s="529"/>
    </row>
    <row r="28" ht="26.25" customHeight="1">
      <c r="A28" s="533" t="s">
        <v>2473</v>
      </c>
      <c r="B28" s="530">
        <v>27000.0</v>
      </c>
      <c r="C28" s="525">
        <v>46021.0</v>
      </c>
      <c r="D28" s="526">
        <f t="shared" si="1"/>
        <v>0</v>
      </c>
      <c r="E28" s="527">
        <f t="shared" si="2"/>
        <v>27000</v>
      </c>
      <c r="F28" s="526">
        <v>0.0</v>
      </c>
      <c r="G28" s="528" t="str">
        <f t="shared" si="3"/>
        <v>ممنوع</v>
      </c>
      <c r="H28" s="529" t="s">
        <v>2526</v>
      </c>
      <c r="I28" s="529"/>
    </row>
    <row r="29" ht="26.25" customHeight="1">
      <c r="A29" s="533" t="s">
        <v>2472</v>
      </c>
      <c r="B29" s="530">
        <v>0.0</v>
      </c>
      <c r="C29" s="525">
        <v>46021.0</v>
      </c>
      <c r="D29" s="526">
        <f t="shared" si="1"/>
        <v>0</v>
      </c>
      <c r="E29" s="527">
        <f t="shared" si="2"/>
        <v>-50000</v>
      </c>
      <c r="F29" s="526">
        <v>50000.0</v>
      </c>
      <c r="G29" s="528" t="str">
        <f t="shared" si="3"/>
        <v>احسنت</v>
      </c>
      <c r="H29" s="529" t="s">
        <v>2526</v>
      </c>
      <c r="I29" s="529"/>
    </row>
    <row r="30" ht="26.25" customHeight="1">
      <c r="A30" s="533" t="s">
        <v>2527</v>
      </c>
      <c r="B30" s="530">
        <v>0.0</v>
      </c>
      <c r="C30" s="525">
        <v>46021.0</v>
      </c>
      <c r="D30" s="526">
        <f t="shared" si="1"/>
        <v>0</v>
      </c>
      <c r="E30" s="527">
        <f t="shared" si="2"/>
        <v>0</v>
      </c>
      <c r="F30" s="530">
        <v>0.0</v>
      </c>
      <c r="G30" s="528" t="str">
        <f t="shared" si="3"/>
        <v>احسنت</v>
      </c>
      <c r="H30" s="529" t="s">
        <v>2526</v>
      </c>
      <c r="I30" s="529"/>
    </row>
    <row r="31" ht="26.25" customHeight="1">
      <c r="A31" s="533" t="s">
        <v>20</v>
      </c>
      <c r="B31" s="530">
        <v>0.0</v>
      </c>
      <c r="C31" s="525">
        <v>46021.0</v>
      </c>
      <c r="D31" s="526">
        <f t="shared" si="1"/>
        <v>0</v>
      </c>
      <c r="E31" s="527">
        <f t="shared" si="2"/>
        <v>-7000</v>
      </c>
      <c r="F31" s="530">
        <v>7000.0</v>
      </c>
      <c r="G31" s="528" t="str">
        <f t="shared" si="3"/>
        <v>احسنت</v>
      </c>
      <c r="H31" s="529" t="s">
        <v>2526</v>
      </c>
      <c r="I31" s="529"/>
    </row>
    <row r="32" ht="26.25" customHeight="1">
      <c r="A32" s="533" t="s">
        <v>2473</v>
      </c>
      <c r="B32" s="530">
        <v>5000.0</v>
      </c>
      <c r="C32" s="525">
        <v>46021.0</v>
      </c>
      <c r="D32" s="526">
        <f t="shared" si="1"/>
        <v>0</v>
      </c>
      <c r="E32" s="527">
        <f t="shared" si="2"/>
        <v>5000</v>
      </c>
      <c r="F32" s="530">
        <v>0.0</v>
      </c>
      <c r="G32" s="528" t="str">
        <f t="shared" si="3"/>
        <v>ممنوع</v>
      </c>
      <c r="H32" s="529" t="s">
        <v>2526</v>
      </c>
      <c r="I32" s="529"/>
    </row>
    <row r="33" ht="26.25" customHeight="1">
      <c r="A33" s="533" t="s">
        <v>20</v>
      </c>
      <c r="B33" s="530">
        <v>0.0</v>
      </c>
      <c r="C33" s="525">
        <v>46021.0</v>
      </c>
      <c r="D33" s="526">
        <f t="shared" si="1"/>
        <v>0</v>
      </c>
      <c r="E33" s="527">
        <f t="shared" si="2"/>
        <v>-6000</v>
      </c>
      <c r="F33" s="530">
        <v>6000.0</v>
      </c>
      <c r="G33" s="528" t="str">
        <f t="shared" si="3"/>
        <v>احسنت</v>
      </c>
      <c r="H33" s="529" t="s">
        <v>2526</v>
      </c>
      <c r="I33" s="529"/>
    </row>
    <row r="34" ht="26.25" customHeight="1">
      <c r="A34" s="533" t="s">
        <v>2377</v>
      </c>
      <c r="B34" s="530">
        <v>0.0</v>
      </c>
      <c r="C34" s="525">
        <v>46021.0</v>
      </c>
      <c r="D34" s="526">
        <f t="shared" si="1"/>
        <v>0</v>
      </c>
      <c r="E34" s="527">
        <f t="shared" si="2"/>
        <v>-31000</v>
      </c>
      <c r="F34" s="530">
        <v>31000.0</v>
      </c>
      <c r="G34" s="528" t="str">
        <f t="shared" si="3"/>
        <v>احسنت</v>
      </c>
      <c r="H34" s="529" t="s">
        <v>2526</v>
      </c>
      <c r="I34" s="529"/>
    </row>
    <row r="35" ht="26.25" customHeight="1">
      <c r="A35" s="533" t="s">
        <v>2471</v>
      </c>
      <c r="B35" s="530">
        <v>0.0</v>
      </c>
      <c r="C35" s="525">
        <v>46021.0</v>
      </c>
      <c r="D35" s="526">
        <f t="shared" si="1"/>
        <v>0</v>
      </c>
      <c r="E35" s="527">
        <f t="shared" si="2"/>
        <v>-6000</v>
      </c>
      <c r="F35" s="530">
        <v>6000.0</v>
      </c>
      <c r="G35" s="528" t="str">
        <f t="shared" si="3"/>
        <v>احسنت</v>
      </c>
      <c r="H35" s="529" t="s">
        <v>2526</v>
      </c>
      <c r="I35" s="529"/>
    </row>
    <row r="36" ht="26.25" customHeight="1">
      <c r="A36" s="533" t="s">
        <v>16</v>
      </c>
      <c r="B36" s="530">
        <v>0.0</v>
      </c>
      <c r="C36" s="525">
        <v>46016.0</v>
      </c>
      <c r="D36" s="526">
        <f t="shared" si="1"/>
        <v>0</v>
      </c>
      <c r="E36" s="527">
        <f t="shared" si="2"/>
        <v>-50000</v>
      </c>
      <c r="F36" s="526">
        <v>50000.0</v>
      </c>
      <c r="G36" s="528" t="str">
        <f t="shared" si="3"/>
        <v>احسنت</v>
      </c>
      <c r="H36" s="529" t="s">
        <v>2526</v>
      </c>
      <c r="I36" s="529"/>
    </row>
    <row r="37" ht="26.25" customHeight="1">
      <c r="A37" s="533" t="s">
        <v>31</v>
      </c>
      <c r="B37" s="530">
        <v>0.0</v>
      </c>
      <c r="C37" s="525">
        <v>46021.0</v>
      </c>
      <c r="D37" s="526">
        <v>0.0</v>
      </c>
      <c r="E37" s="534">
        <v>0.0</v>
      </c>
      <c r="F37" s="526">
        <v>0.0</v>
      </c>
      <c r="G37" s="528" t="s">
        <v>2528</v>
      </c>
      <c r="H37" s="529" t="s">
        <v>2529</v>
      </c>
      <c r="I37" s="529"/>
    </row>
    <row r="38" ht="26.25" customHeight="1">
      <c r="A38" s="535" t="s">
        <v>224</v>
      </c>
      <c r="B38" s="526"/>
      <c r="C38" s="525"/>
      <c r="D38" s="526"/>
      <c r="E38" s="527"/>
      <c r="F38" s="526"/>
      <c r="G38" s="528"/>
      <c r="H38" s="529"/>
      <c r="I38" s="529"/>
    </row>
    <row r="39" ht="26.25" customHeight="1">
      <c r="A39" s="523"/>
      <c r="B39" s="534"/>
      <c r="C39" s="525"/>
      <c r="D39" s="526"/>
      <c r="E39" s="527"/>
      <c r="F39" s="534"/>
      <c r="G39" s="528"/>
      <c r="H39" s="529"/>
      <c r="I39" s="529"/>
    </row>
    <row r="40" ht="26.25" customHeight="1">
      <c r="A40" s="523"/>
      <c r="B40" s="534"/>
      <c r="C40" s="525"/>
      <c r="D40" s="526"/>
      <c r="E40" s="527"/>
      <c r="F40" s="534"/>
      <c r="G40" s="528"/>
      <c r="H40" s="529"/>
      <c r="I40" s="529"/>
    </row>
    <row r="41" ht="26.25" customHeight="1">
      <c r="A41" s="523"/>
      <c r="B41" s="534"/>
      <c r="C41" s="525"/>
      <c r="D41" s="526"/>
      <c r="E41" s="527"/>
      <c r="F41" s="534"/>
      <c r="G41" s="528"/>
      <c r="H41" s="529"/>
      <c r="I41" s="529"/>
    </row>
    <row r="42" ht="26.25" customHeight="1">
      <c r="A42" s="523"/>
      <c r="B42" s="526"/>
      <c r="C42" s="525"/>
      <c r="D42" s="526"/>
      <c r="E42" s="527"/>
      <c r="F42" s="526"/>
      <c r="G42" s="528"/>
      <c r="H42" s="529"/>
      <c r="I42" s="529"/>
    </row>
    <row r="43" ht="26.25" customHeight="1">
      <c r="A43" s="523"/>
      <c r="B43" s="526"/>
      <c r="C43" s="525"/>
      <c r="D43" s="526"/>
      <c r="E43" s="527"/>
      <c r="F43" s="526"/>
      <c r="G43" s="528"/>
      <c r="H43" s="529"/>
      <c r="I43" s="529"/>
    </row>
    <row r="44" ht="26.25" customHeight="1">
      <c r="A44" s="523"/>
      <c r="B44" s="526"/>
      <c r="C44" s="525"/>
      <c r="D44" s="526"/>
      <c r="E44" s="527"/>
      <c r="F44" s="526"/>
      <c r="G44" s="528"/>
      <c r="H44" s="529"/>
      <c r="I44" s="529"/>
    </row>
    <row r="45" ht="26.25" customHeight="1">
      <c r="A45" s="523"/>
      <c r="B45" s="526"/>
      <c r="C45" s="525"/>
      <c r="D45" s="526"/>
      <c r="E45" s="527"/>
      <c r="F45" s="526"/>
      <c r="G45" s="528"/>
      <c r="H45" s="529"/>
      <c r="I45" s="529"/>
    </row>
    <row r="46" ht="26.25" customHeight="1">
      <c r="A46" s="523"/>
      <c r="B46" s="526"/>
      <c r="C46" s="525"/>
      <c r="D46" s="526"/>
      <c r="E46" s="527"/>
      <c r="F46" s="526"/>
      <c r="G46" s="528"/>
      <c r="H46" s="529"/>
      <c r="I46" s="529"/>
    </row>
    <row r="47" ht="26.25" customHeight="1">
      <c r="A47" s="523"/>
      <c r="B47" s="526"/>
      <c r="C47" s="525"/>
      <c r="D47" s="526"/>
      <c r="E47" s="527"/>
      <c r="F47" s="526"/>
      <c r="G47" s="528"/>
      <c r="H47" s="529"/>
      <c r="I47" s="529"/>
    </row>
    <row r="48" ht="26.25" customHeight="1">
      <c r="A48" s="523"/>
      <c r="B48" s="526"/>
      <c r="C48" s="525"/>
      <c r="D48" s="526"/>
      <c r="E48" s="527"/>
      <c r="F48" s="526"/>
      <c r="G48" s="528"/>
      <c r="H48" s="529"/>
      <c r="I48" s="529"/>
    </row>
    <row r="49" ht="26.25" customHeight="1">
      <c r="A49" s="523"/>
      <c r="B49" s="526"/>
      <c r="C49" s="525"/>
      <c r="D49" s="526"/>
      <c r="E49" s="527"/>
      <c r="F49" s="526"/>
      <c r="G49" s="528"/>
      <c r="H49" s="529"/>
      <c r="I49" s="529"/>
    </row>
  </sheetData>
  <conditionalFormatting sqref="I3">
    <cfRule type="cellIs" dxfId="6" priority="1" operator="lessThan">
      <formula>0</formula>
    </cfRule>
  </conditionalFormatting>
  <conditionalFormatting sqref="I3">
    <cfRule type="cellIs" dxfId="9" priority="2" operator="greaterThan">
      <formula>0</formula>
    </cfRule>
  </conditionalFormatting>
  <conditionalFormatting sqref="G3:G49">
    <cfRule type="containsText" dxfId="10" priority="3" operator="containsText" text="احسنت">
      <formula>NOT(ISERROR(SEARCH(("احسنت"),(G3))))</formula>
    </cfRule>
  </conditionalFormatting>
  <conditionalFormatting sqref="G3:G49">
    <cfRule type="containsText" dxfId="11" priority="4" operator="containsText" text="ممنوع">
      <formula>NOT(ISERROR(SEARCH(("ممنوع"),(G3))))</formula>
    </cfRule>
  </conditionalFormatting>
  <dataValidations>
    <dataValidation type="custom" allowBlank="1" showDropDown="1" showInputMessage="1" prompt="أدخل تاريخًا صالحًا2027/1/1" sqref="C3:C49">
      <formula1>OR(NOT(ISERROR(DATEVALUE(C3))), AND(ISNUMBER(C3), LEFT(CELL("format", C3))="D"))</formula1>
    </dataValidation>
    <dataValidation type="list" allowBlank="1" showDropDown="1" showInputMessage="1" showErrorMessage="1" prompt="انقر على النطاق ثم أدخِل قيمة منه." sqref="A35">
      <formula1>'الحضور'!$B$2:$B49</formula1>
    </dataValidation>
    <dataValidation type="list" allowBlank="1" showDropDown="1" showInputMessage="1" showErrorMessage="1" prompt="انقر على النطاق ثم أدخِل قيمة منه." sqref="A3:A34 A36:A49">
      <formula1>'الحضور'!$B$2:$B49</formula1>
    </dataValidation>
  </dataValidations>
  <drawing r:id="rId1"/>
  <tableParts count="2">
    <tablePart r:id="rId4"/>
    <tablePart r:id="rId5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4.43" defaultRowHeight="15.0"/>
  <cols>
    <col customWidth="1" min="1" max="1" width="16.86"/>
    <col customWidth="1" min="2" max="2" width="21.57"/>
    <col customWidth="1" min="3" max="3" width="17.14"/>
    <col customWidth="1" min="4" max="4" width="18.86"/>
    <col customWidth="1" min="5" max="6" width="20.71"/>
    <col customWidth="1" min="7" max="7" width="9.43"/>
    <col customWidth="1" min="8" max="9" width="25.71"/>
  </cols>
  <sheetData>
    <row r="1" ht="26.25" customHeight="1">
      <c r="A1" s="536"/>
      <c r="B1" s="537">
        <f>SUM(B3:B86)</f>
        <v>83151000</v>
      </c>
      <c r="C1" s="538">
        <f>B1-D1</f>
        <v>0</v>
      </c>
      <c r="D1" s="539">
        <f>E1+F1</f>
        <v>83151000</v>
      </c>
      <c r="E1" s="540">
        <f>IFERROR(B1-F1,0)</f>
        <v>30202000</v>
      </c>
      <c r="F1" s="540">
        <f>sum(F3:F86)</f>
        <v>52949000</v>
      </c>
      <c r="G1" s="541"/>
      <c r="H1" s="542" t="str">
        <f>#REF!</f>
        <v>#REF!</v>
      </c>
      <c r="I1" s="542"/>
    </row>
    <row r="2" ht="26.25" customHeight="1">
      <c r="A2" s="536" t="s">
        <v>2519</v>
      </c>
      <c r="B2" s="537" t="s">
        <v>2520</v>
      </c>
      <c r="C2" s="543" t="s">
        <v>948</v>
      </c>
      <c r="D2" s="544" t="s">
        <v>2521</v>
      </c>
      <c r="E2" s="540" t="s">
        <v>952</v>
      </c>
      <c r="F2" s="545" t="s">
        <v>40</v>
      </c>
      <c r="G2" s="541" t="s">
        <v>2522</v>
      </c>
      <c r="H2" s="546" t="s">
        <v>33</v>
      </c>
      <c r="I2" s="546" t="s">
        <v>2523</v>
      </c>
    </row>
    <row r="3" ht="26.25" customHeight="1">
      <c r="A3" s="547" t="s">
        <v>930</v>
      </c>
      <c r="B3" s="548">
        <v>450000.0</v>
      </c>
      <c r="C3" s="549">
        <v>45692.0</v>
      </c>
      <c r="D3" s="550">
        <f t="shared" ref="D3:D86" si="1">B3-F3-E3</f>
        <v>0</v>
      </c>
      <c r="E3" s="551">
        <f t="shared" ref="E3:E86" si="2">IFERROR(B3-F3,0)</f>
        <v>0</v>
      </c>
      <c r="F3" s="551">
        <v>450000.0</v>
      </c>
      <c r="G3" s="552" t="str">
        <f>IF(E3&lt;=0,"Compatible","Incompatible")</f>
        <v>Compatible</v>
      </c>
      <c r="H3" s="553" t="s">
        <v>2530</v>
      </c>
      <c r="I3" s="553"/>
    </row>
    <row r="4" ht="26.25" customHeight="1">
      <c r="A4" s="547" t="s">
        <v>930</v>
      </c>
      <c r="B4" s="548">
        <v>50000.0</v>
      </c>
      <c r="C4" s="549">
        <v>45694.0</v>
      </c>
      <c r="D4" s="550">
        <f t="shared" si="1"/>
        <v>0</v>
      </c>
      <c r="E4" s="551">
        <f t="shared" si="2"/>
        <v>0</v>
      </c>
      <c r="F4" s="551">
        <v>50000.0</v>
      </c>
      <c r="G4" s="552" t="str">
        <f t="shared" ref="G4:G86" si="3">IF(E4&lt;=0,"احسنت","ممنوع")</f>
        <v>احسنت</v>
      </c>
      <c r="H4" s="553" t="s">
        <v>2530</v>
      </c>
      <c r="I4" s="553"/>
    </row>
    <row r="5" ht="26.25" customHeight="1">
      <c r="A5" s="547" t="s">
        <v>930</v>
      </c>
      <c r="B5" s="548">
        <v>100000.0</v>
      </c>
      <c r="C5" s="549">
        <v>45694.0</v>
      </c>
      <c r="D5" s="550">
        <f t="shared" si="1"/>
        <v>0</v>
      </c>
      <c r="E5" s="551">
        <f t="shared" si="2"/>
        <v>0</v>
      </c>
      <c r="F5" s="551">
        <v>100000.0</v>
      </c>
      <c r="G5" s="552" t="str">
        <f t="shared" si="3"/>
        <v>احسنت</v>
      </c>
      <c r="H5" s="553" t="s">
        <v>2530</v>
      </c>
      <c r="I5" s="553"/>
    </row>
    <row r="6" ht="26.25" customHeight="1">
      <c r="A6" s="547" t="s">
        <v>930</v>
      </c>
      <c r="B6" s="548">
        <v>150000.0</v>
      </c>
      <c r="C6" s="554">
        <v>45694.0</v>
      </c>
      <c r="D6" s="550">
        <f t="shared" si="1"/>
        <v>0</v>
      </c>
      <c r="E6" s="551">
        <f t="shared" si="2"/>
        <v>0</v>
      </c>
      <c r="F6" s="551">
        <v>150000.0</v>
      </c>
      <c r="G6" s="552" t="str">
        <f t="shared" si="3"/>
        <v>احسنت</v>
      </c>
      <c r="H6" s="553" t="s">
        <v>2530</v>
      </c>
      <c r="I6" s="553"/>
    </row>
    <row r="7" ht="26.25" customHeight="1">
      <c r="A7" s="547" t="s">
        <v>930</v>
      </c>
      <c r="B7" s="548">
        <v>100000.0</v>
      </c>
      <c r="C7" s="554">
        <v>45694.0</v>
      </c>
      <c r="D7" s="550">
        <f t="shared" si="1"/>
        <v>0</v>
      </c>
      <c r="E7" s="551">
        <f t="shared" si="2"/>
        <v>0</v>
      </c>
      <c r="F7" s="551">
        <v>100000.0</v>
      </c>
      <c r="G7" s="552" t="str">
        <f t="shared" si="3"/>
        <v>احسنت</v>
      </c>
      <c r="H7" s="553" t="s">
        <v>2530</v>
      </c>
      <c r="I7" s="553"/>
    </row>
    <row r="8" ht="26.25" customHeight="1">
      <c r="A8" s="547" t="s">
        <v>930</v>
      </c>
      <c r="B8" s="548">
        <v>2500000.0</v>
      </c>
      <c r="C8" s="554">
        <v>45713.0</v>
      </c>
      <c r="D8" s="550">
        <f t="shared" si="1"/>
        <v>0</v>
      </c>
      <c r="E8" s="551">
        <f t="shared" si="2"/>
        <v>0</v>
      </c>
      <c r="F8" s="551">
        <v>2500000.0</v>
      </c>
      <c r="G8" s="552" t="str">
        <f t="shared" si="3"/>
        <v>احسنت</v>
      </c>
      <c r="H8" s="553" t="s">
        <v>2530</v>
      </c>
      <c r="I8" s="553"/>
    </row>
    <row r="9" ht="26.25" customHeight="1">
      <c r="A9" s="547" t="s">
        <v>930</v>
      </c>
      <c r="B9" s="548">
        <v>2500000.0</v>
      </c>
      <c r="C9" s="549">
        <v>45718.0</v>
      </c>
      <c r="D9" s="550">
        <f t="shared" si="1"/>
        <v>0</v>
      </c>
      <c r="E9" s="551">
        <f t="shared" si="2"/>
        <v>0</v>
      </c>
      <c r="F9" s="551">
        <v>2500000.0</v>
      </c>
      <c r="G9" s="552" t="str">
        <f t="shared" si="3"/>
        <v>احسنت</v>
      </c>
      <c r="H9" s="553" t="s">
        <v>2530</v>
      </c>
      <c r="I9" s="553"/>
    </row>
    <row r="10" ht="26.25" customHeight="1">
      <c r="A10" s="547" t="s">
        <v>930</v>
      </c>
      <c r="B10" s="548">
        <v>500000.0</v>
      </c>
      <c r="C10" s="554">
        <v>45721.0</v>
      </c>
      <c r="D10" s="550">
        <f t="shared" si="1"/>
        <v>0</v>
      </c>
      <c r="E10" s="551">
        <f t="shared" si="2"/>
        <v>0</v>
      </c>
      <c r="F10" s="551">
        <v>500000.0</v>
      </c>
      <c r="G10" s="552" t="str">
        <f t="shared" si="3"/>
        <v>احسنت</v>
      </c>
      <c r="H10" s="553" t="s">
        <v>2530</v>
      </c>
      <c r="I10" s="553"/>
    </row>
    <row r="11" ht="26.25" customHeight="1">
      <c r="A11" s="547" t="s">
        <v>930</v>
      </c>
      <c r="B11" s="548">
        <v>2500000.0</v>
      </c>
      <c r="C11" s="549">
        <v>45721.0</v>
      </c>
      <c r="D11" s="550">
        <f t="shared" si="1"/>
        <v>0</v>
      </c>
      <c r="E11" s="551">
        <f t="shared" si="2"/>
        <v>0</v>
      </c>
      <c r="F11" s="551">
        <v>2500000.0</v>
      </c>
      <c r="G11" s="552" t="str">
        <f t="shared" si="3"/>
        <v>احسنت</v>
      </c>
      <c r="H11" s="553" t="s">
        <v>2530</v>
      </c>
      <c r="I11" s="553"/>
    </row>
    <row r="12" ht="26.25" customHeight="1">
      <c r="A12" s="547" t="s">
        <v>930</v>
      </c>
      <c r="B12" s="548">
        <v>250000.0</v>
      </c>
      <c r="C12" s="549">
        <v>45752.0</v>
      </c>
      <c r="D12" s="550">
        <f t="shared" si="1"/>
        <v>0</v>
      </c>
      <c r="E12" s="551">
        <f t="shared" si="2"/>
        <v>0</v>
      </c>
      <c r="F12" s="551">
        <v>250000.0</v>
      </c>
      <c r="G12" s="552" t="str">
        <f t="shared" si="3"/>
        <v>احسنت</v>
      </c>
      <c r="H12" s="553" t="s">
        <v>2530</v>
      </c>
      <c r="I12" s="553"/>
    </row>
    <row r="13" ht="26.25" customHeight="1">
      <c r="A13" s="547" t="s">
        <v>930</v>
      </c>
      <c r="B13" s="548">
        <v>875000.0</v>
      </c>
      <c r="C13" s="549">
        <v>45784.0</v>
      </c>
      <c r="D13" s="550">
        <f t="shared" si="1"/>
        <v>0</v>
      </c>
      <c r="E13" s="551">
        <f t="shared" si="2"/>
        <v>0</v>
      </c>
      <c r="F13" s="551">
        <v>875000.0</v>
      </c>
      <c r="G13" s="552" t="str">
        <f t="shared" si="3"/>
        <v>احسنت</v>
      </c>
      <c r="H13" s="553" t="s">
        <v>2530</v>
      </c>
      <c r="I13" s="553"/>
    </row>
    <row r="14" ht="26.25" customHeight="1">
      <c r="A14" s="547" t="s">
        <v>930</v>
      </c>
      <c r="B14" s="548">
        <v>500000.0</v>
      </c>
      <c r="C14" s="549">
        <v>45787.0</v>
      </c>
      <c r="D14" s="550">
        <f t="shared" si="1"/>
        <v>0</v>
      </c>
      <c r="E14" s="551">
        <f t="shared" si="2"/>
        <v>0</v>
      </c>
      <c r="F14" s="551">
        <v>500000.0</v>
      </c>
      <c r="G14" s="552" t="str">
        <f t="shared" si="3"/>
        <v>احسنت</v>
      </c>
      <c r="H14" s="553" t="s">
        <v>2530</v>
      </c>
      <c r="I14" s="553"/>
    </row>
    <row r="15" ht="26.25" customHeight="1">
      <c r="A15" s="547" t="s">
        <v>930</v>
      </c>
      <c r="B15" s="548">
        <v>255000.0</v>
      </c>
      <c r="C15" s="549">
        <v>45796.0</v>
      </c>
      <c r="D15" s="550">
        <f t="shared" si="1"/>
        <v>0</v>
      </c>
      <c r="E15" s="551">
        <f t="shared" si="2"/>
        <v>0</v>
      </c>
      <c r="F15" s="551">
        <v>255000.0</v>
      </c>
      <c r="G15" s="552" t="str">
        <f t="shared" si="3"/>
        <v>احسنت</v>
      </c>
      <c r="H15" s="553" t="s">
        <v>2530</v>
      </c>
      <c r="I15" s="553"/>
    </row>
    <row r="16" ht="26.25" customHeight="1">
      <c r="A16" s="547" t="s">
        <v>930</v>
      </c>
      <c r="B16" s="548">
        <v>50000.0</v>
      </c>
      <c r="C16" s="549">
        <v>45809.0</v>
      </c>
      <c r="D16" s="550">
        <f t="shared" si="1"/>
        <v>0</v>
      </c>
      <c r="E16" s="551">
        <f t="shared" si="2"/>
        <v>0</v>
      </c>
      <c r="F16" s="551">
        <v>50000.0</v>
      </c>
      <c r="G16" s="552" t="str">
        <f t="shared" si="3"/>
        <v>احسنت</v>
      </c>
      <c r="H16" s="553" t="s">
        <v>2530</v>
      </c>
      <c r="I16" s="553"/>
    </row>
    <row r="17" ht="26.25" customHeight="1">
      <c r="A17" s="547" t="s">
        <v>930</v>
      </c>
      <c r="B17" s="548">
        <v>500000.0</v>
      </c>
      <c r="C17" s="554">
        <v>45810.0</v>
      </c>
      <c r="D17" s="550">
        <f t="shared" si="1"/>
        <v>0</v>
      </c>
      <c r="E17" s="551">
        <f t="shared" si="2"/>
        <v>0</v>
      </c>
      <c r="F17" s="551">
        <v>500000.0</v>
      </c>
      <c r="G17" s="552" t="str">
        <f t="shared" si="3"/>
        <v>احسنت</v>
      </c>
      <c r="H17" s="553" t="s">
        <v>2530</v>
      </c>
      <c r="I17" s="553"/>
    </row>
    <row r="18" ht="26.25" customHeight="1">
      <c r="A18" s="547" t="s">
        <v>930</v>
      </c>
      <c r="B18" s="548">
        <v>500000.0</v>
      </c>
      <c r="C18" s="549">
        <v>45813.0</v>
      </c>
      <c r="D18" s="550">
        <f t="shared" si="1"/>
        <v>0</v>
      </c>
      <c r="E18" s="551">
        <f t="shared" si="2"/>
        <v>0</v>
      </c>
      <c r="F18" s="551">
        <v>500000.0</v>
      </c>
      <c r="G18" s="552" t="str">
        <f t="shared" si="3"/>
        <v>احسنت</v>
      </c>
      <c r="H18" s="553" t="s">
        <v>2530</v>
      </c>
      <c r="I18" s="553"/>
    </row>
    <row r="19" ht="26.25" customHeight="1">
      <c r="A19" s="547" t="s">
        <v>930</v>
      </c>
      <c r="B19" s="548">
        <v>45000.0</v>
      </c>
      <c r="C19" s="549">
        <v>45815.0</v>
      </c>
      <c r="D19" s="550">
        <f t="shared" si="1"/>
        <v>0</v>
      </c>
      <c r="E19" s="551">
        <f t="shared" si="2"/>
        <v>0</v>
      </c>
      <c r="F19" s="551">
        <v>45000.0</v>
      </c>
      <c r="G19" s="552" t="str">
        <f t="shared" si="3"/>
        <v>احسنت</v>
      </c>
      <c r="H19" s="553" t="s">
        <v>2530</v>
      </c>
      <c r="I19" s="553"/>
    </row>
    <row r="20" ht="26.25" customHeight="1">
      <c r="A20" s="547" t="s">
        <v>930</v>
      </c>
      <c r="B20" s="548">
        <v>500000.0</v>
      </c>
      <c r="C20" s="549">
        <v>45825.0</v>
      </c>
      <c r="D20" s="550">
        <f t="shared" si="1"/>
        <v>0</v>
      </c>
      <c r="E20" s="551">
        <f t="shared" si="2"/>
        <v>0</v>
      </c>
      <c r="F20" s="551">
        <v>500000.0</v>
      </c>
      <c r="G20" s="552" t="str">
        <f t="shared" si="3"/>
        <v>احسنت</v>
      </c>
      <c r="H20" s="553" t="s">
        <v>2530</v>
      </c>
      <c r="I20" s="553"/>
    </row>
    <row r="21" ht="26.25" customHeight="1">
      <c r="A21" s="547" t="s">
        <v>930</v>
      </c>
      <c r="B21" s="548">
        <v>270000.0</v>
      </c>
      <c r="C21" s="549">
        <v>45835.0</v>
      </c>
      <c r="D21" s="550">
        <f t="shared" si="1"/>
        <v>0</v>
      </c>
      <c r="E21" s="551">
        <f t="shared" si="2"/>
        <v>0</v>
      </c>
      <c r="F21" s="551">
        <v>270000.0</v>
      </c>
      <c r="G21" s="552" t="str">
        <f t="shared" si="3"/>
        <v>احسنت</v>
      </c>
      <c r="H21" s="553" t="s">
        <v>2530</v>
      </c>
      <c r="I21" s="553"/>
    </row>
    <row r="22" ht="26.25" customHeight="1">
      <c r="A22" s="547" t="s">
        <v>930</v>
      </c>
      <c r="B22" s="548">
        <v>3000000.0</v>
      </c>
      <c r="C22" s="549">
        <v>45838.0</v>
      </c>
      <c r="D22" s="550">
        <f t="shared" si="1"/>
        <v>0</v>
      </c>
      <c r="E22" s="551">
        <f t="shared" si="2"/>
        <v>0</v>
      </c>
      <c r="F22" s="551">
        <v>3000000.0</v>
      </c>
      <c r="G22" s="552" t="str">
        <f t="shared" si="3"/>
        <v>احسنت</v>
      </c>
      <c r="H22" s="553" t="s">
        <v>2530</v>
      </c>
      <c r="I22" s="553"/>
    </row>
    <row r="23" ht="26.25" customHeight="1">
      <c r="A23" s="547" t="s">
        <v>930</v>
      </c>
      <c r="B23" s="548">
        <v>330000.0</v>
      </c>
      <c r="C23" s="549">
        <v>45842.0</v>
      </c>
      <c r="D23" s="550">
        <f t="shared" si="1"/>
        <v>0</v>
      </c>
      <c r="E23" s="551">
        <f t="shared" si="2"/>
        <v>0</v>
      </c>
      <c r="F23" s="551">
        <v>330000.0</v>
      </c>
      <c r="G23" s="552" t="str">
        <f t="shared" si="3"/>
        <v>احسنت</v>
      </c>
      <c r="H23" s="553" t="s">
        <v>2530</v>
      </c>
      <c r="I23" s="553"/>
    </row>
    <row r="24" ht="26.25" customHeight="1">
      <c r="A24" s="547" t="s">
        <v>930</v>
      </c>
      <c r="B24" s="548">
        <v>100000.0</v>
      </c>
      <c r="C24" s="549">
        <v>45852.0</v>
      </c>
      <c r="D24" s="550">
        <f t="shared" si="1"/>
        <v>0</v>
      </c>
      <c r="E24" s="551">
        <f t="shared" si="2"/>
        <v>0</v>
      </c>
      <c r="F24" s="551">
        <v>100000.0</v>
      </c>
      <c r="G24" s="552" t="str">
        <f t="shared" si="3"/>
        <v>احسنت</v>
      </c>
      <c r="H24" s="553" t="s">
        <v>2530</v>
      </c>
      <c r="I24" s="553"/>
    </row>
    <row r="25" ht="26.25" customHeight="1">
      <c r="A25" s="547" t="s">
        <v>930</v>
      </c>
      <c r="B25" s="548">
        <v>5000000.0</v>
      </c>
      <c r="C25" s="549">
        <v>45853.0</v>
      </c>
      <c r="D25" s="550">
        <f t="shared" si="1"/>
        <v>0</v>
      </c>
      <c r="E25" s="551">
        <f t="shared" si="2"/>
        <v>0</v>
      </c>
      <c r="F25" s="551">
        <v>5000000.0</v>
      </c>
      <c r="G25" s="552" t="str">
        <f t="shared" si="3"/>
        <v>احسنت</v>
      </c>
      <c r="H25" s="553" t="s">
        <v>2530</v>
      </c>
      <c r="I25" s="553"/>
    </row>
    <row r="26" ht="26.25" customHeight="1">
      <c r="A26" s="547" t="s">
        <v>930</v>
      </c>
      <c r="B26" s="548">
        <v>450000.0</v>
      </c>
      <c r="C26" s="549">
        <v>45864.0</v>
      </c>
      <c r="D26" s="550">
        <f t="shared" si="1"/>
        <v>0</v>
      </c>
      <c r="E26" s="551">
        <f t="shared" si="2"/>
        <v>0</v>
      </c>
      <c r="F26" s="551">
        <v>450000.0</v>
      </c>
      <c r="G26" s="552" t="str">
        <f t="shared" si="3"/>
        <v>احسنت</v>
      </c>
      <c r="H26" s="553" t="s">
        <v>2530</v>
      </c>
      <c r="I26" s="553"/>
    </row>
    <row r="27" ht="26.25" customHeight="1">
      <c r="A27" s="547" t="s">
        <v>930</v>
      </c>
      <c r="B27" s="548">
        <v>500000.0</v>
      </c>
      <c r="C27" s="549">
        <v>45890.0</v>
      </c>
      <c r="D27" s="550">
        <f t="shared" si="1"/>
        <v>0</v>
      </c>
      <c r="E27" s="551">
        <f t="shared" si="2"/>
        <v>0</v>
      </c>
      <c r="F27" s="551">
        <v>500000.0</v>
      </c>
      <c r="G27" s="552" t="str">
        <f t="shared" si="3"/>
        <v>احسنت</v>
      </c>
      <c r="H27" s="553" t="s">
        <v>2530</v>
      </c>
      <c r="I27" s="553"/>
    </row>
    <row r="28" ht="26.25" customHeight="1">
      <c r="A28" s="547" t="s">
        <v>930</v>
      </c>
      <c r="B28" s="548">
        <v>200000.0</v>
      </c>
      <c r="C28" s="549">
        <v>45895.0</v>
      </c>
      <c r="D28" s="550">
        <f t="shared" si="1"/>
        <v>0</v>
      </c>
      <c r="E28" s="551">
        <f t="shared" si="2"/>
        <v>0</v>
      </c>
      <c r="F28" s="551">
        <v>200000.0</v>
      </c>
      <c r="G28" s="552" t="str">
        <f t="shared" si="3"/>
        <v>احسنت</v>
      </c>
      <c r="H28" s="553" t="s">
        <v>2530</v>
      </c>
      <c r="I28" s="553"/>
    </row>
    <row r="29" ht="26.25" customHeight="1">
      <c r="A29" s="547" t="s">
        <v>930</v>
      </c>
      <c r="B29" s="548">
        <v>27000.0</v>
      </c>
      <c r="C29" s="549">
        <v>45899.0</v>
      </c>
      <c r="D29" s="550">
        <f t="shared" si="1"/>
        <v>0</v>
      </c>
      <c r="E29" s="551">
        <f t="shared" si="2"/>
        <v>0</v>
      </c>
      <c r="F29" s="551">
        <v>27000.0</v>
      </c>
      <c r="G29" s="552" t="str">
        <f t="shared" si="3"/>
        <v>احسنت</v>
      </c>
      <c r="H29" s="553" t="s">
        <v>2530</v>
      </c>
      <c r="I29" s="553"/>
    </row>
    <row r="30" ht="26.25" customHeight="1">
      <c r="A30" s="547" t="s">
        <v>930</v>
      </c>
      <c r="B30" s="548">
        <v>525000.0</v>
      </c>
      <c r="C30" s="549">
        <v>45901.0</v>
      </c>
      <c r="D30" s="550">
        <f t="shared" si="1"/>
        <v>0</v>
      </c>
      <c r="E30" s="551">
        <f t="shared" si="2"/>
        <v>0</v>
      </c>
      <c r="F30" s="551">
        <v>525000.0</v>
      </c>
      <c r="G30" s="552" t="str">
        <f t="shared" si="3"/>
        <v>احسنت</v>
      </c>
      <c r="H30" s="553" t="s">
        <v>2530</v>
      </c>
      <c r="I30" s="553"/>
    </row>
    <row r="31" ht="26.25" customHeight="1">
      <c r="A31" s="547" t="s">
        <v>930</v>
      </c>
      <c r="B31" s="548">
        <v>200000.0</v>
      </c>
      <c r="C31" s="549">
        <v>45902.0</v>
      </c>
      <c r="D31" s="550">
        <f t="shared" si="1"/>
        <v>0</v>
      </c>
      <c r="E31" s="551">
        <f t="shared" si="2"/>
        <v>0</v>
      </c>
      <c r="F31" s="551">
        <v>200000.0</v>
      </c>
      <c r="G31" s="552" t="str">
        <f t="shared" si="3"/>
        <v>احسنت</v>
      </c>
      <c r="H31" s="553" t="s">
        <v>2530</v>
      </c>
      <c r="I31" s="553"/>
    </row>
    <row r="32" ht="26.25" customHeight="1">
      <c r="A32" s="547" t="s">
        <v>930</v>
      </c>
      <c r="B32" s="548">
        <v>650000.0</v>
      </c>
      <c r="C32" s="549">
        <v>45905.0</v>
      </c>
      <c r="D32" s="550">
        <f t="shared" si="1"/>
        <v>0</v>
      </c>
      <c r="E32" s="551">
        <f t="shared" si="2"/>
        <v>0</v>
      </c>
      <c r="F32" s="551">
        <v>650000.0</v>
      </c>
      <c r="G32" s="552" t="str">
        <f t="shared" si="3"/>
        <v>احسنت</v>
      </c>
      <c r="H32" s="553" t="s">
        <v>2530</v>
      </c>
      <c r="I32" s="553"/>
    </row>
    <row r="33" ht="26.25" customHeight="1">
      <c r="A33" s="547" t="s">
        <v>930</v>
      </c>
      <c r="B33" s="548">
        <v>1000000.0</v>
      </c>
      <c r="C33" s="549">
        <v>45908.0</v>
      </c>
      <c r="D33" s="550">
        <f t="shared" si="1"/>
        <v>0</v>
      </c>
      <c r="E33" s="551">
        <f t="shared" si="2"/>
        <v>0</v>
      </c>
      <c r="F33" s="551">
        <v>1000000.0</v>
      </c>
      <c r="G33" s="552" t="str">
        <f t="shared" si="3"/>
        <v>احسنت</v>
      </c>
      <c r="H33" s="553" t="s">
        <v>2530</v>
      </c>
      <c r="I33" s="553"/>
    </row>
    <row r="34" ht="26.25" customHeight="1">
      <c r="A34" s="547" t="s">
        <v>930</v>
      </c>
      <c r="B34" s="548">
        <v>150000.0</v>
      </c>
      <c r="C34" s="549">
        <v>45925.0</v>
      </c>
      <c r="D34" s="550">
        <f t="shared" si="1"/>
        <v>0</v>
      </c>
      <c r="E34" s="551">
        <f t="shared" si="2"/>
        <v>0</v>
      </c>
      <c r="F34" s="551">
        <v>150000.0</v>
      </c>
      <c r="G34" s="552" t="str">
        <f t="shared" si="3"/>
        <v>احسنت</v>
      </c>
      <c r="H34" s="553" t="s">
        <v>2530</v>
      </c>
      <c r="I34" s="553"/>
    </row>
    <row r="35" ht="26.25" customHeight="1">
      <c r="A35" s="547" t="s">
        <v>930</v>
      </c>
      <c r="B35" s="548">
        <v>4450000.0</v>
      </c>
      <c r="C35" s="549">
        <v>45936.0</v>
      </c>
      <c r="D35" s="550">
        <f t="shared" si="1"/>
        <v>0</v>
      </c>
      <c r="E35" s="551">
        <f t="shared" si="2"/>
        <v>0</v>
      </c>
      <c r="F35" s="551">
        <v>4450000.0</v>
      </c>
      <c r="G35" s="552" t="str">
        <f t="shared" si="3"/>
        <v>احسنت</v>
      </c>
      <c r="H35" s="553" t="s">
        <v>2530</v>
      </c>
      <c r="I35" s="553"/>
    </row>
    <row r="36" ht="26.25" customHeight="1">
      <c r="A36" s="547" t="s">
        <v>930</v>
      </c>
      <c r="B36" s="548">
        <v>200000.0</v>
      </c>
      <c r="C36" s="554">
        <v>45943.0</v>
      </c>
      <c r="D36" s="550">
        <f t="shared" si="1"/>
        <v>0</v>
      </c>
      <c r="E36" s="551">
        <f t="shared" si="2"/>
        <v>0</v>
      </c>
      <c r="F36" s="551">
        <v>200000.0</v>
      </c>
      <c r="G36" s="552" t="str">
        <f t="shared" si="3"/>
        <v>احسنت</v>
      </c>
      <c r="H36" s="553" t="s">
        <v>2530</v>
      </c>
      <c r="I36" s="553"/>
    </row>
    <row r="37" ht="26.25" customHeight="1">
      <c r="A37" s="547" t="s">
        <v>930</v>
      </c>
      <c r="B37" s="548">
        <v>2000000.0</v>
      </c>
      <c r="C37" s="554">
        <v>45944.0</v>
      </c>
      <c r="D37" s="550">
        <f t="shared" si="1"/>
        <v>0</v>
      </c>
      <c r="E37" s="551">
        <f t="shared" si="2"/>
        <v>0</v>
      </c>
      <c r="F37" s="551">
        <v>2000000.0</v>
      </c>
      <c r="G37" s="552" t="str">
        <f t="shared" si="3"/>
        <v>احسنت</v>
      </c>
      <c r="H37" s="553" t="s">
        <v>2530</v>
      </c>
      <c r="I37" s="553"/>
    </row>
    <row r="38" ht="26.25" customHeight="1">
      <c r="A38" s="547" t="s">
        <v>930</v>
      </c>
      <c r="B38" s="548">
        <v>450000.0</v>
      </c>
      <c r="C38" s="554">
        <v>45945.0</v>
      </c>
      <c r="D38" s="550">
        <f t="shared" si="1"/>
        <v>0</v>
      </c>
      <c r="E38" s="551">
        <f t="shared" si="2"/>
        <v>0</v>
      </c>
      <c r="F38" s="551">
        <v>450000.0</v>
      </c>
      <c r="G38" s="552" t="str">
        <f t="shared" si="3"/>
        <v>احسنت</v>
      </c>
      <c r="H38" s="553" t="s">
        <v>2530</v>
      </c>
      <c r="I38" s="553"/>
    </row>
    <row r="39" ht="26.25" customHeight="1">
      <c r="A39" s="547" t="s">
        <v>930</v>
      </c>
      <c r="B39" s="548">
        <v>100000.0</v>
      </c>
      <c r="C39" s="554">
        <v>45949.0</v>
      </c>
      <c r="D39" s="550">
        <f t="shared" si="1"/>
        <v>0</v>
      </c>
      <c r="E39" s="551">
        <f t="shared" si="2"/>
        <v>0</v>
      </c>
      <c r="F39" s="551">
        <v>100000.0</v>
      </c>
      <c r="G39" s="552" t="str">
        <f t="shared" si="3"/>
        <v>احسنت</v>
      </c>
      <c r="H39" s="553" t="s">
        <v>2530</v>
      </c>
      <c r="I39" s="553"/>
    </row>
    <row r="40" ht="26.25" customHeight="1">
      <c r="A40" s="547" t="s">
        <v>930</v>
      </c>
      <c r="B40" s="548">
        <v>3000000.0</v>
      </c>
      <c r="C40" s="549">
        <v>45967.0</v>
      </c>
      <c r="D40" s="550">
        <f t="shared" si="1"/>
        <v>0</v>
      </c>
      <c r="E40" s="551">
        <f t="shared" si="2"/>
        <v>1477000</v>
      </c>
      <c r="F40" s="550">
        <v>1523000.0</v>
      </c>
      <c r="G40" s="552" t="str">
        <f t="shared" si="3"/>
        <v>ممنوع</v>
      </c>
      <c r="H40" s="553" t="s">
        <v>2530</v>
      </c>
      <c r="I40" s="553"/>
    </row>
    <row r="41" ht="26.25" customHeight="1">
      <c r="A41" s="547" t="s">
        <v>930</v>
      </c>
      <c r="B41" s="548">
        <v>1955000.0</v>
      </c>
      <c r="C41" s="549">
        <v>45658.0</v>
      </c>
      <c r="D41" s="550">
        <f t="shared" si="1"/>
        <v>0</v>
      </c>
      <c r="E41" s="551">
        <f t="shared" si="2"/>
        <v>0</v>
      </c>
      <c r="F41" s="551">
        <v>1955000.0</v>
      </c>
      <c r="G41" s="552" t="str">
        <f t="shared" si="3"/>
        <v>احسنت</v>
      </c>
      <c r="H41" s="553" t="s">
        <v>2530</v>
      </c>
      <c r="I41" s="553" t="s">
        <v>2531</v>
      </c>
    </row>
    <row r="42" ht="26.25" customHeight="1">
      <c r="A42" s="547" t="s">
        <v>930</v>
      </c>
      <c r="B42" s="548">
        <v>1864000.0</v>
      </c>
      <c r="C42" s="549">
        <v>45659.0</v>
      </c>
      <c r="D42" s="550">
        <f t="shared" si="1"/>
        <v>0</v>
      </c>
      <c r="E42" s="551">
        <f t="shared" si="2"/>
        <v>0</v>
      </c>
      <c r="F42" s="551">
        <v>1864000.0</v>
      </c>
      <c r="G42" s="552" t="str">
        <f t="shared" si="3"/>
        <v>احسنت</v>
      </c>
      <c r="H42" s="553" t="s">
        <v>2530</v>
      </c>
      <c r="I42" s="553" t="s">
        <v>2532</v>
      </c>
    </row>
    <row r="43" ht="26.25" customHeight="1">
      <c r="A43" s="547" t="s">
        <v>31</v>
      </c>
      <c r="B43" s="548">
        <v>5000000.0</v>
      </c>
      <c r="C43" s="549">
        <v>45734.0</v>
      </c>
      <c r="D43" s="550">
        <f t="shared" si="1"/>
        <v>0</v>
      </c>
      <c r="E43" s="551">
        <f t="shared" si="2"/>
        <v>0</v>
      </c>
      <c r="F43" s="550">
        <v>5000000.0</v>
      </c>
      <c r="G43" s="552" t="str">
        <f t="shared" si="3"/>
        <v>احسنت</v>
      </c>
      <c r="H43" s="553" t="s">
        <v>2533</v>
      </c>
      <c r="I43" s="553" t="s">
        <v>2534</v>
      </c>
    </row>
    <row r="44" ht="26.25" customHeight="1">
      <c r="A44" s="547" t="s">
        <v>31</v>
      </c>
      <c r="B44" s="548">
        <v>5000000.0</v>
      </c>
      <c r="C44" s="549">
        <v>45756.0</v>
      </c>
      <c r="D44" s="550">
        <f t="shared" si="1"/>
        <v>0</v>
      </c>
      <c r="E44" s="551">
        <f t="shared" si="2"/>
        <v>0</v>
      </c>
      <c r="F44" s="555">
        <v>5000000.0</v>
      </c>
      <c r="G44" s="552" t="str">
        <f t="shared" si="3"/>
        <v>احسنت</v>
      </c>
      <c r="H44" s="553" t="s">
        <v>2533</v>
      </c>
      <c r="I44" s="553" t="s">
        <v>2534</v>
      </c>
    </row>
    <row r="45" ht="26.25" customHeight="1">
      <c r="A45" s="547" t="s">
        <v>31</v>
      </c>
      <c r="B45" s="548">
        <v>1000000.0</v>
      </c>
      <c r="C45" s="549">
        <v>45769.0</v>
      </c>
      <c r="D45" s="550">
        <f t="shared" si="1"/>
        <v>0</v>
      </c>
      <c r="E45" s="551">
        <f t="shared" si="2"/>
        <v>1000000</v>
      </c>
      <c r="F45" s="555">
        <v>0.0</v>
      </c>
      <c r="G45" s="552" t="str">
        <f t="shared" si="3"/>
        <v>ممنوع</v>
      </c>
      <c r="H45" s="553" t="s">
        <v>2533</v>
      </c>
      <c r="I45" s="553"/>
    </row>
    <row r="46" ht="26.25" customHeight="1">
      <c r="A46" s="547" t="s">
        <v>31</v>
      </c>
      <c r="B46" s="548">
        <v>1000000.0</v>
      </c>
      <c r="C46" s="549">
        <v>45781.0</v>
      </c>
      <c r="D46" s="550">
        <f t="shared" si="1"/>
        <v>0</v>
      </c>
      <c r="E46" s="551">
        <f t="shared" si="2"/>
        <v>0</v>
      </c>
      <c r="F46" s="550">
        <v>1000000.0</v>
      </c>
      <c r="G46" s="552" t="str">
        <f t="shared" si="3"/>
        <v>احسنت</v>
      </c>
      <c r="H46" s="553" t="s">
        <v>2533</v>
      </c>
      <c r="I46" s="553" t="s">
        <v>2534</v>
      </c>
    </row>
    <row r="47" ht="26.25" customHeight="1">
      <c r="A47" s="547" t="s">
        <v>31</v>
      </c>
      <c r="B47" s="548">
        <v>1.2675E7</v>
      </c>
      <c r="C47" s="554">
        <v>45784.0</v>
      </c>
      <c r="D47" s="550">
        <f t="shared" si="1"/>
        <v>0</v>
      </c>
      <c r="E47" s="551">
        <f t="shared" si="2"/>
        <v>12675000</v>
      </c>
      <c r="F47" s="550">
        <v>0.0</v>
      </c>
      <c r="G47" s="552" t="str">
        <f t="shared" si="3"/>
        <v>ممنوع</v>
      </c>
      <c r="H47" s="553" t="s">
        <v>2533</v>
      </c>
      <c r="I47" s="553"/>
    </row>
    <row r="48" ht="26.25" customHeight="1">
      <c r="A48" s="547" t="s">
        <v>31</v>
      </c>
      <c r="B48" s="548">
        <v>1090000.0</v>
      </c>
      <c r="C48" s="554">
        <v>45786.0</v>
      </c>
      <c r="D48" s="550">
        <f t="shared" si="1"/>
        <v>0</v>
      </c>
      <c r="E48" s="551">
        <f t="shared" si="2"/>
        <v>0</v>
      </c>
      <c r="F48" s="555">
        <v>1090000.0</v>
      </c>
      <c r="G48" s="552" t="str">
        <f t="shared" si="3"/>
        <v>احسنت</v>
      </c>
      <c r="H48" s="553" t="s">
        <v>2533</v>
      </c>
      <c r="I48" s="553" t="s">
        <v>2534</v>
      </c>
    </row>
    <row r="49" ht="26.25" customHeight="1">
      <c r="A49" s="547" t="s">
        <v>31</v>
      </c>
      <c r="B49" s="548">
        <v>325000.0</v>
      </c>
      <c r="C49" s="554">
        <v>45793.0</v>
      </c>
      <c r="D49" s="550">
        <f t="shared" si="1"/>
        <v>0</v>
      </c>
      <c r="E49" s="551">
        <f t="shared" si="2"/>
        <v>0</v>
      </c>
      <c r="F49" s="555">
        <v>325000.0</v>
      </c>
      <c r="G49" s="552" t="str">
        <f t="shared" si="3"/>
        <v>احسنت</v>
      </c>
      <c r="H49" s="553" t="s">
        <v>2533</v>
      </c>
      <c r="I49" s="553" t="s">
        <v>2534</v>
      </c>
    </row>
    <row r="50" ht="26.25" customHeight="1">
      <c r="A50" s="547" t="s">
        <v>31</v>
      </c>
      <c r="B50" s="548">
        <v>595000.0</v>
      </c>
      <c r="C50" s="554">
        <v>45795.0</v>
      </c>
      <c r="D50" s="550">
        <f t="shared" si="1"/>
        <v>0</v>
      </c>
      <c r="E50" s="551">
        <f t="shared" si="2"/>
        <v>0</v>
      </c>
      <c r="F50" s="555">
        <v>595000.0</v>
      </c>
      <c r="G50" s="552" t="str">
        <f t="shared" si="3"/>
        <v>احسنت</v>
      </c>
      <c r="H50" s="553" t="s">
        <v>2533</v>
      </c>
      <c r="I50" s="553" t="s">
        <v>2534</v>
      </c>
    </row>
    <row r="51" ht="26.25" customHeight="1">
      <c r="A51" s="547" t="s">
        <v>31</v>
      </c>
      <c r="B51" s="548">
        <v>485000.0</v>
      </c>
      <c r="C51" s="554">
        <v>45796.0</v>
      </c>
      <c r="D51" s="550">
        <f t="shared" si="1"/>
        <v>0</v>
      </c>
      <c r="E51" s="551">
        <f t="shared" si="2"/>
        <v>0</v>
      </c>
      <c r="F51" s="550">
        <v>485000.0</v>
      </c>
      <c r="G51" s="552" t="str">
        <f t="shared" si="3"/>
        <v>احسنت</v>
      </c>
      <c r="H51" s="553" t="s">
        <v>2533</v>
      </c>
      <c r="I51" s="553" t="s">
        <v>2534</v>
      </c>
    </row>
    <row r="52" ht="26.25" customHeight="1">
      <c r="A52" s="547" t="s">
        <v>31</v>
      </c>
      <c r="B52" s="548">
        <v>293000.0</v>
      </c>
      <c r="C52" s="549">
        <v>45810.0</v>
      </c>
      <c r="D52" s="550">
        <f t="shared" si="1"/>
        <v>0</v>
      </c>
      <c r="E52" s="551">
        <f t="shared" si="2"/>
        <v>0</v>
      </c>
      <c r="F52" s="550">
        <v>293000.0</v>
      </c>
      <c r="G52" s="552" t="str">
        <f t="shared" si="3"/>
        <v>احسنت</v>
      </c>
      <c r="H52" s="553" t="s">
        <v>2533</v>
      </c>
      <c r="I52" s="553" t="s">
        <v>2534</v>
      </c>
    </row>
    <row r="53" ht="26.25" customHeight="1">
      <c r="A53" s="547" t="s">
        <v>31</v>
      </c>
      <c r="B53" s="548">
        <v>148000.0</v>
      </c>
      <c r="C53" s="549">
        <v>45814.0</v>
      </c>
      <c r="D53" s="550">
        <f t="shared" si="1"/>
        <v>0</v>
      </c>
      <c r="E53" s="551">
        <f t="shared" si="2"/>
        <v>0</v>
      </c>
      <c r="F53" s="550">
        <v>148000.0</v>
      </c>
      <c r="G53" s="552" t="str">
        <f t="shared" si="3"/>
        <v>احسنت</v>
      </c>
      <c r="H53" s="553" t="s">
        <v>2533</v>
      </c>
      <c r="I53" s="553" t="s">
        <v>2534</v>
      </c>
    </row>
    <row r="54" ht="26.25" customHeight="1">
      <c r="A54" s="547" t="s">
        <v>31</v>
      </c>
      <c r="B54" s="548">
        <v>80000.0</v>
      </c>
      <c r="C54" s="549">
        <v>45819.0</v>
      </c>
      <c r="D54" s="550">
        <f t="shared" si="1"/>
        <v>0</v>
      </c>
      <c r="E54" s="551">
        <f t="shared" si="2"/>
        <v>0</v>
      </c>
      <c r="F54" s="550">
        <v>80000.0</v>
      </c>
      <c r="G54" s="552" t="str">
        <f t="shared" si="3"/>
        <v>احسنت</v>
      </c>
      <c r="H54" s="553" t="s">
        <v>2533</v>
      </c>
      <c r="I54" s="553" t="s">
        <v>2534</v>
      </c>
    </row>
    <row r="55" ht="26.25" customHeight="1">
      <c r="A55" s="547" t="s">
        <v>31</v>
      </c>
      <c r="B55" s="548">
        <v>45000.0</v>
      </c>
      <c r="C55" s="549">
        <v>45820.0</v>
      </c>
      <c r="D55" s="550">
        <f t="shared" si="1"/>
        <v>0</v>
      </c>
      <c r="E55" s="551">
        <f t="shared" si="2"/>
        <v>0</v>
      </c>
      <c r="F55" s="550">
        <v>45000.0</v>
      </c>
      <c r="G55" s="552" t="str">
        <f t="shared" si="3"/>
        <v>احسنت</v>
      </c>
      <c r="H55" s="553" t="s">
        <v>2533</v>
      </c>
      <c r="I55" s="553" t="s">
        <v>2534</v>
      </c>
    </row>
    <row r="56" ht="26.25" customHeight="1">
      <c r="A56" s="547" t="s">
        <v>31</v>
      </c>
      <c r="B56" s="548">
        <v>29000.0</v>
      </c>
      <c r="C56" s="549">
        <v>45823.0</v>
      </c>
      <c r="D56" s="550">
        <f t="shared" si="1"/>
        <v>0</v>
      </c>
      <c r="E56" s="551">
        <f t="shared" si="2"/>
        <v>0</v>
      </c>
      <c r="F56" s="550">
        <v>29000.0</v>
      </c>
      <c r="G56" s="552" t="str">
        <f t="shared" si="3"/>
        <v>احسنت</v>
      </c>
      <c r="H56" s="553" t="s">
        <v>2533</v>
      </c>
      <c r="I56" s="553" t="s">
        <v>2534</v>
      </c>
    </row>
    <row r="57" ht="26.25" customHeight="1">
      <c r="A57" s="547" t="s">
        <v>31</v>
      </c>
      <c r="B57" s="548">
        <v>85000.0</v>
      </c>
      <c r="C57" s="549">
        <v>45824.0</v>
      </c>
      <c r="D57" s="550">
        <f t="shared" si="1"/>
        <v>0</v>
      </c>
      <c r="E57" s="551">
        <f t="shared" si="2"/>
        <v>0</v>
      </c>
      <c r="F57" s="550">
        <v>85000.0</v>
      </c>
      <c r="G57" s="552" t="str">
        <f t="shared" si="3"/>
        <v>احسنت</v>
      </c>
      <c r="H57" s="553" t="s">
        <v>2533</v>
      </c>
      <c r="I57" s="553" t="s">
        <v>2534</v>
      </c>
    </row>
    <row r="58" ht="26.25" customHeight="1">
      <c r="A58" s="547" t="s">
        <v>31</v>
      </c>
      <c r="B58" s="548">
        <v>1375000.0</v>
      </c>
      <c r="C58" s="549">
        <v>45825.0</v>
      </c>
      <c r="D58" s="550">
        <f t="shared" si="1"/>
        <v>0</v>
      </c>
      <c r="E58" s="551">
        <f t="shared" si="2"/>
        <v>0</v>
      </c>
      <c r="F58" s="550">
        <v>1375000.0</v>
      </c>
      <c r="G58" s="552" t="str">
        <f t="shared" si="3"/>
        <v>احسنت</v>
      </c>
      <c r="H58" s="553" t="s">
        <v>2533</v>
      </c>
      <c r="I58" s="553" t="s">
        <v>2534</v>
      </c>
    </row>
    <row r="59" ht="26.25" customHeight="1">
      <c r="A59" s="547" t="s">
        <v>31</v>
      </c>
      <c r="B59" s="548">
        <v>50000.0</v>
      </c>
      <c r="C59" s="549">
        <v>45828.0</v>
      </c>
      <c r="D59" s="550">
        <f t="shared" si="1"/>
        <v>0</v>
      </c>
      <c r="E59" s="551">
        <f t="shared" si="2"/>
        <v>50000</v>
      </c>
      <c r="F59" s="550">
        <v>0.0</v>
      </c>
      <c r="G59" s="552" t="str">
        <f t="shared" si="3"/>
        <v>ممنوع</v>
      </c>
      <c r="H59" s="553" t="s">
        <v>2533</v>
      </c>
      <c r="I59" s="553"/>
    </row>
    <row r="60" ht="26.25" customHeight="1">
      <c r="A60" s="547" t="s">
        <v>31</v>
      </c>
      <c r="B60" s="548">
        <v>750000.0</v>
      </c>
      <c r="C60" s="549">
        <v>45828.0</v>
      </c>
      <c r="D60" s="550">
        <f t="shared" si="1"/>
        <v>0</v>
      </c>
      <c r="E60" s="551">
        <f t="shared" si="2"/>
        <v>750000</v>
      </c>
      <c r="F60" s="550">
        <v>0.0</v>
      </c>
      <c r="G60" s="552" t="str">
        <f t="shared" si="3"/>
        <v>ممنوع</v>
      </c>
      <c r="H60" s="553" t="s">
        <v>2533</v>
      </c>
      <c r="I60" s="553"/>
    </row>
    <row r="61" ht="26.25" customHeight="1">
      <c r="A61" s="547" t="s">
        <v>31</v>
      </c>
      <c r="B61" s="548">
        <v>50000.0</v>
      </c>
      <c r="C61" s="549">
        <v>45835.0</v>
      </c>
      <c r="D61" s="550">
        <f t="shared" si="1"/>
        <v>0</v>
      </c>
      <c r="E61" s="551">
        <f t="shared" si="2"/>
        <v>50000</v>
      </c>
      <c r="F61" s="550">
        <v>0.0</v>
      </c>
      <c r="G61" s="552" t="str">
        <f t="shared" si="3"/>
        <v>ممنوع</v>
      </c>
      <c r="H61" s="553" t="s">
        <v>2533</v>
      </c>
      <c r="I61" s="553"/>
    </row>
    <row r="62" ht="26.25" customHeight="1">
      <c r="A62" s="547" t="s">
        <v>31</v>
      </c>
      <c r="B62" s="548">
        <v>220000.0</v>
      </c>
      <c r="C62" s="549">
        <v>45836.0</v>
      </c>
      <c r="D62" s="550">
        <f t="shared" si="1"/>
        <v>0</v>
      </c>
      <c r="E62" s="551">
        <f t="shared" si="2"/>
        <v>220000</v>
      </c>
      <c r="F62" s="550">
        <v>0.0</v>
      </c>
      <c r="G62" s="552" t="str">
        <f t="shared" si="3"/>
        <v>ممنوع</v>
      </c>
      <c r="H62" s="553" t="s">
        <v>2533</v>
      </c>
      <c r="I62" s="553"/>
    </row>
    <row r="63" ht="26.25" customHeight="1">
      <c r="A63" s="547" t="s">
        <v>31</v>
      </c>
      <c r="B63" s="548">
        <v>2450000.0</v>
      </c>
      <c r="C63" s="549">
        <v>45837.0</v>
      </c>
      <c r="D63" s="550">
        <f t="shared" si="1"/>
        <v>0</v>
      </c>
      <c r="E63" s="551">
        <f t="shared" si="2"/>
        <v>2450000</v>
      </c>
      <c r="F63" s="550">
        <v>0.0</v>
      </c>
      <c r="G63" s="552" t="str">
        <f t="shared" si="3"/>
        <v>ممنوع</v>
      </c>
      <c r="H63" s="553" t="s">
        <v>2533</v>
      </c>
      <c r="I63" s="553"/>
    </row>
    <row r="64" ht="26.25" customHeight="1">
      <c r="A64" s="547" t="s">
        <v>31</v>
      </c>
      <c r="B64" s="548">
        <v>130000.0</v>
      </c>
      <c r="C64" s="549">
        <v>45837.0</v>
      </c>
      <c r="D64" s="550">
        <f t="shared" si="1"/>
        <v>0</v>
      </c>
      <c r="E64" s="551">
        <f t="shared" si="2"/>
        <v>0</v>
      </c>
      <c r="F64" s="550">
        <v>130000.0</v>
      </c>
      <c r="G64" s="552" t="str">
        <f t="shared" si="3"/>
        <v>احسنت</v>
      </c>
      <c r="H64" s="553" t="s">
        <v>2533</v>
      </c>
      <c r="I64" s="553" t="s">
        <v>2534</v>
      </c>
    </row>
    <row r="65" ht="26.25" customHeight="1">
      <c r="A65" s="547" t="s">
        <v>31</v>
      </c>
      <c r="B65" s="548">
        <v>100000.0</v>
      </c>
      <c r="C65" s="549">
        <v>45837.0</v>
      </c>
      <c r="D65" s="550">
        <f t="shared" si="1"/>
        <v>0</v>
      </c>
      <c r="E65" s="551">
        <f t="shared" si="2"/>
        <v>100000</v>
      </c>
      <c r="F65" s="550">
        <v>0.0</v>
      </c>
      <c r="G65" s="552" t="str">
        <f t="shared" si="3"/>
        <v>ممنوع</v>
      </c>
      <c r="H65" s="553" t="s">
        <v>2533</v>
      </c>
      <c r="I65" s="553"/>
    </row>
    <row r="66" ht="26.25" customHeight="1">
      <c r="A66" s="547" t="s">
        <v>31</v>
      </c>
      <c r="B66" s="548">
        <v>18000.0</v>
      </c>
      <c r="C66" s="549">
        <v>45838.0</v>
      </c>
      <c r="D66" s="550">
        <f t="shared" si="1"/>
        <v>0</v>
      </c>
      <c r="E66" s="551">
        <f t="shared" si="2"/>
        <v>18000</v>
      </c>
      <c r="F66" s="550">
        <v>0.0</v>
      </c>
      <c r="G66" s="552" t="str">
        <f t="shared" si="3"/>
        <v>ممنوع</v>
      </c>
      <c r="H66" s="553" t="s">
        <v>2533</v>
      </c>
      <c r="I66" s="553"/>
    </row>
    <row r="67" ht="26.25" customHeight="1">
      <c r="A67" s="547" t="s">
        <v>31</v>
      </c>
      <c r="B67" s="548">
        <v>50000.0</v>
      </c>
      <c r="C67" s="554">
        <v>45839.0</v>
      </c>
      <c r="D67" s="550">
        <f t="shared" si="1"/>
        <v>0</v>
      </c>
      <c r="E67" s="551">
        <f t="shared" si="2"/>
        <v>50000</v>
      </c>
      <c r="F67" s="555">
        <v>0.0</v>
      </c>
      <c r="G67" s="552" t="str">
        <f t="shared" si="3"/>
        <v>ممنوع</v>
      </c>
      <c r="H67" s="553" t="s">
        <v>2533</v>
      </c>
      <c r="I67" s="553"/>
    </row>
    <row r="68" ht="26.25" customHeight="1">
      <c r="A68" s="547" t="s">
        <v>31</v>
      </c>
      <c r="B68" s="548">
        <v>100000.0</v>
      </c>
      <c r="C68" s="554">
        <v>45841.0</v>
      </c>
      <c r="D68" s="550">
        <f t="shared" si="1"/>
        <v>0</v>
      </c>
      <c r="E68" s="551">
        <f t="shared" si="2"/>
        <v>100000</v>
      </c>
      <c r="F68" s="555">
        <v>0.0</v>
      </c>
      <c r="G68" s="552" t="str">
        <f t="shared" si="3"/>
        <v>ممنوع</v>
      </c>
      <c r="H68" s="553" t="s">
        <v>2533</v>
      </c>
      <c r="I68" s="553"/>
    </row>
    <row r="69" ht="26.25" customHeight="1">
      <c r="A69" s="547" t="s">
        <v>31</v>
      </c>
      <c r="B69" s="548">
        <v>1750000.0</v>
      </c>
      <c r="C69" s="549">
        <v>45845.0</v>
      </c>
      <c r="D69" s="550">
        <f t="shared" si="1"/>
        <v>0</v>
      </c>
      <c r="E69" s="551">
        <f t="shared" si="2"/>
        <v>1750000</v>
      </c>
      <c r="F69" s="555">
        <v>0.0</v>
      </c>
      <c r="G69" s="552" t="str">
        <f t="shared" si="3"/>
        <v>ممنوع</v>
      </c>
      <c r="H69" s="553" t="s">
        <v>2533</v>
      </c>
      <c r="I69" s="553"/>
    </row>
    <row r="70" ht="26.25" customHeight="1">
      <c r="A70" s="547" t="s">
        <v>31</v>
      </c>
      <c r="B70" s="548">
        <v>75000.0</v>
      </c>
      <c r="C70" s="554">
        <v>45845.0</v>
      </c>
      <c r="D70" s="550">
        <f t="shared" si="1"/>
        <v>0</v>
      </c>
      <c r="E70" s="551">
        <f t="shared" si="2"/>
        <v>75000</v>
      </c>
      <c r="F70" s="555">
        <v>0.0</v>
      </c>
      <c r="G70" s="552" t="str">
        <f t="shared" si="3"/>
        <v>ممنوع</v>
      </c>
      <c r="H70" s="553" t="s">
        <v>2533</v>
      </c>
      <c r="I70" s="553"/>
    </row>
    <row r="71" ht="26.25" customHeight="1">
      <c r="A71" s="547" t="s">
        <v>31</v>
      </c>
      <c r="B71" s="548">
        <v>550000.0</v>
      </c>
      <c r="C71" s="554">
        <v>45848.0</v>
      </c>
      <c r="D71" s="550">
        <f t="shared" si="1"/>
        <v>0</v>
      </c>
      <c r="E71" s="551">
        <f t="shared" si="2"/>
        <v>550000</v>
      </c>
      <c r="F71" s="555">
        <v>0.0</v>
      </c>
      <c r="G71" s="552" t="str">
        <f t="shared" si="3"/>
        <v>ممنوع</v>
      </c>
      <c r="H71" s="553" t="s">
        <v>2533</v>
      </c>
      <c r="I71" s="553"/>
    </row>
    <row r="72" ht="26.25" customHeight="1">
      <c r="A72" s="547" t="s">
        <v>31</v>
      </c>
      <c r="B72" s="548">
        <v>160000.0</v>
      </c>
      <c r="C72" s="549">
        <v>45849.0</v>
      </c>
      <c r="D72" s="550">
        <f t="shared" si="1"/>
        <v>0</v>
      </c>
      <c r="E72" s="551">
        <f t="shared" si="2"/>
        <v>160000</v>
      </c>
      <c r="F72" s="555">
        <v>0.0</v>
      </c>
      <c r="G72" s="552" t="str">
        <f t="shared" si="3"/>
        <v>ممنوع</v>
      </c>
      <c r="H72" s="553" t="s">
        <v>2533</v>
      </c>
      <c r="I72" s="553"/>
    </row>
    <row r="73" ht="26.25" customHeight="1">
      <c r="A73" s="547" t="s">
        <v>31</v>
      </c>
      <c r="B73" s="548">
        <v>145000.0</v>
      </c>
      <c r="C73" s="554">
        <v>45849.0</v>
      </c>
      <c r="D73" s="550">
        <f t="shared" si="1"/>
        <v>0</v>
      </c>
      <c r="E73" s="551">
        <f t="shared" si="2"/>
        <v>145000</v>
      </c>
      <c r="F73" s="555">
        <v>0.0</v>
      </c>
      <c r="G73" s="552" t="str">
        <f t="shared" si="3"/>
        <v>ممنوع</v>
      </c>
      <c r="H73" s="553" t="s">
        <v>2533</v>
      </c>
      <c r="I73" s="553"/>
    </row>
    <row r="74" ht="26.25" customHeight="1">
      <c r="A74" s="547" t="s">
        <v>31</v>
      </c>
      <c r="B74" s="548">
        <v>596000.0</v>
      </c>
      <c r="C74" s="549">
        <v>45851.0</v>
      </c>
      <c r="D74" s="550">
        <f t="shared" si="1"/>
        <v>0</v>
      </c>
      <c r="E74" s="551">
        <f t="shared" si="2"/>
        <v>596000</v>
      </c>
      <c r="F74" s="555">
        <v>0.0</v>
      </c>
      <c r="G74" s="552" t="str">
        <f t="shared" si="3"/>
        <v>ممنوع</v>
      </c>
      <c r="H74" s="553" t="s">
        <v>2533</v>
      </c>
      <c r="I74" s="553"/>
    </row>
    <row r="75" ht="26.25" customHeight="1">
      <c r="A75" s="547" t="s">
        <v>31</v>
      </c>
      <c r="B75" s="548">
        <v>45000.0</v>
      </c>
      <c r="C75" s="549">
        <v>45855.0</v>
      </c>
      <c r="D75" s="550">
        <f t="shared" si="1"/>
        <v>0</v>
      </c>
      <c r="E75" s="551">
        <f t="shared" si="2"/>
        <v>45000</v>
      </c>
      <c r="F75" s="555">
        <v>0.0</v>
      </c>
      <c r="G75" s="552" t="str">
        <f t="shared" si="3"/>
        <v>ممنوع</v>
      </c>
      <c r="H75" s="553" t="s">
        <v>2533</v>
      </c>
      <c r="I75" s="553"/>
    </row>
    <row r="76" ht="26.25" customHeight="1">
      <c r="A76" s="547" t="s">
        <v>31</v>
      </c>
      <c r="B76" s="548">
        <v>90000.0</v>
      </c>
      <c r="C76" s="549">
        <v>45857.0</v>
      </c>
      <c r="D76" s="550">
        <f t="shared" si="1"/>
        <v>0</v>
      </c>
      <c r="E76" s="551">
        <f t="shared" si="2"/>
        <v>90000</v>
      </c>
      <c r="F76" s="550">
        <v>0.0</v>
      </c>
      <c r="G76" s="552" t="str">
        <f t="shared" si="3"/>
        <v>ممنوع</v>
      </c>
      <c r="H76" s="553" t="s">
        <v>2533</v>
      </c>
      <c r="I76" s="553"/>
    </row>
    <row r="77" ht="26.25" customHeight="1">
      <c r="A77" s="547" t="s">
        <v>31</v>
      </c>
      <c r="B77" s="548">
        <v>35000.0</v>
      </c>
      <c r="C77" s="549">
        <v>45860.0</v>
      </c>
      <c r="D77" s="550">
        <f t="shared" si="1"/>
        <v>0</v>
      </c>
      <c r="E77" s="551">
        <f t="shared" si="2"/>
        <v>35000</v>
      </c>
      <c r="F77" s="550">
        <v>0.0</v>
      </c>
      <c r="G77" s="552" t="str">
        <f t="shared" si="3"/>
        <v>ممنوع</v>
      </c>
      <c r="H77" s="553" t="s">
        <v>2533</v>
      </c>
      <c r="I77" s="553"/>
    </row>
    <row r="78" ht="26.25" customHeight="1">
      <c r="A78" s="547" t="s">
        <v>31</v>
      </c>
      <c r="B78" s="548">
        <v>100000.0</v>
      </c>
      <c r="C78" s="549">
        <v>45862.0</v>
      </c>
      <c r="D78" s="550">
        <f t="shared" si="1"/>
        <v>0</v>
      </c>
      <c r="E78" s="551">
        <f t="shared" si="2"/>
        <v>100000</v>
      </c>
      <c r="F78" s="550">
        <v>0.0</v>
      </c>
      <c r="G78" s="552" t="str">
        <f t="shared" si="3"/>
        <v>ممنوع</v>
      </c>
      <c r="H78" s="553" t="s">
        <v>2533</v>
      </c>
      <c r="I78" s="553"/>
    </row>
    <row r="79" ht="26.25" customHeight="1">
      <c r="A79" s="547" t="s">
        <v>31</v>
      </c>
      <c r="B79" s="548">
        <v>175000.0</v>
      </c>
      <c r="C79" s="549">
        <v>45864.0</v>
      </c>
      <c r="D79" s="550">
        <f t="shared" si="1"/>
        <v>0</v>
      </c>
      <c r="E79" s="551">
        <f t="shared" si="2"/>
        <v>175000</v>
      </c>
      <c r="F79" s="550">
        <v>0.0</v>
      </c>
      <c r="G79" s="552" t="str">
        <f t="shared" si="3"/>
        <v>ممنوع</v>
      </c>
      <c r="H79" s="553" t="s">
        <v>2533</v>
      </c>
      <c r="I79" s="553"/>
    </row>
    <row r="80" ht="26.25" customHeight="1">
      <c r="A80" s="547" t="s">
        <v>31</v>
      </c>
      <c r="B80" s="548">
        <v>200000.0</v>
      </c>
      <c r="C80" s="549">
        <v>45864.0</v>
      </c>
      <c r="D80" s="550">
        <f t="shared" si="1"/>
        <v>0</v>
      </c>
      <c r="E80" s="551">
        <f t="shared" si="2"/>
        <v>200000</v>
      </c>
      <c r="F80" s="550">
        <v>0.0</v>
      </c>
      <c r="G80" s="552" t="str">
        <f t="shared" si="3"/>
        <v>ممنوع</v>
      </c>
      <c r="H80" s="553" t="s">
        <v>2533</v>
      </c>
      <c r="I80" s="553"/>
    </row>
    <row r="81" ht="26.25" customHeight="1">
      <c r="A81" s="547" t="s">
        <v>31</v>
      </c>
      <c r="B81" s="548">
        <v>665000.0</v>
      </c>
      <c r="C81" s="549">
        <v>45870.0</v>
      </c>
      <c r="D81" s="550">
        <f t="shared" si="1"/>
        <v>0</v>
      </c>
      <c r="E81" s="551">
        <f t="shared" si="2"/>
        <v>665000</v>
      </c>
      <c r="F81" s="550">
        <v>0.0</v>
      </c>
      <c r="G81" s="552" t="str">
        <f t="shared" si="3"/>
        <v>ممنوع</v>
      </c>
      <c r="H81" s="553" t="s">
        <v>2533</v>
      </c>
      <c r="I81" s="553"/>
    </row>
    <row r="82" ht="26.25" customHeight="1">
      <c r="A82" s="547" t="s">
        <v>31</v>
      </c>
      <c r="B82" s="548">
        <v>35000.0</v>
      </c>
      <c r="C82" s="549">
        <v>45875.0</v>
      </c>
      <c r="D82" s="550">
        <f t="shared" si="1"/>
        <v>0</v>
      </c>
      <c r="E82" s="551">
        <f t="shared" si="2"/>
        <v>35000</v>
      </c>
      <c r="F82" s="550">
        <v>0.0</v>
      </c>
      <c r="G82" s="552" t="str">
        <f t="shared" si="3"/>
        <v>ممنوع</v>
      </c>
      <c r="H82" s="553" t="s">
        <v>2533</v>
      </c>
      <c r="I82" s="553"/>
    </row>
    <row r="83" ht="26.25" customHeight="1">
      <c r="A83" s="547" t="s">
        <v>31</v>
      </c>
      <c r="B83" s="548">
        <v>87000.0</v>
      </c>
      <c r="C83" s="549">
        <v>45876.0</v>
      </c>
      <c r="D83" s="550">
        <f t="shared" si="1"/>
        <v>0</v>
      </c>
      <c r="E83" s="551">
        <f t="shared" si="2"/>
        <v>87000</v>
      </c>
      <c r="F83" s="550">
        <v>0.0</v>
      </c>
      <c r="G83" s="552" t="str">
        <f t="shared" si="3"/>
        <v>ممنوع</v>
      </c>
      <c r="H83" s="553" t="s">
        <v>2533</v>
      </c>
      <c r="I83" s="553"/>
    </row>
    <row r="84" ht="26.25" customHeight="1">
      <c r="A84" s="547" t="s">
        <v>31</v>
      </c>
      <c r="B84" s="548">
        <v>6019000.0</v>
      </c>
      <c r="C84" s="549">
        <v>46021.0</v>
      </c>
      <c r="D84" s="550">
        <f t="shared" si="1"/>
        <v>0</v>
      </c>
      <c r="E84" s="551">
        <f t="shared" si="2"/>
        <v>6019000</v>
      </c>
      <c r="F84" s="550">
        <v>0.0</v>
      </c>
      <c r="G84" s="552" t="str">
        <f t="shared" si="3"/>
        <v>ممنوع</v>
      </c>
      <c r="H84" s="553" t="s">
        <v>2535</v>
      </c>
      <c r="I84" s="553"/>
    </row>
    <row r="85" ht="26.25" customHeight="1">
      <c r="A85" s="547" t="s">
        <v>930</v>
      </c>
      <c r="B85" s="548">
        <v>450000.0</v>
      </c>
      <c r="C85" s="549">
        <v>46021.0</v>
      </c>
      <c r="D85" s="550">
        <f t="shared" si="1"/>
        <v>0</v>
      </c>
      <c r="E85" s="551">
        <f t="shared" si="2"/>
        <v>450000</v>
      </c>
      <c r="F85" s="550">
        <v>0.0</v>
      </c>
      <c r="G85" s="552" t="str">
        <f t="shared" si="3"/>
        <v>ممنوع</v>
      </c>
      <c r="H85" s="553" t="s">
        <v>2413</v>
      </c>
      <c r="I85" s="553"/>
    </row>
    <row r="86" ht="26.25" customHeight="1">
      <c r="A86" s="547" t="s">
        <v>930</v>
      </c>
      <c r="B86" s="548">
        <v>85000.0</v>
      </c>
      <c r="C86" s="549">
        <v>46037.0</v>
      </c>
      <c r="D86" s="550">
        <f t="shared" si="1"/>
        <v>0</v>
      </c>
      <c r="E86" s="551">
        <f t="shared" si="2"/>
        <v>85000</v>
      </c>
      <c r="F86" s="550">
        <v>0.0</v>
      </c>
      <c r="G86" s="552" t="str">
        <f t="shared" si="3"/>
        <v>ممنوع</v>
      </c>
      <c r="H86" s="553" t="s">
        <v>2413</v>
      </c>
      <c r="I86" s="553"/>
    </row>
  </sheetData>
  <conditionalFormatting sqref="G3:G86">
    <cfRule type="containsText" dxfId="12" priority="1" operator="containsText" text="احسنت">
      <formula>NOT(ISERROR(SEARCH(("احسنت"),(G3))))</formula>
    </cfRule>
  </conditionalFormatting>
  <conditionalFormatting sqref="G3:G86">
    <cfRule type="containsText" dxfId="13" priority="2" operator="containsText" text="ممنوع">
      <formula>NOT(ISERROR(SEARCH(("ممنوع"),(G3))))</formula>
    </cfRule>
  </conditionalFormatting>
  <conditionalFormatting sqref="G1:I86">
    <cfRule type="containsText" dxfId="14" priority="3" operator="containsText" text="مدفوعة">
      <formula>NOT(ISERROR(SEARCH(("مدفوعة"),(G1))))</formula>
    </cfRule>
  </conditionalFormatting>
  <conditionalFormatting sqref="G1:I86">
    <cfRule type="containsText" dxfId="15" priority="4" operator="containsText" text="غير">
      <formula>NOT(ISERROR(SEARCH(("غير"),(G1))))</formula>
    </cfRule>
  </conditionalFormatting>
  <dataValidations>
    <dataValidation type="list" allowBlank="1" showInputMessage="1" showErrorMessage="1" prompt="انقر على قائمة العناصر ثم أدخِل قيمة منها." sqref="A3:A86">
      <formula1>"سيف عدنان,يوسف يعقوب"</formula1>
    </dataValidation>
    <dataValidation type="custom" allowBlank="1" showDropDown="1" showInputMessage="1" prompt="أدخل تاريخًا صالحًا2027/1/1" sqref="C3:C86">
      <formula1>OR(NOT(ISERROR(DATEVALUE(C3))), AND(ISNUMBER(C3), LEFT(CELL("format", C3))="D"))</formula1>
    </dataValidation>
  </dataValidations>
  <drawing r:id="rId1"/>
  <tableParts count="2">
    <tablePart r:id="rId4"/>
    <tablePart r:id="rId5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4.43" defaultRowHeight="15.0"/>
  <cols>
    <col customWidth="1" min="1" max="1" width="15.14"/>
    <col customWidth="1" min="2" max="3" width="30.29"/>
    <col customWidth="1" min="4" max="7" width="28.29"/>
    <col customWidth="1" min="8" max="8" width="23.0"/>
    <col customWidth="1" min="9" max="9" width="25.14"/>
  </cols>
  <sheetData>
    <row r="1" ht="26.25" customHeight="1">
      <c r="A1" s="556"/>
      <c r="B1" s="557" t="s">
        <v>2536</v>
      </c>
      <c r="C1" s="557" t="s">
        <v>2537</v>
      </c>
      <c r="D1" s="558" t="s">
        <v>2538</v>
      </c>
      <c r="E1" s="558" t="s">
        <v>2539</v>
      </c>
      <c r="F1" s="559" t="s">
        <v>2521</v>
      </c>
      <c r="G1" s="560"/>
      <c r="H1" s="561"/>
      <c r="I1" s="562"/>
    </row>
    <row r="2" ht="24.75" customHeight="1">
      <c r="A2" s="563" t="s">
        <v>2540</v>
      </c>
      <c r="B2" s="564">
        <f>2025</f>
        <v>2025</v>
      </c>
      <c r="C2" s="565"/>
      <c r="D2" s="565"/>
      <c r="E2" s="565"/>
      <c r="F2" s="565"/>
      <c r="G2" s="566"/>
      <c r="H2" s="561"/>
      <c r="I2" s="567"/>
    </row>
    <row r="3" ht="30.0" customHeight="1">
      <c r="A3" s="568">
        <v>1.0</v>
      </c>
      <c r="B3" s="569">
        <f>SUMIFS(Income!J:J,Income!B:B,"&gt;="&amp;G3,Income!B:B,"&lt;"&amp;H3)</f>
        <v>19688000</v>
      </c>
      <c r="C3" s="570">
        <f>SUMIFS(Expense!J:J,Expense!B:B,"&gt;="&amp;G3,Expense!B:B,"&lt;"&amp;H3)</f>
        <v>9257500</v>
      </c>
      <c r="D3" s="571">
        <f>SUMIFS('الرواتب'!N:N,'الرواتب'!O:O,"&gt;="&amp;G3,'الرواتب'!O:O,"&lt;"&amp;H3)</f>
        <v>8138000</v>
      </c>
      <c r="E3" s="572">
        <f>SUMIFS('القروض و التسديد'!B:B,'القروض و التسديد'!C:C,"&gt;="&amp;G3,'القروض و التسديد'!C:C,"&lt;"&amp;H3)</f>
        <v>3819000</v>
      </c>
      <c r="F3" s="573">
        <f>B3-(C3+D3)</f>
        <v>2292500</v>
      </c>
      <c r="G3" s="574">
        <f t="shared" ref="G3:G14" si="1">DATE($B$2,A3,1)</f>
        <v>45658</v>
      </c>
      <c r="H3" s="574">
        <f t="shared" ref="H3:H14" si="2">EOMONTH(G3,0)+1</f>
        <v>45689</v>
      </c>
      <c r="I3" s="575">
        <f>F3</f>
        <v>2292500</v>
      </c>
    </row>
    <row r="4" ht="30.0" customHeight="1">
      <c r="A4" s="568">
        <v>2.0</v>
      </c>
      <c r="B4" s="569">
        <f>SUMIFS(Income!J:J,Income!B:B,"&gt;="&amp;G4,Income!B:B,"&lt;"&amp;H4)</f>
        <v>24276000</v>
      </c>
      <c r="C4" s="570">
        <f>SUMIFS(Expense!J:J,Expense!B:B,"&gt;="&amp;G4,Expense!B:B,"&lt;"&amp;H4)</f>
        <v>17397250</v>
      </c>
      <c r="D4" s="571">
        <f>SUMIFS('الرواتب'!N:N,'الرواتب'!O:O,"&gt;="&amp;G4,'الرواتب'!O:O,"&lt;"&amp;H4)</f>
        <v>6760000</v>
      </c>
      <c r="E4" s="572">
        <f>SUMIFS('القروض و التسديد'!B:B,'القروض و التسديد'!C:C,"&gt;="&amp;G4,'القروض و التسديد'!C:C,"&lt;"&amp;H4)</f>
        <v>3350000</v>
      </c>
      <c r="F4" s="573">
        <f t="shared" ref="F4:F14" si="3">B4-(C4+D4)+F3</f>
        <v>2411250</v>
      </c>
      <c r="G4" s="574">
        <f t="shared" si="1"/>
        <v>45689</v>
      </c>
      <c r="H4" s="574">
        <f t="shared" si="2"/>
        <v>45717</v>
      </c>
      <c r="I4" s="576">
        <f t="shared" ref="I4:I14" si="4">F4+I3</f>
        <v>4703750</v>
      </c>
    </row>
    <row r="5" ht="30.0" customHeight="1">
      <c r="A5" s="568">
        <v>3.0</v>
      </c>
      <c r="B5" s="569">
        <f>SUMIFS(Income!J:J,Income!B:B,"&gt;="&amp;G5,Income!B:B,"&lt;"&amp;H5)</f>
        <v>30330000</v>
      </c>
      <c r="C5" s="570">
        <f>SUMIFS(Expense!J:J,Expense!B:B,"&gt;="&amp;G5,Expense!B:B,"&lt;"&amp;H5)</f>
        <v>19038000</v>
      </c>
      <c r="D5" s="571">
        <f>SUMIFS('الرواتب'!N:N,'الرواتب'!O:O,"&gt;="&amp;G5,'الرواتب'!O:O,"&lt;"&amp;H5)</f>
        <v>7899500</v>
      </c>
      <c r="E5" s="572">
        <f>SUMIFS('القروض و التسديد'!B:B,'القروض و التسديد'!C:C,"&gt;="&amp;G5,'القروض و التسديد'!C:C,"&lt;"&amp;H5)</f>
        <v>10500000</v>
      </c>
      <c r="F5" s="573">
        <f t="shared" si="3"/>
        <v>5803750</v>
      </c>
      <c r="G5" s="574">
        <f t="shared" si="1"/>
        <v>45717</v>
      </c>
      <c r="H5" s="574">
        <f t="shared" si="2"/>
        <v>45748</v>
      </c>
      <c r="I5" s="577">
        <f t="shared" si="4"/>
        <v>10507500</v>
      </c>
    </row>
    <row r="6" ht="30.0" customHeight="1">
      <c r="A6" s="568">
        <v>4.0</v>
      </c>
      <c r="B6" s="569">
        <f>SUMIFS(Income!J:J,Income!B:B,"&gt;="&amp;G6,Income!B:B,"&lt;"&amp;H6)</f>
        <v>33252000</v>
      </c>
      <c r="C6" s="570">
        <f>SUMIFS(Expense!J:J,Expense!B:B,"&gt;="&amp;G6,Expense!B:B,"&lt;"&amp;H6)</f>
        <v>30983250</v>
      </c>
      <c r="D6" s="571">
        <f>SUMIFS('الرواتب'!N:N,'الرواتب'!O:O,"&gt;="&amp;G6,'الرواتب'!O:O,"&lt;"&amp;H6)</f>
        <v>7559500</v>
      </c>
      <c r="E6" s="572">
        <f>SUMIFS('القروض و التسديد'!B:B,'القروض و التسديد'!C:C,"&gt;="&amp;G6,'القروض و التسديد'!C:C,"&lt;"&amp;H6)</f>
        <v>6250000</v>
      </c>
      <c r="F6" s="573">
        <f t="shared" si="3"/>
        <v>513000</v>
      </c>
      <c r="G6" s="574">
        <f t="shared" si="1"/>
        <v>45748</v>
      </c>
      <c r="H6" s="574">
        <f t="shared" si="2"/>
        <v>45778</v>
      </c>
      <c r="I6" s="578">
        <f t="shared" si="4"/>
        <v>11020500</v>
      </c>
    </row>
    <row r="7" ht="30.0" customHeight="1">
      <c r="A7" s="568">
        <v>5.0</v>
      </c>
      <c r="B7" s="569">
        <f>SUMIFS(Income!J:J,Income!B:B,"&gt;="&amp;G7,Income!B:B,"&lt;"&amp;H7)</f>
        <v>31250000</v>
      </c>
      <c r="C7" s="570">
        <f>SUMIFS(Expense!J:J,Expense!B:B,"&gt;="&amp;G7,Expense!B:B,"&lt;"&amp;H7)</f>
        <v>17441335</v>
      </c>
      <c r="D7" s="571">
        <f>SUMIFS('الرواتب'!N:N,'الرواتب'!O:O,"&gt;="&amp;G7,'الرواتب'!O:O,"&lt;"&amp;H7)</f>
        <v>6862500</v>
      </c>
      <c r="E7" s="572">
        <f>SUMIFS('القروض و التسديد'!B:B,'القروض و التسديد'!C:C,"&gt;="&amp;G7,'القروض و التسديد'!C:C,"&lt;"&amp;H7)</f>
        <v>17800000</v>
      </c>
      <c r="F7" s="573">
        <f t="shared" si="3"/>
        <v>7459165</v>
      </c>
      <c r="G7" s="574">
        <f t="shared" si="1"/>
        <v>45778</v>
      </c>
      <c r="H7" s="574">
        <f t="shared" si="2"/>
        <v>45809</v>
      </c>
      <c r="I7" s="578">
        <f t="shared" si="4"/>
        <v>18479665</v>
      </c>
    </row>
    <row r="8" ht="30.0" customHeight="1">
      <c r="A8" s="568">
        <v>6.0</v>
      </c>
      <c r="B8" s="569">
        <f>SUMIFS(Income!J:J,Income!B:B,"&gt;="&amp;G8,Income!B:B,"&lt;"&amp;H8)</f>
        <v>22144500</v>
      </c>
      <c r="C8" s="570">
        <f>SUMIFS(Expense!J:J,Expense!B:B,"&gt;="&amp;G8,Expense!B:B,"&lt;"&amp;H8)</f>
        <v>19528835</v>
      </c>
      <c r="D8" s="571">
        <f>SUMIFS('الرواتب'!N:N,'الرواتب'!O:O,"&gt;="&amp;G8,'الرواتب'!O:O,"&lt;"&amp;H8)</f>
        <v>6069000</v>
      </c>
      <c r="E8" s="572">
        <f>SUMIFS('القروض و التسديد'!B:B,'القروض و التسديد'!C:C,"&gt;="&amp;G8,'القروض و التسديد'!C:C,"&lt;"&amp;H8)</f>
        <v>10688000</v>
      </c>
      <c r="F8" s="573">
        <f t="shared" si="3"/>
        <v>4005830</v>
      </c>
      <c r="G8" s="574">
        <f t="shared" si="1"/>
        <v>45809</v>
      </c>
      <c r="H8" s="574">
        <f t="shared" si="2"/>
        <v>45839</v>
      </c>
      <c r="I8" s="578">
        <f t="shared" si="4"/>
        <v>22485495</v>
      </c>
    </row>
    <row r="9" ht="30.0" customHeight="1">
      <c r="A9" s="568">
        <v>7.0</v>
      </c>
      <c r="B9" s="569">
        <f>SUMIFS(Income!J:J,Income!B:B,"&gt;="&amp;G9,Income!B:B,"&lt;"&amp;H9)</f>
        <v>7460000</v>
      </c>
      <c r="C9" s="570">
        <f>SUMIFS(Expense!J:J,Expense!B:B,"&gt;="&amp;G9,Expense!B:B,"&lt;"&amp;H9)</f>
        <v>9743833</v>
      </c>
      <c r="D9" s="571">
        <f>SUMIFS('الرواتب'!N:N,'الرواتب'!O:O,"&gt;="&amp;G9,'الرواتب'!O:O,"&lt;"&amp;H9)</f>
        <v>6378000</v>
      </c>
      <c r="E9" s="572">
        <f>SUMIFS('القروض و التسديد'!B:B,'القروض و التسديد'!C:C,"&gt;="&amp;G9,'القروض و التسديد'!C:C,"&lt;"&amp;H9)</f>
        <v>9951000</v>
      </c>
      <c r="F9" s="573">
        <f t="shared" si="3"/>
        <v>-4656003</v>
      </c>
      <c r="G9" s="574">
        <f t="shared" si="1"/>
        <v>45839</v>
      </c>
      <c r="H9" s="574">
        <f t="shared" si="2"/>
        <v>45870</v>
      </c>
      <c r="I9" s="578">
        <f t="shared" si="4"/>
        <v>17829492</v>
      </c>
    </row>
    <row r="10" ht="30.0" customHeight="1">
      <c r="A10" s="568">
        <v>8.0</v>
      </c>
      <c r="B10" s="569">
        <f>SUMIFS(Income!J:J,Income!B:B,"&gt;="&amp;G10,Income!B:B,"&lt;"&amp;H10)</f>
        <v>5050000</v>
      </c>
      <c r="C10" s="570">
        <f>SUMIFS(Expense!J:J,Expense!B:B,"&gt;="&amp;G10,Expense!B:B,"&lt;"&amp;H10)</f>
        <v>8780833</v>
      </c>
      <c r="D10" s="571">
        <f>SUMIFS('الرواتب'!N:N,'الرواتب'!O:O,"&gt;="&amp;G10,'الرواتب'!O:O,"&lt;"&amp;H10)</f>
        <v>4257000</v>
      </c>
      <c r="E10" s="572">
        <f>SUMIFS('القروض و التسديد'!B:B,'القروض و التسديد'!C:C,"&gt;="&amp;G10,'القروض و التسديد'!C:C,"&lt;"&amp;H10)</f>
        <v>1514000</v>
      </c>
      <c r="F10" s="573">
        <f t="shared" si="3"/>
        <v>-12643836</v>
      </c>
      <c r="G10" s="574">
        <f t="shared" si="1"/>
        <v>45870</v>
      </c>
      <c r="H10" s="574">
        <f t="shared" si="2"/>
        <v>45901</v>
      </c>
      <c r="I10" s="578">
        <f t="shared" si="4"/>
        <v>5185656</v>
      </c>
    </row>
    <row r="11" ht="30.0" customHeight="1">
      <c r="A11" s="568">
        <v>9.0</v>
      </c>
      <c r="B11" s="569">
        <f>SUMIFS(Income!J:J,Income!B:B,"&gt;="&amp;G11,Income!B:B,"&lt;"&amp;H11)</f>
        <v>45778000</v>
      </c>
      <c r="C11" s="570">
        <f>SUMIFS(Expense!J:J,Expense!B:B,"&gt;="&amp;G11,Expense!B:B,"&lt;"&amp;H11)</f>
        <v>30824333</v>
      </c>
      <c r="D11" s="571">
        <f>SUMIFS('الرواتب'!N:N,'الرواتب'!O:O,"&gt;="&amp;G11,'الرواتب'!O:O,"&lt;"&amp;H11)</f>
        <v>4449918.595</v>
      </c>
      <c r="E11" s="572">
        <f>SUMIFS('القروض و التسديد'!B:B,'القروض و التسديد'!C:C,"&gt;="&amp;G11,'القروض و التسديد'!C:C,"&lt;"&amp;H11)</f>
        <v>2525000</v>
      </c>
      <c r="F11" s="573">
        <f t="shared" si="3"/>
        <v>-2140087.595</v>
      </c>
      <c r="G11" s="574">
        <f t="shared" si="1"/>
        <v>45901</v>
      </c>
      <c r="H11" s="574">
        <f t="shared" si="2"/>
        <v>45931</v>
      </c>
      <c r="I11" s="578">
        <f t="shared" si="4"/>
        <v>3045568.405</v>
      </c>
    </row>
    <row r="12" ht="30.0" customHeight="1">
      <c r="A12" s="568">
        <v>10.0</v>
      </c>
      <c r="B12" s="569">
        <f>SUMIFS(Income!J:J,Income!B:B,"&gt;="&amp;G12,Income!B:B,"&lt;"&amp;H12)</f>
        <v>14712000</v>
      </c>
      <c r="C12" s="570">
        <f>SUMIFS(Expense!J:J,Expense!B:B,"&gt;="&amp;G12,Expense!B:B,"&lt;"&amp;H12)</f>
        <v>8302333</v>
      </c>
      <c r="D12" s="571">
        <f>SUMIFS('الرواتب'!N:N,'الرواتب'!O:O,"&gt;="&amp;G12,'الرواتب'!O:O,"&lt;"&amp;H12)</f>
        <v>3719036</v>
      </c>
      <c r="E12" s="572">
        <f>SUMIFS('القروض و التسديد'!B:B,'القروض و التسديد'!C:C,"&gt;="&amp;G12,'القروض و التسديد'!C:C,"&lt;"&amp;H12)</f>
        <v>7200000</v>
      </c>
      <c r="F12" s="573">
        <f t="shared" si="3"/>
        <v>550543.4048</v>
      </c>
      <c r="G12" s="574">
        <f t="shared" si="1"/>
        <v>45931</v>
      </c>
      <c r="H12" s="574">
        <f t="shared" si="2"/>
        <v>45962</v>
      </c>
      <c r="I12" s="578">
        <f t="shared" si="4"/>
        <v>3596111.81</v>
      </c>
    </row>
    <row r="13" ht="30.0" customHeight="1">
      <c r="A13" s="568">
        <v>11.0</v>
      </c>
      <c r="B13" s="569">
        <f>SUMIFS(Income!J:J,Income!B:B,"&gt;="&amp;G13,Income!B:B,"&lt;"&amp;H13)</f>
        <v>26341000</v>
      </c>
      <c r="C13" s="570">
        <f>SUMIFS(Expense!J:J,Expense!B:B,"&gt;="&amp;G13,Expense!B:B,"&lt;"&amp;H13)</f>
        <v>11625583</v>
      </c>
      <c r="D13" s="571">
        <f>SUMIFS('الرواتب'!N:N,'الرواتب'!O:O,"&gt;="&amp;G13,'الرواتب'!O:O,"&lt;"&amp;H13)</f>
        <v>2760604</v>
      </c>
      <c r="E13" s="572">
        <f>SUMIFS('القروض و التسديد'!B:B,'القروض و التسديد'!C:C,"&gt;="&amp;G13,'القروض و التسديد'!C:C,"&lt;"&amp;H13)</f>
        <v>3000000</v>
      </c>
      <c r="F13" s="573">
        <f t="shared" si="3"/>
        <v>12505356.4</v>
      </c>
      <c r="G13" s="574">
        <f t="shared" si="1"/>
        <v>45962</v>
      </c>
      <c r="H13" s="574">
        <f t="shared" si="2"/>
        <v>45992</v>
      </c>
      <c r="I13" s="578">
        <f t="shared" si="4"/>
        <v>16101468.21</v>
      </c>
    </row>
    <row r="14" ht="30.0" customHeight="1">
      <c r="A14" s="568">
        <v>12.0</v>
      </c>
      <c r="B14" s="569">
        <f>SUMIFS(Income!J:J,Income!B:B,"&gt;="&amp;G14,Income!B:B,"&lt;"&amp;H14)</f>
        <v>73085000</v>
      </c>
      <c r="C14" s="570">
        <f>SUMIFS(Expense!J:J,Expense!B:B,"&gt;="&amp;G14,Expense!B:B,"&lt;"&amp;H14)</f>
        <v>21854000</v>
      </c>
      <c r="D14" s="571">
        <f>SUMIFS('الرواتب'!N:N,'الرواتب'!O:O,"&gt;="&amp;G14,'الرواتب'!O:O,"&lt;"&amp;H14)</f>
        <v>4066000</v>
      </c>
      <c r="E14" s="572">
        <f>SUMIFS('القروض و التسديد'!B:B,'القروض و التسديد'!C:C,"&gt;="&amp;G14,'القروض و التسديد'!C:C,"&lt;"&amp;H14)</f>
        <v>6469000</v>
      </c>
      <c r="F14" s="573">
        <f t="shared" si="3"/>
        <v>59670356.4</v>
      </c>
      <c r="G14" s="574">
        <f t="shared" si="1"/>
        <v>45992</v>
      </c>
      <c r="H14" s="574">
        <f t="shared" si="2"/>
        <v>46023</v>
      </c>
      <c r="I14" s="578">
        <f t="shared" si="4"/>
        <v>75771824.62</v>
      </c>
    </row>
    <row r="15" ht="30.0" customHeight="1">
      <c r="A15" s="561"/>
      <c r="B15" s="567"/>
      <c r="C15" s="567"/>
      <c r="D15" s="567"/>
      <c r="E15" s="567"/>
      <c r="F15" s="579" t="s">
        <v>2541</v>
      </c>
      <c r="G15" s="580"/>
      <c r="H15" s="579" t="s">
        <v>2542</v>
      </c>
      <c r="I15" s="579" t="s">
        <v>2543</v>
      </c>
    </row>
    <row r="16" ht="29.25" customHeight="1">
      <c r="A16" s="581" t="s">
        <v>2544</v>
      </c>
      <c r="B16" s="582">
        <f t="shared" ref="B16:E16" si="5">SUM(B3:B14)</f>
        <v>333366500</v>
      </c>
      <c r="C16" s="582">
        <f t="shared" si="5"/>
        <v>204777085</v>
      </c>
      <c r="D16" s="582">
        <f t="shared" si="5"/>
        <v>68919058.6</v>
      </c>
      <c r="E16" s="582">
        <f t="shared" si="5"/>
        <v>83066000</v>
      </c>
      <c r="F16" s="583">
        <f t="shared" ref="F16:F17" si="7">B16-(C16+D16)</f>
        <v>59670356.4</v>
      </c>
      <c r="G16" s="584" t="s">
        <v>2545</v>
      </c>
      <c r="H16" s="585">
        <f t="shared" ref="H16:H17" si="8">B16-(C16+D16+E16)</f>
        <v>-23395643.6</v>
      </c>
      <c r="I16" s="578">
        <f>SUM('التقرير السنوي'!$I$3:$I$14)</f>
        <v>191019531</v>
      </c>
    </row>
    <row r="17" ht="28.5" customHeight="1">
      <c r="A17" s="561"/>
      <c r="B17" s="582">
        <f>SUM(B3:B14)</f>
        <v>333366500</v>
      </c>
      <c r="C17" s="582">
        <f>SUM(C3:C14)+18438000</f>
        <v>223215085</v>
      </c>
      <c r="D17" s="582">
        <f t="shared" ref="D17:E17" si="6">SUM(D3:D15)</f>
        <v>68919058.6</v>
      </c>
      <c r="E17" s="582">
        <f t="shared" si="6"/>
        <v>83066000</v>
      </c>
      <c r="F17" s="583">
        <f t="shared" si="7"/>
        <v>41232356.4</v>
      </c>
      <c r="G17" s="584" t="s">
        <v>2546</v>
      </c>
      <c r="H17" s="585">
        <f t="shared" si="8"/>
        <v>-41833643.6</v>
      </c>
      <c r="I17" s="586"/>
    </row>
    <row r="18" ht="27.75" customHeight="1">
      <c r="A18" s="561"/>
      <c r="B18" s="587">
        <f t="shared" ref="B18:B19" si="9">IF(B16=0,0,(H16/B16))</f>
        <v>-0.07017994788</v>
      </c>
      <c r="C18" s="587">
        <f t="shared" ref="C18:C19" si="10">IF(B16=0,0,(I16/B16))</f>
        <v>0.5730015795</v>
      </c>
      <c r="D18" s="588">
        <f t="shared" ref="D18:D19" si="11">IF(B16=0,0,(D16/B16))</f>
        <v>0.2067366055</v>
      </c>
      <c r="E18" s="587">
        <f t="shared" ref="E18:E19" si="12">IF(B16=0,0,(E16/B16))</f>
        <v>0.2491732073</v>
      </c>
      <c r="F18" s="588">
        <f t="shared" ref="F18:F19" si="13">IF(B16=0,0,(F16/B16))</f>
        <v>0.1789932594</v>
      </c>
      <c r="G18" s="561"/>
      <c r="H18" s="589"/>
      <c r="I18" s="579" t="s">
        <v>2547</v>
      </c>
    </row>
    <row r="19" ht="27.75" customHeight="1">
      <c r="A19" s="561"/>
      <c r="B19" s="587">
        <f t="shared" si="9"/>
        <v>-0.1254884447</v>
      </c>
      <c r="C19" s="587">
        <f t="shared" si="10"/>
        <v>0</v>
      </c>
      <c r="D19" s="588">
        <f t="shared" si="11"/>
        <v>0.2067366055</v>
      </c>
      <c r="E19" s="587">
        <f t="shared" si="12"/>
        <v>0.2491732073</v>
      </c>
      <c r="F19" s="588">
        <f t="shared" si="13"/>
        <v>0.1236847626</v>
      </c>
      <c r="G19" s="590"/>
      <c r="H19" s="591"/>
      <c r="I19" s="579" t="s">
        <v>2548</v>
      </c>
    </row>
  </sheetData>
  <conditionalFormatting sqref="F16:F17">
    <cfRule type="cellIs" dxfId="10" priority="1" operator="greaterThan">
      <formula>0</formula>
    </cfRule>
  </conditionalFormatting>
  <conditionalFormatting sqref="F16:F17">
    <cfRule type="cellIs" dxfId="11" priority="2" operator="lessThan">
      <formula>0</formula>
    </cfRule>
  </conditionalFormatting>
  <conditionalFormatting sqref="B3:I14">
    <cfRule type="cellIs" dxfId="11" priority="3" operator="lessThan">
      <formula>0</formula>
    </cfRule>
  </conditionalFormatting>
  <conditionalFormatting sqref="B3:I14">
    <cfRule type="cellIs" dxfId="16" priority="4" operator="greaterThanOrEqual">
      <formula>25000000</formula>
    </cfRule>
  </conditionalFormatting>
  <conditionalFormatting sqref="B3:I14">
    <cfRule type="cellIs" dxfId="10" priority="5" operator="greaterThan">
      <formula>1000000</formula>
    </cfRule>
  </conditionalFormatting>
  <conditionalFormatting sqref="B3:I14">
    <cfRule type="cellIs" dxfId="17" priority="6" operator="lessThan">
      <formula>500000</formula>
    </cfRule>
  </conditionalFormatting>
  <conditionalFormatting sqref="F6 D13:D14">
    <cfRule type="cellIs" dxfId="18" priority="7" operator="lessThanOrEqual">
      <formula>1000000</formula>
    </cfRule>
  </conditionalFormatting>
  <conditionalFormatting sqref="D14 I14">
    <cfRule type="cellIs" dxfId="19" priority="8" operator="notBetween">
      <formula>14</formula>
      <formula>12</formula>
    </cfRule>
  </conditionalFormatting>
  <conditionalFormatting sqref="H16:I19 B18:F19 G19">
    <cfRule type="cellIs" dxfId="20" priority="9" operator="lessThan">
      <formula>0</formula>
    </cfRule>
  </conditionalFormatting>
  <conditionalFormatting sqref="H16:I19 B18:F19 G19">
    <cfRule type="cellIs" dxfId="21" priority="10" operator="greaterThan">
      <formula>0</formula>
    </cfRule>
  </conditionalFormatting>
  <conditionalFormatting sqref="B3:I15">
    <cfRule type="timePeriod" dxfId="22" priority="11" timePeriod="today"/>
  </conditionalFormatting>
  <printOptions gridLines="1" horizontalCentered="1"/>
  <pageMargins bottom="0.75" footer="0.0" header="0.0" left="0.25" right="0.25" top="0.75"/>
  <pageSetup fitToHeight="0" paperSize="9" orientation="landscape" pageOrder="overThenDown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18.71"/>
    <col customWidth="1" min="2" max="4" width="14.29"/>
  </cols>
  <sheetData>
    <row r="1" ht="23.25" customHeight="1">
      <c r="A1" s="592" t="s">
        <v>2549</v>
      </c>
      <c r="B1" s="593">
        <f>IF(B2="","",SUMIFS('الرواتب'!I:I,'الرواتب'!A:A,B2,'الرواتب'!O:O,"&gt;="&amp;DATE(B4,1,1),'الرواتب'!O:O,"&lt;="&amp;DATE(B4,12,31)))</f>
        <v>1292340.426</v>
      </c>
      <c r="C1" s="594" t="s">
        <v>2550</v>
      </c>
      <c r="D1" s="593">
        <f>IF(B2="","",SUMIFS('الرواتب'!I:I,'الرواتب'!A:A,B2,'الرواتب'!O:O,"&gt;="&amp;DATE(B4,B3,1),'الرواتب'!O:O,"&lt;="&amp;EOMONTH(DATE(B4,B3,1),0)))</f>
        <v>0</v>
      </c>
      <c r="E1" s="595"/>
      <c r="F1" s="595"/>
      <c r="G1" s="595"/>
      <c r="H1" s="595"/>
      <c r="I1" s="595"/>
      <c r="J1" s="595"/>
      <c r="K1" s="595"/>
      <c r="L1" s="595"/>
      <c r="M1" s="595"/>
      <c r="N1" s="595"/>
      <c r="O1" s="595"/>
      <c r="P1" s="595"/>
      <c r="Q1" s="595"/>
      <c r="R1" s="595"/>
      <c r="S1" s="595"/>
      <c r="T1" s="595"/>
      <c r="U1" s="595"/>
      <c r="V1" s="595"/>
      <c r="W1" s="595"/>
      <c r="X1" s="595"/>
      <c r="Y1" s="595"/>
      <c r="Z1" s="595"/>
    </row>
    <row r="2" ht="23.25" customHeight="1">
      <c r="A2" s="594" t="s">
        <v>2</v>
      </c>
      <c r="B2" s="596" t="s">
        <v>2377</v>
      </c>
      <c r="C2" s="597">
        <f>IFERROR(__xludf.DUMMYFUNCTION("FILTER({'الرواتب'!O:O , 'الرواتب'!I:I} ,'الرواتب'!A:A  = $B$2)"),45999.0)</f>
        <v>45999</v>
      </c>
      <c r="D2" s="598">
        <f>IFERROR(__xludf.DUMMYFUNCTION("""COMPUTED_VALUE"""),1292340.4255327755)</f>
        <v>1292340.426</v>
      </c>
      <c r="E2" s="595"/>
      <c r="F2" s="595"/>
      <c r="G2" s="595"/>
      <c r="H2" s="595"/>
      <c r="I2" s="595"/>
      <c r="J2" s="595"/>
      <c r="K2" s="595"/>
      <c r="L2" s="595"/>
      <c r="M2" s="595"/>
      <c r="N2" s="595"/>
      <c r="O2" s="595"/>
      <c r="P2" s="595"/>
      <c r="Q2" s="595"/>
      <c r="R2" s="595"/>
      <c r="S2" s="595"/>
      <c r="T2" s="595"/>
      <c r="U2" s="595"/>
      <c r="V2" s="595"/>
      <c r="W2" s="595"/>
      <c r="X2" s="595"/>
      <c r="Y2" s="595"/>
      <c r="Z2" s="595"/>
    </row>
    <row r="3" ht="23.25" customHeight="1">
      <c r="A3" s="594" t="s">
        <v>2551</v>
      </c>
      <c r="B3" s="599">
        <v>10.0</v>
      </c>
      <c r="C3" s="597"/>
      <c r="D3" s="598"/>
      <c r="E3" s="600"/>
      <c r="F3" s="601">
        <f>IF(B2="","",SUMIFS('سلف الموضفين'!C:C,'سلف الموضفين'!F:F,B2,'سلف الموضفين'!A:A,"&gt;="&amp;DATE(B3,B4,1),'سلف الموضفين'!A:A,"&lt;="&amp;EOMONTH(DATE(B3,B4,1),0)))</f>
        <v>0</v>
      </c>
      <c r="G3" s="595"/>
      <c r="H3" s="595"/>
      <c r="I3" s="595"/>
      <c r="J3" s="595"/>
      <c r="K3" s="595"/>
      <c r="L3" s="595"/>
      <c r="M3" s="595"/>
      <c r="N3" s="595"/>
      <c r="O3" s="595"/>
      <c r="P3" s="595"/>
      <c r="Q3" s="595"/>
      <c r="R3" s="595"/>
      <c r="S3" s="595"/>
      <c r="T3" s="595"/>
      <c r="U3" s="595"/>
      <c r="V3" s="595"/>
      <c r="W3" s="595"/>
      <c r="X3" s="595"/>
      <c r="Y3" s="595"/>
      <c r="Z3" s="595"/>
    </row>
    <row r="4" ht="23.25" customHeight="1">
      <c r="A4" s="594" t="s">
        <v>2540</v>
      </c>
      <c r="B4" s="599">
        <v>2025.0</v>
      </c>
      <c r="C4" s="597"/>
      <c r="D4" s="598"/>
      <c r="E4" s="602"/>
      <c r="F4" s="595"/>
      <c r="G4" s="595"/>
      <c r="H4" s="595"/>
      <c r="I4" s="595"/>
      <c r="J4" s="595"/>
      <c r="K4" s="595"/>
      <c r="L4" s="595"/>
      <c r="M4" s="595"/>
      <c r="N4" s="595"/>
      <c r="O4" s="595"/>
      <c r="P4" s="595"/>
      <c r="Q4" s="595"/>
      <c r="R4" s="595"/>
      <c r="S4" s="595"/>
      <c r="T4" s="595"/>
      <c r="U4" s="595"/>
      <c r="V4" s="595"/>
      <c r="W4" s="595"/>
      <c r="X4" s="595"/>
      <c r="Y4" s="595"/>
      <c r="Z4" s="595"/>
    </row>
    <row r="5" ht="23.25" customHeight="1">
      <c r="A5" s="594" t="s">
        <v>2552</v>
      </c>
      <c r="B5" s="603">
        <f>MAX(D2:D14)</f>
        <v>1292340.426</v>
      </c>
      <c r="C5" s="597"/>
      <c r="D5" s="598"/>
      <c r="E5" s="602"/>
      <c r="F5" s="595"/>
      <c r="G5" s="595"/>
      <c r="H5" s="595"/>
      <c r="I5" s="595"/>
      <c r="J5" s="595"/>
      <c r="K5" s="595"/>
      <c r="L5" s="595"/>
      <c r="M5" s="595"/>
      <c r="N5" s="595"/>
      <c r="O5" s="595"/>
      <c r="P5" s="595"/>
      <c r="Q5" s="595"/>
      <c r="R5" s="595"/>
      <c r="S5" s="595"/>
      <c r="T5" s="595"/>
      <c r="U5" s="595"/>
      <c r="V5" s="595"/>
      <c r="W5" s="595"/>
      <c r="X5" s="595"/>
      <c r="Y5" s="595"/>
      <c r="Z5" s="595"/>
    </row>
    <row r="6" ht="23.25" customHeight="1">
      <c r="A6" s="594" t="s">
        <v>2553</v>
      </c>
      <c r="B6" s="603">
        <f>MIN(D2:D14)</f>
        <v>1292340.426</v>
      </c>
      <c r="C6" s="604"/>
      <c r="D6" s="604"/>
      <c r="E6" s="595"/>
      <c r="F6" s="595"/>
      <c r="G6" s="595"/>
      <c r="H6" s="595"/>
      <c r="I6" s="595"/>
      <c r="J6" s="595"/>
      <c r="K6" s="595"/>
      <c r="L6" s="595"/>
      <c r="M6" s="595"/>
      <c r="N6" s="595"/>
      <c r="O6" s="595"/>
      <c r="P6" s="595"/>
      <c r="Q6" s="595"/>
      <c r="R6" s="595"/>
      <c r="S6" s="595"/>
      <c r="T6" s="595"/>
      <c r="U6" s="595"/>
      <c r="V6" s="595"/>
      <c r="W6" s="595"/>
      <c r="X6" s="595"/>
      <c r="Y6" s="595"/>
      <c r="Z6" s="595"/>
    </row>
    <row r="7" ht="23.25" customHeight="1">
      <c r="A7" s="604"/>
      <c r="B7" s="604"/>
      <c r="C7" s="604"/>
      <c r="D7" s="604"/>
      <c r="E7" s="595"/>
      <c r="F7" s="595"/>
      <c r="G7" s="595"/>
      <c r="H7" s="595"/>
      <c r="I7" s="595"/>
      <c r="J7" s="595"/>
      <c r="K7" s="595"/>
      <c r="L7" s="595"/>
      <c r="M7" s="595"/>
      <c r="N7" s="595"/>
      <c r="O7" s="595"/>
      <c r="P7" s="595"/>
      <c r="Q7" s="595"/>
      <c r="R7" s="595"/>
      <c r="S7" s="595"/>
      <c r="T7" s="595"/>
      <c r="U7" s="595"/>
      <c r="V7" s="595"/>
      <c r="W7" s="595"/>
      <c r="X7" s="595"/>
      <c r="Y7" s="595"/>
      <c r="Z7" s="595"/>
    </row>
    <row r="8" ht="23.25" customHeight="1">
      <c r="A8" s="604"/>
      <c r="B8" s="604"/>
      <c r="C8" s="604"/>
      <c r="D8" s="604"/>
      <c r="E8" s="595"/>
      <c r="F8" s="595"/>
      <c r="G8" s="595"/>
      <c r="H8" s="595"/>
      <c r="I8" s="595"/>
      <c r="J8" s="595"/>
      <c r="K8" s="595"/>
      <c r="L8" s="595"/>
      <c r="M8" s="595"/>
      <c r="N8" s="595"/>
      <c r="O8" s="595"/>
      <c r="P8" s="595"/>
      <c r="Q8" s="595"/>
      <c r="R8" s="595"/>
      <c r="S8" s="595"/>
      <c r="T8" s="595"/>
      <c r="U8" s="595"/>
      <c r="V8" s="595"/>
      <c r="W8" s="595"/>
      <c r="X8" s="595"/>
      <c r="Y8" s="595"/>
      <c r="Z8" s="595"/>
    </row>
    <row r="9" ht="23.25" customHeight="1">
      <c r="A9" s="604"/>
      <c r="B9" s="604"/>
      <c r="C9" s="604"/>
      <c r="D9" s="604"/>
      <c r="E9" s="595"/>
      <c r="F9" s="595"/>
      <c r="G9" s="595"/>
      <c r="H9" s="595"/>
      <c r="I9" s="595"/>
      <c r="J9" s="595"/>
      <c r="K9" s="595"/>
      <c r="L9" s="595"/>
      <c r="M9" s="595"/>
      <c r="N9" s="595"/>
      <c r="O9" s="595"/>
      <c r="P9" s="595"/>
      <c r="Q9" s="595"/>
      <c r="R9" s="595"/>
      <c r="S9" s="595"/>
      <c r="T9" s="595"/>
      <c r="U9" s="595"/>
      <c r="V9" s="595"/>
      <c r="W9" s="595"/>
      <c r="X9" s="595"/>
      <c r="Y9" s="595"/>
      <c r="Z9" s="595"/>
    </row>
    <row r="10" ht="23.25" customHeight="1">
      <c r="A10" s="604"/>
      <c r="B10" s="604"/>
      <c r="C10" s="604"/>
      <c r="D10" s="604"/>
      <c r="E10" s="595"/>
      <c r="F10" s="595"/>
      <c r="G10" s="595"/>
      <c r="H10" s="595"/>
      <c r="I10" s="595"/>
      <c r="J10" s="595"/>
      <c r="K10" s="595"/>
      <c r="L10" s="595"/>
      <c r="M10" s="595"/>
      <c r="N10" s="595"/>
      <c r="O10" s="595"/>
      <c r="P10" s="595"/>
      <c r="Q10" s="595"/>
      <c r="R10" s="595"/>
      <c r="S10" s="595"/>
      <c r="T10" s="595"/>
      <c r="U10" s="595"/>
      <c r="V10" s="595"/>
      <c r="W10" s="595"/>
      <c r="X10" s="595"/>
      <c r="Y10" s="595"/>
      <c r="Z10" s="595"/>
    </row>
    <row r="11" ht="23.25" customHeight="1">
      <c r="A11" s="594" t="s">
        <v>2511</v>
      </c>
      <c r="B11" s="593">
        <f>IF(B4="","",SUMIFS('الرواتب'!N:N,'الرواتب'!O:O,"&gt;="&amp;DATE(B4,1,1),'الرواتب'!O:O,"&lt;="&amp;DATE(B4,12,31)))</f>
        <v>68919058.6</v>
      </c>
      <c r="C11" s="604"/>
      <c r="D11" s="604"/>
      <c r="E11" s="595"/>
      <c r="F11" s="595"/>
      <c r="G11" s="595"/>
      <c r="H11" s="595"/>
      <c r="I11" s="595"/>
      <c r="J11" s="595"/>
      <c r="K11" s="595"/>
      <c r="L11" s="595"/>
      <c r="M11" s="595"/>
      <c r="N11" s="595"/>
      <c r="O11" s="595"/>
      <c r="P11" s="595"/>
      <c r="Q11" s="595"/>
      <c r="R11" s="595"/>
      <c r="S11" s="595"/>
      <c r="T11" s="595"/>
      <c r="U11" s="595"/>
      <c r="V11" s="595"/>
      <c r="W11" s="595"/>
      <c r="X11" s="595"/>
      <c r="Y11" s="595"/>
      <c r="Z11" s="595"/>
    </row>
    <row r="12" ht="23.25" customHeight="1">
      <c r="A12" s="605"/>
      <c r="B12" s="605"/>
      <c r="C12" s="605"/>
      <c r="D12" s="605"/>
    </row>
    <row r="13" ht="23.25" customHeight="1">
      <c r="A13" s="605"/>
      <c r="B13" s="605"/>
      <c r="C13" s="605"/>
      <c r="D13" s="605"/>
    </row>
    <row r="14" ht="23.25" customHeight="1">
      <c r="A14" s="605"/>
      <c r="B14" s="605"/>
      <c r="C14" s="605"/>
      <c r="D14" s="605"/>
    </row>
    <row r="15" ht="23.25" customHeight="1">
      <c r="A15" s="605"/>
      <c r="B15" s="605"/>
      <c r="C15" s="605"/>
      <c r="D15" s="605"/>
    </row>
    <row r="16" ht="23.25" customHeight="1">
      <c r="A16" s="605"/>
      <c r="B16" s="605"/>
      <c r="C16" s="605"/>
      <c r="D16" s="605"/>
    </row>
    <row r="17" ht="23.25" customHeight="1">
      <c r="A17" s="605"/>
      <c r="B17" s="605"/>
      <c r="C17" s="605"/>
      <c r="D17" s="605"/>
    </row>
    <row r="18" ht="23.25" customHeight="1">
      <c r="A18" s="605"/>
      <c r="B18" s="605"/>
      <c r="C18" s="605"/>
      <c r="D18" s="605"/>
    </row>
    <row r="19" ht="23.25" customHeight="1">
      <c r="A19" s="605"/>
      <c r="B19" s="605"/>
      <c r="C19" s="605"/>
      <c r="D19" s="605"/>
    </row>
    <row r="20" ht="23.25" customHeight="1">
      <c r="A20" s="605"/>
      <c r="B20" s="605"/>
      <c r="C20" s="605"/>
      <c r="D20" s="605"/>
    </row>
    <row r="21" ht="23.25" customHeight="1">
      <c r="A21" s="605"/>
      <c r="B21" s="605"/>
      <c r="C21" s="605"/>
      <c r="D21" s="605"/>
    </row>
    <row r="22" ht="23.25" customHeight="1">
      <c r="A22" s="605"/>
      <c r="B22" s="605"/>
      <c r="C22" s="605"/>
      <c r="D22" s="605"/>
    </row>
    <row r="23" ht="23.25" customHeight="1">
      <c r="A23" s="605"/>
      <c r="B23" s="605"/>
      <c r="C23" s="605"/>
      <c r="D23" s="605"/>
    </row>
    <row r="24" ht="23.25" customHeight="1">
      <c r="A24" s="605"/>
      <c r="B24" s="605"/>
      <c r="C24" s="605"/>
      <c r="D24" s="605"/>
    </row>
    <row r="25" ht="23.25" customHeight="1">
      <c r="A25" s="605"/>
      <c r="B25" s="605"/>
      <c r="C25" s="605"/>
      <c r="D25" s="605"/>
    </row>
    <row r="26" ht="23.25" customHeight="1">
      <c r="A26" s="605"/>
      <c r="B26" s="605"/>
      <c r="C26" s="605"/>
      <c r="D26" s="605"/>
    </row>
    <row r="27" ht="23.25" customHeight="1">
      <c r="A27" s="605"/>
      <c r="B27" s="605"/>
      <c r="C27" s="605"/>
      <c r="D27" s="605"/>
    </row>
    <row r="28" ht="23.25" customHeight="1">
      <c r="A28" s="605"/>
      <c r="B28" s="605"/>
      <c r="C28" s="605"/>
      <c r="D28" s="605"/>
    </row>
    <row r="29" ht="23.25" customHeight="1">
      <c r="A29" s="605"/>
      <c r="B29" s="605"/>
      <c r="C29" s="605"/>
      <c r="D29" s="605"/>
    </row>
    <row r="30" ht="23.25" customHeight="1">
      <c r="A30" s="605"/>
      <c r="B30" s="605"/>
      <c r="C30" s="605"/>
      <c r="D30" s="605"/>
    </row>
    <row r="31" ht="23.25" customHeight="1">
      <c r="A31" s="605"/>
      <c r="B31" s="605"/>
      <c r="C31" s="605"/>
      <c r="D31" s="605"/>
    </row>
    <row r="32" ht="23.25" customHeight="1">
      <c r="A32" s="605"/>
      <c r="B32" s="605"/>
      <c r="C32" s="605"/>
      <c r="D32" s="605"/>
    </row>
    <row r="33" ht="23.25" customHeight="1">
      <c r="A33" s="605"/>
      <c r="B33" s="605"/>
      <c r="C33" s="605"/>
      <c r="D33" s="605"/>
    </row>
    <row r="34" ht="23.25" customHeight="1">
      <c r="A34" s="605"/>
      <c r="B34" s="605"/>
      <c r="C34" s="605"/>
      <c r="D34" s="605"/>
    </row>
    <row r="35" ht="23.25" customHeight="1">
      <c r="A35" s="605"/>
      <c r="B35" s="605"/>
      <c r="C35" s="605"/>
      <c r="D35" s="605"/>
    </row>
    <row r="36" ht="23.25" customHeight="1">
      <c r="A36" s="605"/>
      <c r="B36" s="605"/>
      <c r="C36" s="605"/>
      <c r="D36" s="605"/>
    </row>
    <row r="37" ht="23.25" customHeight="1">
      <c r="A37" s="605"/>
      <c r="B37" s="605"/>
      <c r="C37" s="605"/>
      <c r="D37" s="605"/>
    </row>
    <row r="38" ht="23.25" customHeight="1">
      <c r="A38" s="605"/>
      <c r="B38" s="605"/>
      <c r="C38" s="605"/>
      <c r="D38" s="605"/>
    </row>
    <row r="39" ht="23.25" customHeight="1">
      <c r="A39" s="605"/>
      <c r="B39" s="605"/>
      <c r="C39" s="605"/>
      <c r="D39" s="605"/>
    </row>
    <row r="40" ht="23.25" customHeight="1">
      <c r="A40" s="605"/>
      <c r="B40" s="605"/>
      <c r="C40" s="605"/>
      <c r="D40" s="605"/>
    </row>
    <row r="41" ht="23.25" customHeight="1">
      <c r="A41" s="605"/>
      <c r="B41" s="605"/>
      <c r="C41" s="605"/>
      <c r="D41" s="605"/>
    </row>
    <row r="42" ht="23.25" customHeight="1">
      <c r="A42" s="605"/>
      <c r="B42" s="605"/>
      <c r="C42" s="605"/>
      <c r="D42" s="605"/>
    </row>
    <row r="43" ht="23.25" customHeight="1">
      <c r="A43" s="605"/>
      <c r="B43" s="605"/>
      <c r="C43" s="605"/>
      <c r="D43" s="605"/>
    </row>
    <row r="44" ht="23.25" customHeight="1">
      <c r="A44" s="605"/>
      <c r="B44" s="605"/>
      <c r="C44" s="605"/>
      <c r="D44" s="605"/>
    </row>
    <row r="45" ht="23.25" customHeight="1">
      <c r="A45" s="605"/>
      <c r="B45" s="605"/>
      <c r="C45" s="605"/>
      <c r="D45" s="605"/>
    </row>
    <row r="46" ht="23.25" customHeight="1">
      <c r="A46" s="605"/>
      <c r="B46" s="605"/>
      <c r="C46" s="605"/>
      <c r="D46" s="605"/>
    </row>
    <row r="47" ht="23.25" customHeight="1">
      <c r="A47" s="605"/>
      <c r="B47" s="605"/>
      <c r="C47" s="605"/>
      <c r="D47" s="605"/>
    </row>
    <row r="48" ht="23.25" customHeight="1">
      <c r="A48" s="605"/>
      <c r="B48" s="605"/>
      <c r="C48" s="605"/>
      <c r="D48" s="605"/>
    </row>
    <row r="49" ht="23.25" customHeight="1">
      <c r="A49" s="605"/>
      <c r="B49" s="605"/>
      <c r="C49" s="605"/>
      <c r="D49" s="605"/>
    </row>
    <row r="50" ht="23.25" customHeight="1">
      <c r="A50" s="605"/>
      <c r="B50" s="605"/>
      <c r="C50" s="605"/>
      <c r="D50" s="605"/>
    </row>
    <row r="51" ht="23.25" customHeight="1">
      <c r="A51" s="605"/>
      <c r="B51" s="605"/>
      <c r="C51" s="605"/>
      <c r="D51" s="605"/>
    </row>
    <row r="52" ht="23.25" customHeight="1">
      <c r="A52" s="605"/>
      <c r="B52" s="605"/>
      <c r="C52" s="605"/>
      <c r="D52" s="605"/>
    </row>
    <row r="53" ht="23.25" customHeight="1">
      <c r="A53" s="605"/>
      <c r="B53" s="605"/>
      <c r="C53" s="605"/>
      <c r="D53" s="605"/>
    </row>
    <row r="54" ht="23.25" customHeight="1">
      <c r="A54" s="605"/>
      <c r="B54" s="605"/>
      <c r="C54" s="605"/>
      <c r="D54" s="605"/>
    </row>
    <row r="55" ht="23.25" customHeight="1">
      <c r="A55" s="605"/>
      <c r="B55" s="605"/>
      <c r="C55" s="605"/>
      <c r="D55" s="605"/>
    </row>
    <row r="56" ht="23.25" customHeight="1">
      <c r="A56" s="605"/>
      <c r="B56" s="605"/>
      <c r="C56" s="605"/>
      <c r="D56" s="605"/>
    </row>
    <row r="57" ht="23.25" customHeight="1">
      <c r="A57" s="605"/>
      <c r="B57" s="605"/>
      <c r="C57" s="605"/>
      <c r="D57" s="605"/>
    </row>
    <row r="58" ht="23.25" customHeight="1">
      <c r="A58" s="605"/>
      <c r="B58" s="605"/>
      <c r="C58" s="605"/>
      <c r="D58" s="605"/>
    </row>
    <row r="59" ht="23.25" customHeight="1">
      <c r="A59" s="605"/>
      <c r="B59" s="605"/>
      <c r="C59" s="605"/>
      <c r="D59" s="605"/>
    </row>
    <row r="60" ht="23.25" customHeight="1">
      <c r="A60" s="605"/>
      <c r="B60" s="605"/>
      <c r="C60" s="605"/>
      <c r="D60" s="605"/>
    </row>
    <row r="61" ht="23.25" customHeight="1">
      <c r="A61" s="605"/>
      <c r="B61" s="605"/>
      <c r="C61" s="605"/>
      <c r="D61" s="605"/>
    </row>
    <row r="62" ht="23.25" customHeight="1">
      <c r="A62" s="605"/>
      <c r="B62" s="605"/>
      <c r="C62" s="605"/>
      <c r="D62" s="605"/>
    </row>
    <row r="63" ht="23.25" customHeight="1">
      <c r="A63" s="605"/>
      <c r="B63" s="605"/>
      <c r="C63" s="605"/>
      <c r="D63" s="605"/>
    </row>
    <row r="64">
      <c r="A64" s="605"/>
      <c r="B64" s="605"/>
      <c r="C64" s="605"/>
      <c r="D64" s="605"/>
    </row>
    <row r="65">
      <c r="A65" s="605"/>
      <c r="B65" s="605"/>
      <c r="C65" s="605"/>
      <c r="D65" s="605"/>
    </row>
    <row r="66">
      <c r="A66" s="605"/>
      <c r="B66" s="605"/>
      <c r="C66" s="605"/>
      <c r="D66" s="605"/>
    </row>
    <row r="67">
      <c r="A67" s="605"/>
      <c r="B67" s="605"/>
      <c r="C67" s="605"/>
      <c r="D67" s="605"/>
    </row>
    <row r="68">
      <c r="A68" s="605"/>
      <c r="B68" s="605"/>
      <c r="C68" s="605"/>
      <c r="D68" s="605"/>
    </row>
    <row r="69">
      <c r="A69" s="605"/>
      <c r="B69" s="605"/>
      <c r="C69" s="605"/>
      <c r="D69" s="605"/>
    </row>
    <row r="70">
      <c r="A70" s="605"/>
      <c r="B70" s="605"/>
      <c r="C70" s="605"/>
      <c r="D70" s="605"/>
    </row>
    <row r="71">
      <c r="A71" s="605"/>
      <c r="B71" s="605"/>
      <c r="C71" s="605"/>
      <c r="D71" s="605"/>
    </row>
    <row r="72">
      <c r="A72" s="605"/>
      <c r="B72" s="605"/>
      <c r="C72" s="605"/>
      <c r="D72" s="605"/>
    </row>
    <row r="73">
      <c r="A73" s="605"/>
      <c r="B73" s="605"/>
      <c r="C73" s="605"/>
      <c r="D73" s="605"/>
    </row>
    <row r="74">
      <c r="A74" s="605"/>
      <c r="B74" s="605"/>
      <c r="C74" s="605"/>
      <c r="D74" s="605"/>
    </row>
    <row r="75">
      <c r="A75" s="605"/>
      <c r="B75" s="605"/>
      <c r="C75" s="605"/>
      <c r="D75" s="605"/>
    </row>
    <row r="76">
      <c r="A76" s="605"/>
      <c r="B76" s="605"/>
      <c r="C76" s="605"/>
      <c r="D76" s="605"/>
    </row>
    <row r="77">
      <c r="A77" s="605"/>
      <c r="B77" s="605"/>
      <c r="C77" s="605"/>
      <c r="D77" s="605"/>
    </row>
    <row r="78">
      <c r="A78" s="605"/>
      <c r="B78" s="605"/>
      <c r="C78" s="605"/>
      <c r="D78" s="605"/>
    </row>
    <row r="79">
      <c r="A79" s="605"/>
      <c r="B79" s="605"/>
      <c r="C79" s="605"/>
      <c r="D79" s="605"/>
    </row>
    <row r="80">
      <c r="A80" s="605"/>
      <c r="B80" s="605"/>
      <c r="C80" s="605"/>
      <c r="D80" s="605"/>
    </row>
    <row r="81">
      <c r="A81" s="605"/>
      <c r="B81" s="605"/>
      <c r="C81" s="605"/>
      <c r="D81" s="605"/>
    </row>
    <row r="82">
      <c r="A82" s="605"/>
      <c r="B82" s="605"/>
      <c r="C82" s="605"/>
      <c r="D82" s="605"/>
    </row>
    <row r="83">
      <c r="A83" s="605"/>
      <c r="B83" s="605"/>
      <c r="C83" s="605"/>
      <c r="D83" s="605"/>
    </row>
    <row r="84">
      <c r="A84" s="605"/>
      <c r="B84" s="605"/>
      <c r="C84" s="605"/>
      <c r="D84" s="605"/>
    </row>
    <row r="85">
      <c r="A85" s="605"/>
      <c r="B85" s="605"/>
      <c r="C85" s="605"/>
      <c r="D85" s="605"/>
    </row>
    <row r="86">
      <c r="A86" s="605"/>
      <c r="B86" s="605"/>
      <c r="C86" s="605"/>
      <c r="D86" s="605"/>
    </row>
    <row r="87">
      <c r="A87" s="605"/>
      <c r="B87" s="605"/>
      <c r="C87" s="605"/>
      <c r="D87" s="605"/>
    </row>
    <row r="88">
      <c r="A88" s="605"/>
      <c r="B88" s="605"/>
      <c r="C88" s="605"/>
      <c r="D88" s="605"/>
    </row>
    <row r="89">
      <c r="A89" s="605"/>
      <c r="B89" s="605"/>
      <c r="C89" s="605"/>
      <c r="D89" s="605"/>
    </row>
    <row r="90">
      <c r="A90" s="605"/>
      <c r="B90" s="605"/>
      <c r="C90" s="605"/>
      <c r="D90" s="605"/>
    </row>
    <row r="91">
      <c r="A91" s="605"/>
      <c r="B91" s="605"/>
      <c r="C91" s="605"/>
      <c r="D91" s="605"/>
    </row>
    <row r="92">
      <c r="A92" s="605"/>
      <c r="B92" s="605"/>
      <c r="C92" s="605"/>
      <c r="D92" s="605"/>
    </row>
    <row r="93">
      <c r="A93" s="605"/>
      <c r="B93" s="605"/>
      <c r="C93" s="605"/>
      <c r="D93" s="605"/>
    </row>
    <row r="94">
      <c r="A94" s="605"/>
      <c r="B94" s="605"/>
      <c r="C94" s="605"/>
      <c r="D94" s="605"/>
    </row>
    <row r="95">
      <c r="A95" s="605"/>
      <c r="B95" s="605"/>
      <c r="C95" s="605"/>
      <c r="D95" s="605"/>
    </row>
    <row r="96">
      <c r="A96" s="605"/>
      <c r="B96" s="605"/>
      <c r="C96" s="605"/>
      <c r="D96" s="605"/>
    </row>
    <row r="97">
      <c r="A97" s="605"/>
      <c r="B97" s="605"/>
      <c r="C97" s="605"/>
      <c r="D97" s="605"/>
    </row>
    <row r="98">
      <c r="A98" s="605"/>
      <c r="B98" s="605"/>
      <c r="C98" s="605"/>
      <c r="D98" s="605"/>
    </row>
    <row r="99">
      <c r="A99" s="605"/>
      <c r="B99" s="605"/>
      <c r="C99" s="605"/>
      <c r="D99" s="605"/>
    </row>
    <row r="100">
      <c r="A100" s="605"/>
      <c r="B100" s="605"/>
      <c r="C100" s="605"/>
      <c r="D100" s="605"/>
    </row>
    <row r="101">
      <c r="A101" s="605"/>
      <c r="B101" s="605"/>
      <c r="C101" s="605"/>
      <c r="D101" s="605"/>
    </row>
    <row r="102">
      <c r="A102" s="605"/>
      <c r="B102" s="605"/>
      <c r="C102" s="605"/>
      <c r="D102" s="605"/>
    </row>
    <row r="103">
      <c r="A103" s="605"/>
      <c r="B103" s="605"/>
      <c r="C103" s="605"/>
      <c r="D103" s="605"/>
    </row>
    <row r="104">
      <c r="A104" s="605"/>
      <c r="B104" s="605"/>
      <c r="C104" s="605"/>
      <c r="D104" s="605"/>
    </row>
    <row r="105">
      <c r="A105" s="605"/>
      <c r="B105" s="605"/>
      <c r="C105" s="605"/>
      <c r="D105" s="605"/>
    </row>
    <row r="106">
      <c r="A106" s="605"/>
      <c r="B106" s="605"/>
      <c r="C106" s="605"/>
      <c r="D106" s="605"/>
    </row>
    <row r="107">
      <c r="A107" s="605"/>
      <c r="B107" s="605"/>
      <c r="C107" s="605"/>
      <c r="D107" s="605"/>
    </row>
    <row r="108">
      <c r="A108" s="605"/>
      <c r="B108" s="605"/>
      <c r="C108" s="605"/>
      <c r="D108" s="605"/>
    </row>
    <row r="109">
      <c r="A109" s="605"/>
      <c r="B109" s="605"/>
      <c r="C109" s="605"/>
      <c r="D109" s="605"/>
    </row>
    <row r="110">
      <c r="A110" s="605"/>
      <c r="B110" s="605"/>
      <c r="C110" s="605"/>
      <c r="D110" s="605"/>
    </row>
    <row r="111">
      <c r="A111" s="605"/>
      <c r="B111" s="605"/>
      <c r="C111" s="605"/>
      <c r="D111" s="605"/>
    </row>
    <row r="112">
      <c r="A112" s="605"/>
      <c r="B112" s="605"/>
      <c r="C112" s="605"/>
      <c r="D112" s="605"/>
    </row>
    <row r="113">
      <c r="A113" s="605"/>
      <c r="B113" s="605"/>
      <c r="C113" s="605"/>
      <c r="D113" s="605"/>
    </row>
    <row r="114">
      <c r="A114" s="605"/>
      <c r="B114" s="605"/>
      <c r="C114" s="605"/>
      <c r="D114" s="605"/>
    </row>
    <row r="115">
      <c r="A115" s="605"/>
      <c r="B115" s="605"/>
      <c r="C115" s="605"/>
      <c r="D115" s="605"/>
    </row>
    <row r="116">
      <c r="A116" s="605"/>
      <c r="B116" s="605"/>
      <c r="C116" s="605"/>
      <c r="D116" s="605"/>
    </row>
    <row r="117">
      <c r="A117" s="605"/>
      <c r="B117" s="605"/>
      <c r="C117" s="605"/>
      <c r="D117" s="605"/>
    </row>
    <row r="118">
      <c r="A118" s="605"/>
      <c r="B118" s="605"/>
      <c r="C118" s="605"/>
      <c r="D118" s="605"/>
    </row>
    <row r="119">
      <c r="A119" s="605"/>
      <c r="B119" s="605"/>
      <c r="C119" s="605"/>
      <c r="D119" s="605"/>
    </row>
    <row r="120">
      <c r="A120" s="605"/>
      <c r="B120" s="605"/>
      <c r="C120" s="605"/>
      <c r="D120" s="605"/>
    </row>
    <row r="121">
      <c r="A121" s="605"/>
      <c r="B121" s="605"/>
      <c r="C121" s="605"/>
      <c r="D121" s="605"/>
    </row>
    <row r="122">
      <c r="A122" s="605"/>
      <c r="B122" s="605"/>
      <c r="C122" s="605"/>
      <c r="D122" s="605"/>
    </row>
    <row r="123">
      <c r="A123" s="605"/>
      <c r="B123" s="605"/>
      <c r="C123" s="605"/>
      <c r="D123" s="605"/>
    </row>
    <row r="124">
      <c r="A124" s="605"/>
      <c r="B124" s="605"/>
      <c r="C124" s="605"/>
      <c r="D124" s="605"/>
    </row>
    <row r="125">
      <c r="A125" s="605"/>
      <c r="B125" s="605"/>
      <c r="C125" s="605"/>
      <c r="D125" s="605"/>
    </row>
    <row r="126">
      <c r="A126" s="605"/>
      <c r="B126" s="605"/>
      <c r="C126" s="605"/>
      <c r="D126" s="605"/>
    </row>
    <row r="127">
      <c r="A127" s="605"/>
      <c r="B127" s="605"/>
      <c r="C127" s="605"/>
      <c r="D127" s="605"/>
    </row>
    <row r="128">
      <c r="A128" s="605"/>
      <c r="B128" s="605"/>
      <c r="C128" s="605"/>
      <c r="D128" s="605"/>
    </row>
    <row r="129">
      <c r="A129" s="605"/>
      <c r="B129" s="605"/>
      <c r="C129" s="605"/>
      <c r="D129" s="605"/>
    </row>
    <row r="130">
      <c r="A130" s="605"/>
      <c r="B130" s="605"/>
      <c r="C130" s="605"/>
      <c r="D130" s="605"/>
    </row>
    <row r="131">
      <c r="A131" s="605"/>
      <c r="B131" s="605"/>
      <c r="C131" s="605"/>
      <c r="D131" s="605"/>
    </row>
    <row r="132">
      <c r="A132" s="605"/>
      <c r="B132" s="605"/>
      <c r="C132" s="605"/>
      <c r="D132" s="605"/>
    </row>
    <row r="133">
      <c r="A133" s="605"/>
      <c r="B133" s="605"/>
      <c r="C133" s="605"/>
      <c r="D133" s="605"/>
    </row>
    <row r="134">
      <c r="A134" s="605"/>
      <c r="B134" s="605"/>
      <c r="C134" s="605"/>
      <c r="D134" s="605"/>
    </row>
    <row r="135">
      <c r="A135" s="605"/>
      <c r="B135" s="605"/>
      <c r="C135" s="605"/>
      <c r="D135" s="605"/>
    </row>
    <row r="136">
      <c r="A136" s="605"/>
      <c r="B136" s="605"/>
      <c r="C136" s="605"/>
      <c r="D136" s="605"/>
    </row>
    <row r="137">
      <c r="A137" s="605"/>
      <c r="B137" s="605"/>
      <c r="C137" s="605"/>
      <c r="D137" s="605"/>
    </row>
    <row r="138">
      <c r="A138" s="605"/>
      <c r="B138" s="605"/>
      <c r="C138" s="605"/>
      <c r="D138" s="605"/>
    </row>
    <row r="139">
      <c r="A139" s="605"/>
      <c r="B139" s="605"/>
      <c r="C139" s="605"/>
      <c r="D139" s="605"/>
    </row>
    <row r="140">
      <c r="A140" s="605"/>
      <c r="B140" s="605"/>
      <c r="C140" s="605"/>
      <c r="D140" s="605"/>
    </row>
    <row r="141">
      <c r="A141" s="605"/>
      <c r="B141" s="605"/>
      <c r="C141" s="605"/>
      <c r="D141" s="605"/>
    </row>
    <row r="142">
      <c r="A142" s="605"/>
      <c r="B142" s="605"/>
      <c r="C142" s="605"/>
      <c r="D142" s="605"/>
    </row>
    <row r="143">
      <c r="A143" s="605"/>
      <c r="B143" s="605"/>
      <c r="C143" s="605"/>
      <c r="D143" s="605"/>
    </row>
    <row r="144">
      <c r="A144" s="605"/>
      <c r="B144" s="605"/>
      <c r="C144" s="605"/>
      <c r="D144" s="605"/>
    </row>
    <row r="145">
      <c r="A145" s="605"/>
      <c r="B145" s="605"/>
      <c r="C145" s="605"/>
      <c r="D145" s="605"/>
    </row>
    <row r="146">
      <c r="A146" s="605"/>
      <c r="B146" s="605"/>
      <c r="C146" s="605"/>
      <c r="D146" s="605"/>
    </row>
    <row r="147">
      <c r="A147" s="605"/>
      <c r="B147" s="605"/>
      <c r="C147" s="605"/>
      <c r="D147" s="605"/>
    </row>
    <row r="148">
      <c r="A148" s="605"/>
      <c r="B148" s="605"/>
      <c r="C148" s="605"/>
      <c r="D148" s="605"/>
    </row>
    <row r="149">
      <c r="A149" s="605"/>
      <c r="B149" s="605"/>
      <c r="C149" s="605"/>
      <c r="D149" s="605"/>
    </row>
    <row r="150">
      <c r="A150" s="605"/>
      <c r="B150" s="605"/>
      <c r="C150" s="605"/>
      <c r="D150" s="605"/>
    </row>
    <row r="151">
      <c r="A151" s="605"/>
      <c r="B151" s="605"/>
      <c r="C151" s="605"/>
      <c r="D151" s="605"/>
    </row>
    <row r="152">
      <c r="A152" s="605"/>
      <c r="B152" s="605"/>
      <c r="C152" s="605"/>
      <c r="D152" s="605"/>
    </row>
    <row r="153">
      <c r="A153" s="605"/>
      <c r="B153" s="605"/>
      <c r="C153" s="605"/>
      <c r="D153" s="605"/>
    </row>
    <row r="154">
      <c r="A154" s="605"/>
      <c r="B154" s="605"/>
      <c r="C154" s="605"/>
      <c r="D154" s="605"/>
    </row>
    <row r="155">
      <c r="A155" s="605"/>
      <c r="B155" s="605"/>
      <c r="C155" s="605"/>
      <c r="D155" s="605"/>
    </row>
    <row r="156">
      <c r="A156" s="605"/>
      <c r="B156" s="605"/>
      <c r="C156" s="605"/>
      <c r="D156" s="605"/>
    </row>
    <row r="157">
      <c r="A157" s="605"/>
      <c r="B157" s="605"/>
      <c r="C157" s="605"/>
      <c r="D157" s="605"/>
    </row>
    <row r="158">
      <c r="A158" s="605"/>
      <c r="B158" s="605"/>
      <c r="C158" s="605"/>
      <c r="D158" s="605"/>
    </row>
    <row r="159">
      <c r="A159" s="605"/>
      <c r="B159" s="605"/>
      <c r="C159" s="605"/>
      <c r="D159" s="605"/>
    </row>
    <row r="160">
      <c r="A160" s="605"/>
      <c r="B160" s="605"/>
      <c r="C160" s="605"/>
      <c r="D160" s="605"/>
    </row>
    <row r="161">
      <c r="A161" s="605"/>
      <c r="B161" s="605"/>
      <c r="C161" s="605"/>
      <c r="D161" s="605"/>
    </row>
    <row r="162">
      <c r="A162" s="605"/>
      <c r="B162" s="605"/>
      <c r="C162" s="605"/>
      <c r="D162" s="605"/>
    </row>
    <row r="163">
      <c r="A163" s="605"/>
      <c r="B163" s="605"/>
      <c r="C163" s="605"/>
      <c r="D163" s="605"/>
    </row>
    <row r="164">
      <c r="A164" s="605"/>
      <c r="B164" s="605"/>
      <c r="C164" s="605"/>
      <c r="D164" s="605"/>
    </row>
    <row r="165">
      <c r="A165" s="605"/>
      <c r="B165" s="605"/>
      <c r="C165" s="605"/>
      <c r="D165" s="605"/>
    </row>
    <row r="166">
      <c r="A166" s="605"/>
      <c r="B166" s="605"/>
      <c r="C166" s="605"/>
      <c r="D166" s="605"/>
    </row>
    <row r="167">
      <c r="A167" s="605"/>
      <c r="B167" s="605"/>
      <c r="C167" s="605"/>
      <c r="D167" s="605"/>
    </row>
    <row r="168">
      <c r="A168" s="605"/>
      <c r="B168" s="605"/>
      <c r="C168" s="605"/>
      <c r="D168" s="605"/>
    </row>
    <row r="169">
      <c r="A169" s="605"/>
      <c r="B169" s="605"/>
      <c r="C169" s="605"/>
      <c r="D169" s="605"/>
    </row>
    <row r="170">
      <c r="A170" s="605"/>
      <c r="B170" s="605"/>
      <c r="C170" s="605"/>
      <c r="D170" s="605"/>
    </row>
    <row r="171">
      <c r="A171" s="605"/>
      <c r="B171" s="605"/>
      <c r="C171" s="605"/>
      <c r="D171" s="605"/>
    </row>
    <row r="172">
      <c r="A172" s="605"/>
      <c r="B172" s="605"/>
      <c r="C172" s="605"/>
      <c r="D172" s="605"/>
    </row>
    <row r="173">
      <c r="A173" s="605"/>
      <c r="B173" s="605"/>
      <c r="C173" s="605"/>
      <c r="D173" s="605"/>
    </row>
    <row r="174">
      <c r="A174" s="605"/>
      <c r="B174" s="605"/>
      <c r="C174" s="605"/>
      <c r="D174" s="605"/>
    </row>
    <row r="175">
      <c r="A175" s="605"/>
      <c r="B175" s="605"/>
      <c r="C175" s="605"/>
      <c r="D175" s="605"/>
    </row>
    <row r="176">
      <c r="A176" s="605"/>
      <c r="B176" s="605"/>
      <c r="C176" s="605"/>
      <c r="D176" s="605"/>
    </row>
    <row r="177">
      <c r="A177" s="605"/>
      <c r="B177" s="605"/>
      <c r="C177" s="605"/>
      <c r="D177" s="605"/>
    </row>
    <row r="178">
      <c r="A178" s="605"/>
      <c r="B178" s="605"/>
      <c r="C178" s="605"/>
      <c r="D178" s="605"/>
    </row>
    <row r="179">
      <c r="A179" s="605"/>
      <c r="B179" s="605"/>
      <c r="C179" s="605"/>
      <c r="D179" s="605"/>
    </row>
    <row r="180">
      <c r="A180" s="605"/>
      <c r="B180" s="605"/>
      <c r="C180" s="605"/>
      <c r="D180" s="605"/>
    </row>
    <row r="181">
      <c r="A181" s="605"/>
      <c r="B181" s="605"/>
      <c r="C181" s="605"/>
      <c r="D181" s="605"/>
    </row>
    <row r="182">
      <c r="A182" s="605"/>
      <c r="B182" s="605"/>
      <c r="C182" s="605"/>
      <c r="D182" s="605"/>
    </row>
    <row r="183">
      <c r="A183" s="605"/>
      <c r="B183" s="605"/>
      <c r="C183" s="605"/>
      <c r="D183" s="605"/>
    </row>
    <row r="184">
      <c r="A184" s="605"/>
      <c r="B184" s="605"/>
      <c r="C184" s="605"/>
      <c r="D184" s="605"/>
    </row>
    <row r="185">
      <c r="A185" s="605"/>
      <c r="B185" s="605"/>
      <c r="C185" s="605"/>
      <c r="D185" s="605"/>
    </row>
    <row r="186">
      <c r="A186" s="605"/>
      <c r="B186" s="605"/>
      <c r="C186" s="605"/>
      <c r="D186" s="605"/>
    </row>
    <row r="187">
      <c r="A187" s="605"/>
      <c r="B187" s="605"/>
      <c r="C187" s="605"/>
      <c r="D187" s="605"/>
    </row>
    <row r="188">
      <c r="A188" s="605"/>
      <c r="B188" s="605"/>
      <c r="C188" s="605"/>
      <c r="D188" s="605"/>
    </row>
    <row r="189">
      <c r="A189" s="605"/>
      <c r="B189" s="605"/>
      <c r="C189" s="605"/>
      <c r="D189" s="605"/>
    </row>
    <row r="190">
      <c r="A190" s="605"/>
      <c r="B190" s="605"/>
      <c r="C190" s="605"/>
      <c r="D190" s="605"/>
    </row>
    <row r="191">
      <c r="A191" s="605"/>
      <c r="B191" s="605"/>
      <c r="C191" s="605"/>
      <c r="D191" s="605"/>
    </row>
    <row r="192">
      <c r="A192" s="605"/>
      <c r="B192" s="605"/>
      <c r="C192" s="605"/>
      <c r="D192" s="605"/>
    </row>
    <row r="193">
      <c r="A193" s="605"/>
      <c r="B193" s="605"/>
      <c r="C193" s="605"/>
      <c r="D193" s="605"/>
    </row>
    <row r="194">
      <c r="A194" s="605"/>
      <c r="B194" s="605"/>
      <c r="C194" s="605"/>
      <c r="D194" s="605"/>
    </row>
    <row r="195">
      <c r="A195" s="605"/>
      <c r="B195" s="605"/>
      <c r="C195" s="605"/>
      <c r="D195" s="605"/>
    </row>
    <row r="196">
      <c r="A196" s="605"/>
      <c r="B196" s="605"/>
      <c r="C196" s="605"/>
      <c r="D196" s="605"/>
    </row>
    <row r="197">
      <c r="A197" s="605"/>
      <c r="B197" s="605"/>
      <c r="C197" s="605"/>
      <c r="D197" s="605"/>
    </row>
    <row r="198">
      <c r="A198" s="605"/>
      <c r="B198" s="605"/>
      <c r="C198" s="605"/>
      <c r="D198" s="605"/>
    </row>
    <row r="199">
      <c r="A199" s="605"/>
      <c r="B199" s="605"/>
      <c r="C199" s="605"/>
      <c r="D199" s="605"/>
    </row>
    <row r="200">
      <c r="A200" s="605"/>
      <c r="B200" s="605"/>
      <c r="C200" s="605"/>
      <c r="D200" s="605"/>
    </row>
    <row r="201">
      <c r="A201" s="605"/>
      <c r="B201" s="605"/>
      <c r="C201" s="605"/>
      <c r="D201" s="605"/>
    </row>
    <row r="202">
      <c r="A202" s="605"/>
      <c r="B202" s="605"/>
      <c r="C202" s="605"/>
      <c r="D202" s="605"/>
    </row>
    <row r="203">
      <c r="A203" s="605"/>
      <c r="B203" s="605"/>
      <c r="C203" s="605"/>
      <c r="D203" s="605"/>
    </row>
    <row r="204">
      <c r="A204" s="605"/>
      <c r="B204" s="605"/>
      <c r="C204" s="605"/>
      <c r="D204" s="605"/>
    </row>
    <row r="205">
      <c r="A205" s="605"/>
      <c r="B205" s="605"/>
      <c r="C205" s="605"/>
      <c r="D205" s="605"/>
    </row>
    <row r="206">
      <c r="A206" s="605"/>
      <c r="B206" s="605"/>
      <c r="C206" s="605"/>
      <c r="D206" s="605"/>
    </row>
    <row r="207">
      <c r="A207" s="605"/>
      <c r="B207" s="605"/>
      <c r="C207" s="605"/>
      <c r="D207" s="605"/>
    </row>
    <row r="208">
      <c r="A208" s="605"/>
      <c r="B208" s="605"/>
      <c r="C208" s="605"/>
      <c r="D208" s="605"/>
    </row>
    <row r="209">
      <c r="A209" s="605"/>
      <c r="B209" s="605"/>
      <c r="C209" s="605"/>
      <c r="D209" s="605"/>
    </row>
    <row r="210">
      <c r="A210" s="605"/>
      <c r="B210" s="605"/>
      <c r="C210" s="605"/>
      <c r="D210" s="605"/>
    </row>
    <row r="211">
      <c r="A211" s="605"/>
      <c r="B211" s="605"/>
      <c r="C211" s="605"/>
      <c r="D211" s="605"/>
    </row>
    <row r="212">
      <c r="A212" s="605"/>
      <c r="B212" s="605"/>
      <c r="C212" s="605"/>
      <c r="D212" s="605"/>
    </row>
    <row r="213">
      <c r="A213" s="605"/>
      <c r="B213" s="605"/>
      <c r="C213" s="605"/>
      <c r="D213" s="605"/>
    </row>
    <row r="214">
      <c r="A214" s="605"/>
      <c r="B214" s="605"/>
      <c r="C214" s="605"/>
      <c r="D214" s="605"/>
    </row>
    <row r="215">
      <c r="A215" s="605"/>
      <c r="B215" s="605"/>
      <c r="C215" s="605"/>
      <c r="D215" s="605"/>
    </row>
    <row r="216">
      <c r="A216" s="605"/>
      <c r="B216" s="605"/>
      <c r="C216" s="605"/>
      <c r="D216" s="605"/>
    </row>
    <row r="217">
      <c r="A217" s="605"/>
      <c r="B217" s="605"/>
      <c r="C217" s="605"/>
      <c r="D217" s="605"/>
    </row>
    <row r="218">
      <c r="A218" s="605"/>
      <c r="B218" s="605"/>
      <c r="C218" s="605"/>
      <c r="D218" s="605"/>
    </row>
    <row r="219">
      <c r="A219" s="605"/>
      <c r="B219" s="605"/>
      <c r="C219" s="605"/>
      <c r="D219" s="605"/>
    </row>
    <row r="220">
      <c r="A220" s="605"/>
      <c r="B220" s="605"/>
      <c r="C220" s="605"/>
      <c r="D220" s="605"/>
    </row>
    <row r="221">
      <c r="A221" s="605"/>
      <c r="B221" s="605"/>
      <c r="C221" s="605"/>
      <c r="D221" s="605"/>
    </row>
    <row r="222">
      <c r="A222" s="605"/>
      <c r="B222" s="605"/>
      <c r="C222" s="605"/>
      <c r="D222" s="605"/>
    </row>
    <row r="223">
      <c r="A223" s="605"/>
      <c r="B223" s="605"/>
      <c r="C223" s="605"/>
      <c r="D223" s="605"/>
    </row>
    <row r="224">
      <c r="A224" s="605"/>
      <c r="B224" s="605"/>
      <c r="C224" s="605"/>
      <c r="D224" s="605"/>
    </row>
    <row r="225">
      <c r="A225" s="605"/>
      <c r="B225" s="605"/>
      <c r="C225" s="605"/>
      <c r="D225" s="605"/>
    </row>
    <row r="226">
      <c r="A226" s="605"/>
      <c r="B226" s="605"/>
      <c r="C226" s="605"/>
      <c r="D226" s="605"/>
    </row>
    <row r="227">
      <c r="A227" s="605"/>
      <c r="B227" s="605"/>
      <c r="C227" s="605"/>
      <c r="D227" s="605"/>
    </row>
    <row r="228">
      <c r="A228" s="605"/>
      <c r="B228" s="605"/>
      <c r="C228" s="605"/>
      <c r="D228" s="605"/>
    </row>
    <row r="229">
      <c r="A229" s="605"/>
      <c r="B229" s="605"/>
      <c r="C229" s="605"/>
      <c r="D229" s="605"/>
    </row>
    <row r="230">
      <c r="A230" s="605"/>
      <c r="B230" s="605"/>
      <c r="C230" s="605"/>
      <c r="D230" s="605"/>
    </row>
    <row r="231">
      <c r="A231" s="605"/>
      <c r="B231" s="605"/>
      <c r="C231" s="605"/>
      <c r="D231" s="605"/>
    </row>
    <row r="232">
      <c r="A232" s="605"/>
      <c r="B232" s="605"/>
      <c r="C232" s="605"/>
      <c r="D232" s="605"/>
    </row>
    <row r="233">
      <c r="A233" s="605"/>
      <c r="B233" s="605"/>
      <c r="C233" s="605"/>
      <c r="D233" s="605"/>
    </row>
    <row r="234">
      <c r="A234" s="605"/>
      <c r="B234" s="605"/>
      <c r="C234" s="605"/>
      <c r="D234" s="605"/>
    </row>
    <row r="235">
      <c r="A235" s="605"/>
      <c r="B235" s="605"/>
      <c r="C235" s="605"/>
      <c r="D235" s="605"/>
    </row>
    <row r="236">
      <c r="A236" s="605"/>
      <c r="B236" s="605"/>
      <c r="C236" s="605"/>
      <c r="D236" s="605"/>
    </row>
    <row r="237">
      <c r="A237" s="605"/>
      <c r="B237" s="605"/>
      <c r="C237" s="605"/>
      <c r="D237" s="605"/>
    </row>
    <row r="238">
      <c r="A238" s="605"/>
      <c r="B238" s="605"/>
      <c r="C238" s="605"/>
      <c r="D238" s="605"/>
    </row>
    <row r="239">
      <c r="A239" s="605"/>
      <c r="B239" s="605"/>
      <c r="C239" s="605"/>
      <c r="D239" s="605"/>
    </row>
    <row r="240">
      <c r="A240" s="605"/>
      <c r="B240" s="605"/>
      <c r="C240" s="605"/>
      <c r="D240" s="605"/>
    </row>
    <row r="241">
      <c r="A241" s="605"/>
      <c r="B241" s="605"/>
      <c r="C241" s="605"/>
      <c r="D241" s="605"/>
    </row>
    <row r="242">
      <c r="A242" s="605"/>
      <c r="B242" s="605"/>
      <c r="C242" s="605"/>
      <c r="D242" s="605"/>
    </row>
    <row r="243">
      <c r="A243" s="605"/>
      <c r="B243" s="605"/>
      <c r="C243" s="605"/>
      <c r="D243" s="605"/>
    </row>
    <row r="244">
      <c r="A244" s="605"/>
      <c r="B244" s="605"/>
      <c r="C244" s="605"/>
      <c r="D244" s="605"/>
    </row>
    <row r="245">
      <c r="A245" s="605"/>
      <c r="B245" s="605"/>
      <c r="C245" s="605"/>
      <c r="D245" s="605"/>
    </row>
    <row r="246">
      <c r="A246" s="605"/>
      <c r="B246" s="605"/>
      <c r="C246" s="605"/>
      <c r="D246" s="605"/>
    </row>
    <row r="247">
      <c r="A247" s="605"/>
      <c r="B247" s="605"/>
      <c r="C247" s="605"/>
      <c r="D247" s="605"/>
    </row>
    <row r="248">
      <c r="A248" s="605"/>
      <c r="B248" s="605"/>
      <c r="C248" s="605"/>
      <c r="D248" s="605"/>
    </row>
    <row r="249">
      <c r="A249" s="605"/>
      <c r="B249" s="605"/>
      <c r="C249" s="605"/>
      <c r="D249" s="605"/>
    </row>
    <row r="250">
      <c r="A250" s="605"/>
      <c r="B250" s="605"/>
      <c r="C250" s="605"/>
      <c r="D250" s="605"/>
    </row>
    <row r="251">
      <c r="A251" s="605"/>
      <c r="B251" s="605"/>
      <c r="C251" s="605"/>
      <c r="D251" s="605"/>
    </row>
    <row r="252">
      <c r="A252" s="605"/>
      <c r="B252" s="605"/>
      <c r="C252" s="605"/>
      <c r="D252" s="605"/>
    </row>
    <row r="253">
      <c r="A253" s="605"/>
      <c r="B253" s="605"/>
      <c r="C253" s="605"/>
      <c r="D253" s="605"/>
    </row>
    <row r="254">
      <c r="A254" s="605"/>
      <c r="B254" s="605"/>
      <c r="C254" s="605"/>
      <c r="D254" s="605"/>
    </row>
    <row r="255">
      <c r="A255" s="605"/>
      <c r="B255" s="605"/>
      <c r="C255" s="605"/>
      <c r="D255" s="605"/>
    </row>
    <row r="256">
      <c r="A256" s="605"/>
      <c r="B256" s="605"/>
      <c r="C256" s="605"/>
      <c r="D256" s="605"/>
    </row>
    <row r="257">
      <c r="A257" s="605"/>
      <c r="B257" s="605"/>
      <c r="C257" s="605"/>
      <c r="D257" s="605"/>
    </row>
    <row r="258">
      <c r="A258" s="605"/>
      <c r="B258" s="605"/>
      <c r="C258" s="605"/>
      <c r="D258" s="605"/>
    </row>
    <row r="259">
      <c r="A259" s="605"/>
      <c r="B259" s="605"/>
      <c r="C259" s="605"/>
      <c r="D259" s="605"/>
    </row>
    <row r="260">
      <c r="A260" s="605"/>
      <c r="B260" s="605"/>
      <c r="C260" s="605"/>
      <c r="D260" s="605"/>
    </row>
    <row r="261">
      <c r="A261" s="605"/>
      <c r="B261" s="605"/>
      <c r="C261" s="605"/>
      <c r="D261" s="605"/>
    </row>
    <row r="262">
      <c r="A262" s="605"/>
      <c r="B262" s="605"/>
      <c r="C262" s="605"/>
      <c r="D262" s="605"/>
    </row>
    <row r="263">
      <c r="A263" s="605"/>
      <c r="B263" s="605"/>
      <c r="C263" s="605"/>
      <c r="D263" s="605"/>
    </row>
    <row r="264">
      <c r="A264" s="605"/>
      <c r="B264" s="605"/>
      <c r="C264" s="605"/>
      <c r="D264" s="605"/>
    </row>
    <row r="265">
      <c r="A265" s="605"/>
      <c r="B265" s="605"/>
      <c r="C265" s="605"/>
      <c r="D265" s="605"/>
    </row>
    <row r="266">
      <c r="A266" s="605"/>
      <c r="B266" s="605"/>
      <c r="C266" s="605"/>
      <c r="D266" s="605"/>
    </row>
    <row r="267">
      <c r="A267" s="605"/>
      <c r="B267" s="605"/>
      <c r="C267" s="605"/>
      <c r="D267" s="605"/>
    </row>
    <row r="268">
      <c r="A268" s="605"/>
      <c r="B268" s="605"/>
      <c r="C268" s="605"/>
      <c r="D268" s="605"/>
    </row>
    <row r="269">
      <c r="A269" s="605"/>
      <c r="B269" s="605"/>
      <c r="C269" s="605"/>
      <c r="D269" s="605"/>
    </row>
    <row r="270">
      <c r="A270" s="605"/>
      <c r="B270" s="605"/>
      <c r="C270" s="605"/>
      <c r="D270" s="605"/>
    </row>
    <row r="271">
      <c r="A271" s="605"/>
      <c r="B271" s="605"/>
      <c r="C271" s="605"/>
      <c r="D271" s="605"/>
    </row>
    <row r="272">
      <c r="A272" s="605"/>
      <c r="B272" s="605"/>
      <c r="C272" s="605"/>
      <c r="D272" s="605"/>
    </row>
    <row r="273">
      <c r="A273" s="605"/>
      <c r="B273" s="605"/>
      <c r="C273" s="605"/>
      <c r="D273" s="605"/>
    </row>
    <row r="274">
      <c r="A274" s="605"/>
      <c r="B274" s="605"/>
      <c r="C274" s="605"/>
      <c r="D274" s="605"/>
    </row>
    <row r="275">
      <c r="A275" s="605"/>
      <c r="B275" s="605"/>
      <c r="C275" s="605"/>
      <c r="D275" s="605"/>
    </row>
    <row r="276">
      <c r="A276" s="605"/>
      <c r="B276" s="605"/>
      <c r="C276" s="605"/>
      <c r="D276" s="605"/>
    </row>
    <row r="277">
      <c r="A277" s="605"/>
      <c r="B277" s="605"/>
      <c r="C277" s="605"/>
      <c r="D277" s="605"/>
    </row>
    <row r="278">
      <c r="A278" s="605"/>
      <c r="B278" s="605"/>
      <c r="C278" s="605"/>
      <c r="D278" s="605"/>
    </row>
    <row r="279">
      <c r="A279" s="605"/>
      <c r="B279" s="605"/>
      <c r="C279" s="605"/>
      <c r="D279" s="605"/>
    </row>
    <row r="280">
      <c r="A280" s="605"/>
      <c r="B280" s="605"/>
      <c r="C280" s="605"/>
      <c r="D280" s="605"/>
    </row>
    <row r="281">
      <c r="A281" s="605"/>
      <c r="B281" s="605"/>
      <c r="C281" s="605"/>
      <c r="D281" s="605"/>
    </row>
    <row r="282">
      <c r="A282" s="605"/>
      <c r="B282" s="605"/>
      <c r="C282" s="605"/>
      <c r="D282" s="605"/>
    </row>
    <row r="283">
      <c r="A283" s="605"/>
      <c r="B283" s="605"/>
      <c r="C283" s="605"/>
      <c r="D283" s="605"/>
    </row>
    <row r="284">
      <c r="A284" s="605"/>
      <c r="B284" s="605"/>
      <c r="C284" s="605"/>
      <c r="D284" s="605"/>
    </row>
    <row r="285">
      <c r="A285" s="605"/>
      <c r="B285" s="605"/>
      <c r="C285" s="605"/>
      <c r="D285" s="605"/>
    </row>
    <row r="286">
      <c r="A286" s="605"/>
      <c r="B286" s="605"/>
      <c r="C286" s="605"/>
      <c r="D286" s="605"/>
    </row>
    <row r="287">
      <c r="A287" s="605"/>
      <c r="B287" s="605"/>
      <c r="C287" s="605"/>
      <c r="D287" s="605"/>
    </row>
    <row r="288">
      <c r="A288" s="605"/>
      <c r="B288" s="605"/>
      <c r="C288" s="605"/>
      <c r="D288" s="605"/>
    </row>
    <row r="289">
      <c r="A289" s="605"/>
      <c r="B289" s="605"/>
      <c r="C289" s="605"/>
      <c r="D289" s="605"/>
    </row>
    <row r="290">
      <c r="A290" s="605"/>
      <c r="B290" s="605"/>
      <c r="C290" s="605"/>
      <c r="D290" s="605"/>
    </row>
    <row r="291">
      <c r="A291" s="605"/>
      <c r="B291" s="605"/>
      <c r="C291" s="605"/>
      <c r="D291" s="605"/>
    </row>
    <row r="292">
      <c r="A292" s="605"/>
      <c r="B292" s="605"/>
      <c r="C292" s="605"/>
      <c r="D292" s="605"/>
    </row>
    <row r="293">
      <c r="A293" s="605"/>
      <c r="B293" s="605"/>
      <c r="C293" s="605"/>
      <c r="D293" s="605"/>
    </row>
    <row r="294">
      <c r="A294" s="605"/>
      <c r="B294" s="605"/>
      <c r="C294" s="605"/>
      <c r="D294" s="605"/>
    </row>
    <row r="295">
      <c r="A295" s="605"/>
      <c r="B295" s="605"/>
      <c r="C295" s="605"/>
      <c r="D295" s="605"/>
    </row>
    <row r="296">
      <c r="A296" s="605"/>
      <c r="B296" s="605"/>
      <c r="C296" s="605"/>
      <c r="D296" s="605"/>
    </row>
    <row r="297">
      <c r="A297" s="605"/>
      <c r="B297" s="605"/>
      <c r="C297" s="605"/>
      <c r="D297" s="605"/>
    </row>
    <row r="298">
      <c r="A298" s="605"/>
      <c r="B298" s="605"/>
      <c r="C298" s="605"/>
      <c r="D298" s="605"/>
    </row>
    <row r="299">
      <c r="A299" s="605"/>
      <c r="B299" s="605"/>
      <c r="C299" s="605"/>
      <c r="D299" s="605"/>
    </row>
    <row r="300">
      <c r="A300" s="605"/>
      <c r="B300" s="605"/>
      <c r="C300" s="605"/>
      <c r="D300" s="605"/>
    </row>
    <row r="301">
      <c r="A301" s="605"/>
      <c r="B301" s="605"/>
      <c r="C301" s="605"/>
      <c r="D301" s="605"/>
    </row>
    <row r="302">
      <c r="A302" s="605"/>
      <c r="B302" s="605"/>
      <c r="C302" s="605"/>
      <c r="D302" s="605"/>
    </row>
    <row r="303">
      <c r="A303" s="605"/>
      <c r="B303" s="605"/>
      <c r="C303" s="605"/>
      <c r="D303" s="605"/>
    </row>
    <row r="304">
      <c r="A304" s="605"/>
      <c r="B304" s="605"/>
      <c r="C304" s="605"/>
      <c r="D304" s="605"/>
    </row>
    <row r="305">
      <c r="A305" s="605"/>
      <c r="B305" s="605"/>
      <c r="C305" s="605"/>
      <c r="D305" s="605"/>
    </row>
    <row r="306">
      <c r="A306" s="605"/>
      <c r="B306" s="605"/>
      <c r="C306" s="605"/>
      <c r="D306" s="605"/>
    </row>
    <row r="307">
      <c r="A307" s="605"/>
      <c r="B307" s="605"/>
      <c r="C307" s="605"/>
      <c r="D307" s="605"/>
    </row>
    <row r="308">
      <c r="A308" s="605"/>
      <c r="B308" s="605"/>
      <c r="C308" s="605"/>
      <c r="D308" s="605"/>
    </row>
    <row r="309">
      <c r="A309" s="605"/>
      <c r="B309" s="605"/>
      <c r="C309" s="605"/>
      <c r="D309" s="605"/>
    </row>
    <row r="310">
      <c r="A310" s="605"/>
      <c r="B310" s="605"/>
      <c r="C310" s="605"/>
      <c r="D310" s="605"/>
    </row>
    <row r="311">
      <c r="A311" s="605"/>
      <c r="B311" s="605"/>
      <c r="C311" s="605"/>
      <c r="D311" s="605"/>
    </row>
    <row r="312">
      <c r="A312" s="605"/>
      <c r="B312" s="605"/>
      <c r="C312" s="605"/>
      <c r="D312" s="605"/>
    </row>
    <row r="313">
      <c r="A313" s="605"/>
      <c r="B313" s="605"/>
      <c r="C313" s="605"/>
      <c r="D313" s="605"/>
    </row>
    <row r="314">
      <c r="A314" s="605"/>
      <c r="B314" s="605"/>
      <c r="C314" s="605"/>
      <c r="D314" s="605"/>
    </row>
    <row r="315">
      <c r="A315" s="605"/>
      <c r="B315" s="605"/>
      <c r="C315" s="605"/>
      <c r="D315" s="605"/>
    </row>
    <row r="316">
      <c r="A316" s="605"/>
      <c r="B316" s="605"/>
      <c r="C316" s="605"/>
      <c r="D316" s="605"/>
    </row>
    <row r="317">
      <c r="A317" s="605"/>
      <c r="B317" s="605"/>
      <c r="C317" s="605"/>
      <c r="D317" s="605"/>
    </row>
    <row r="318">
      <c r="A318" s="605"/>
      <c r="B318" s="605"/>
      <c r="C318" s="605"/>
      <c r="D318" s="605"/>
    </row>
    <row r="319">
      <c r="A319" s="605"/>
      <c r="B319" s="605"/>
      <c r="C319" s="605"/>
      <c r="D319" s="605"/>
    </row>
    <row r="320">
      <c r="A320" s="605"/>
      <c r="B320" s="605"/>
      <c r="C320" s="605"/>
      <c r="D320" s="605"/>
    </row>
    <row r="321">
      <c r="A321" s="605"/>
      <c r="B321" s="605"/>
      <c r="C321" s="605"/>
      <c r="D321" s="605"/>
    </row>
    <row r="322">
      <c r="A322" s="605"/>
      <c r="B322" s="605"/>
      <c r="C322" s="605"/>
      <c r="D322" s="605"/>
    </row>
    <row r="323">
      <c r="A323" s="605"/>
      <c r="B323" s="605"/>
      <c r="C323" s="605"/>
      <c r="D323" s="605"/>
    </row>
    <row r="324">
      <c r="A324" s="605"/>
      <c r="B324" s="605"/>
      <c r="C324" s="605"/>
      <c r="D324" s="605"/>
    </row>
    <row r="325">
      <c r="A325" s="605"/>
      <c r="B325" s="605"/>
      <c r="C325" s="605"/>
      <c r="D325" s="605"/>
    </row>
    <row r="326">
      <c r="A326" s="605"/>
      <c r="B326" s="605"/>
      <c r="C326" s="605"/>
      <c r="D326" s="605"/>
    </row>
    <row r="327">
      <c r="A327" s="605"/>
      <c r="B327" s="605"/>
      <c r="C327" s="605"/>
      <c r="D327" s="605"/>
    </row>
    <row r="328">
      <c r="A328" s="605"/>
      <c r="B328" s="605"/>
      <c r="C328" s="605"/>
      <c r="D328" s="605"/>
    </row>
    <row r="329">
      <c r="A329" s="605"/>
      <c r="B329" s="605"/>
      <c r="C329" s="605"/>
      <c r="D329" s="605"/>
    </row>
    <row r="330">
      <c r="A330" s="605"/>
      <c r="B330" s="605"/>
      <c r="C330" s="605"/>
      <c r="D330" s="605"/>
    </row>
    <row r="331">
      <c r="A331" s="605"/>
      <c r="B331" s="605"/>
      <c r="C331" s="605"/>
      <c r="D331" s="605"/>
    </row>
    <row r="332">
      <c r="A332" s="605"/>
      <c r="B332" s="605"/>
      <c r="C332" s="605"/>
      <c r="D332" s="605"/>
    </row>
    <row r="333">
      <c r="A333" s="605"/>
      <c r="B333" s="605"/>
      <c r="C333" s="605"/>
      <c r="D333" s="605"/>
    </row>
    <row r="334">
      <c r="A334" s="605"/>
      <c r="B334" s="605"/>
      <c r="C334" s="605"/>
      <c r="D334" s="605"/>
    </row>
    <row r="335">
      <c r="A335" s="605"/>
      <c r="B335" s="605"/>
      <c r="C335" s="605"/>
      <c r="D335" s="605"/>
    </row>
    <row r="336">
      <c r="A336" s="605"/>
      <c r="B336" s="605"/>
      <c r="C336" s="605"/>
      <c r="D336" s="605"/>
    </row>
    <row r="337">
      <c r="A337" s="605"/>
      <c r="B337" s="605"/>
      <c r="C337" s="605"/>
      <c r="D337" s="605"/>
    </row>
    <row r="338">
      <c r="A338" s="605"/>
      <c r="B338" s="605"/>
      <c r="C338" s="605"/>
      <c r="D338" s="605"/>
    </row>
    <row r="339">
      <c r="A339" s="605"/>
      <c r="B339" s="605"/>
      <c r="C339" s="605"/>
      <c r="D339" s="605"/>
    </row>
    <row r="340">
      <c r="A340" s="605"/>
      <c r="B340" s="605"/>
      <c r="C340" s="605"/>
      <c r="D340" s="605"/>
    </row>
    <row r="341">
      <c r="A341" s="605"/>
      <c r="B341" s="605"/>
      <c r="C341" s="605"/>
      <c r="D341" s="605"/>
    </row>
    <row r="342">
      <c r="A342" s="605"/>
      <c r="B342" s="605"/>
      <c r="C342" s="605"/>
      <c r="D342" s="605"/>
    </row>
    <row r="343">
      <c r="A343" s="605"/>
      <c r="B343" s="605"/>
      <c r="C343" s="605"/>
      <c r="D343" s="605"/>
    </row>
    <row r="344">
      <c r="A344" s="605"/>
      <c r="B344" s="605"/>
      <c r="C344" s="605"/>
      <c r="D344" s="605"/>
    </row>
    <row r="345">
      <c r="A345" s="605"/>
      <c r="B345" s="605"/>
      <c r="C345" s="605"/>
      <c r="D345" s="605"/>
    </row>
    <row r="346">
      <c r="A346" s="605"/>
      <c r="B346" s="605"/>
      <c r="C346" s="605"/>
      <c r="D346" s="605"/>
    </row>
    <row r="347">
      <c r="A347" s="605"/>
      <c r="B347" s="605"/>
      <c r="C347" s="605"/>
      <c r="D347" s="605"/>
    </row>
    <row r="348">
      <c r="A348" s="605"/>
      <c r="B348" s="605"/>
      <c r="C348" s="605"/>
      <c r="D348" s="605"/>
    </row>
    <row r="349">
      <c r="A349" s="605"/>
      <c r="B349" s="605"/>
      <c r="C349" s="605"/>
      <c r="D349" s="605"/>
    </row>
    <row r="350">
      <c r="A350" s="605"/>
      <c r="B350" s="605"/>
      <c r="C350" s="605"/>
      <c r="D350" s="605"/>
    </row>
    <row r="351">
      <c r="A351" s="605"/>
      <c r="B351" s="605"/>
      <c r="C351" s="605"/>
      <c r="D351" s="605"/>
    </row>
    <row r="352">
      <c r="A352" s="605"/>
      <c r="B352" s="605"/>
      <c r="C352" s="605"/>
      <c r="D352" s="605"/>
    </row>
    <row r="353">
      <c r="A353" s="605"/>
      <c r="B353" s="605"/>
      <c r="C353" s="605"/>
      <c r="D353" s="605"/>
    </row>
    <row r="354">
      <c r="A354" s="605"/>
      <c r="B354" s="605"/>
      <c r="C354" s="605"/>
      <c r="D354" s="605"/>
    </row>
    <row r="355">
      <c r="A355" s="605"/>
      <c r="B355" s="605"/>
      <c r="C355" s="605"/>
      <c r="D355" s="605"/>
    </row>
    <row r="356">
      <c r="A356" s="605"/>
      <c r="B356" s="605"/>
      <c r="C356" s="605"/>
      <c r="D356" s="605"/>
    </row>
    <row r="357">
      <c r="A357" s="605"/>
      <c r="B357" s="605"/>
      <c r="C357" s="605"/>
      <c r="D357" s="605"/>
    </row>
    <row r="358">
      <c r="A358" s="605"/>
      <c r="B358" s="605"/>
      <c r="C358" s="605"/>
      <c r="D358" s="605"/>
    </row>
    <row r="359">
      <c r="A359" s="605"/>
      <c r="B359" s="605"/>
      <c r="C359" s="605"/>
      <c r="D359" s="605"/>
    </row>
    <row r="360">
      <c r="A360" s="605"/>
      <c r="B360" s="605"/>
      <c r="C360" s="605"/>
      <c r="D360" s="605"/>
    </row>
    <row r="361">
      <c r="A361" s="605"/>
      <c r="B361" s="605"/>
      <c r="C361" s="605"/>
      <c r="D361" s="605"/>
    </row>
    <row r="362">
      <c r="A362" s="605"/>
      <c r="B362" s="605"/>
      <c r="C362" s="605"/>
      <c r="D362" s="605"/>
    </row>
    <row r="363">
      <c r="A363" s="605"/>
      <c r="B363" s="605"/>
      <c r="C363" s="605"/>
      <c r="D363" s="605"/>
    </row>
    <row r="364">
      <c r="A364" s="605"/>
      <c r="B364" s="605"/>
      <c r="C364" s="605"/>
      <c r="D364" s="605"/>
    </row>
    <row r="365">
      <c r="A365" s="605"/>
      <c r="B365" s="605"/>
      <c r="C365" s="605"/>
      <c r="D365" s="605"/>
    </row>
    <row r="366">
      <c r="A366" s="605"/>
      <c r="B366" s="605"/>
      <c r="C366" s="605"/>
      <c r="D366" s="605"/>
    </row>
    <row r="367">
      <c r="A367" s="605"/>
      <c r="B367" s="605"/>
      <c r="C367" s="605"/>
      <c r="D367" s="605"/>
    </row>
    <row r="368">
      <c r="A368" s="605"/>
      <c r="B368" s="605"/>
      <c r="C368" s="605"/>
      <c r="D368" s="605"/>
    </row>
    <row r="369">
      <c r="A369" s="605"/>
      <c r="B369" s="605"/>
      <c r="C369" s="605"/>
      <c r="D369" s="605"/>
    </row>
    <row r="370">
      <c r="A370" s="605"/>
      <c r="B370" s="605"/>
      <c r="C370" s="605"/>
      <c r="D370" s="605"/>
    </row>
    <row r="371">
      <c r="A371" s="605"/>
      <c r="B371" s="605"/>
      <c r="C371" s="605"/>
      <c r="D371" s="605"/>
    </row>
    <row r="372">
      <c r="A372" s="605"/>
      <c r="B372" s="605"/>
      <c r="C372" s="605"/>
      <c r="D372" s="605"/>
    </row>
    <row r="373">
      <c r="A373" s="605"/>
      <c r="B373" s="605"/>
      <c r="C373" s="605"/>
      <c r="D373" s="605"/>
    </row>
    <row r="374">
      <c r="A374" s="605"/>
      <c r="B374" s="605"/>
      <c r="C374" s="605"/>
      <c r="D374" s="605"/>
    </row>
    <row r="375">
      <c r="A375" s="605"/>
      <c r="B375" s="605"/>
      <c r="C375" s="605"/>
      <c r="D375" s="605"/>
    </row>
    <row r="376">
      <c r="A376" s="605"/>
      <c r="B376" s="605"/>
      <c r="C376" s="605"/>
      <c r="D376" s="605"/>
    </row>
    <row r="377">
      <c r="A377" s="605"/>
      <c r="B377" s="605"/>
      <c r="C377" s="605"/>
      <c r="D377" s="605"/>
    </row>
    <row r="378">
      <c r="A378" s="605"/>
      <c r="B378" s="605"/>
      <c r="C378" s="605"/>
      <c r="D378" s="605"/>
    </row>
    <row r="379">
      <c r="A379" s="605"/>
      <c r="B379" s="605"/>
      <c r="C379" s="605"/>
      <c r="D379" s="605"/>
    </row>
    <row r="380">
      <c r="A380" s="605"/>
      <c r="B380" s="605"/>
      <c r="C380" s="605"/>
      <c r="D380" s="605"/>
    </row>
    <row r="381">
      <c r="A381" s="605"/>
      <c r="B381" s="605"/>
      <c r="C381" s="605"/>
      <c r="D381" s="605"/>
    </row>
    <row r="382">
      <c r="A382" s="605"/>
      <c r="B382" s="605"/>
      <c r="C382" s="605"/>
      <c r="D382" s="605"/>
    </row>
    <row r="383">
      <c r="A383" s="605"/>
      <c r="B383" s="605"/>
      <c r="C383" s="605"/>
      <c r="D383" s="605"/>
    </row>
    <row r="384">
      <c r="A384" s="605"/>
      <c r="B384" s="605"/>
      <c r="C384" s="605"/>
      <c r="D384" s="605"/>
    </row>
    <row r="385">
      <c r="A385" s="605"/>
      <c r="B385" s="605"/>
      <c r="C385" s="605"/>
      <c r="D385" s="605"/>
    </row>
    <row r="386">
      <c r="A386" s="605"/>
      <c r="B386" s="605"/>
      <c r="C386" s="605"/>
      <c r="D386" s="605"/>
    </row>
    <row r="387">
      <c r="A387" s="605"/>
      <c r="B387" s="605"/>
      <c r="C387" s="605"/>
      <c r="D387" s="605"/>
    </row>
    <row r="388">
      <c r="A388" s="605"/>
      <c r="B388" s="605"/>
      <c r="C388" s="605"/>
      <c r="D388" s="605"/>
    </row>
    <row r="389">
      <c r="A389" s="605"/>
      <c r="B389" s="605"/>
      <c r="C389" s="605"/>
      <c r="D389" s="605"/>
    </row>
    <row r="390">
      <c r="A390" s="605"/>
      <c r="B390" s="605"/>
      <c r="C390" s="605"/>
      <c r="D390" s="605"/>
    </row>
    <row r="391">
      <c r="A391" s="605"/>
      <c r="B391" s="605"/>
      <c r="C391" s="605"/>
      <c r="D391" s="605"/>
    </row>
    <row r="392">
      <c r="A392" s="605"/>
      <c r="B392" s="605"/>
      <c r="C392" s="605"/>
      <c r="D392" s="605"/>
    </row>
    <row r="393">
      <c r="A393" s="605"/>
      <c r="B393" s="605"/>
      <c r="C393" s="605"/>
      <c r="D393" s="605"/>
    </row>
    <row r="394">
      <c r="A394" s="605"/>
      <c r="B394" s="605"/>
      <c r="C394" s="605"/>
      <c r="D394" s="605"/>
    </row>
    <row r="395">
      <c r="A395" s="605"/>
      <c r="B395" s="605"/>
      <c r="C395" s="605"/>
      <c r="D395" s="605"/>
    </row>
    <row r="396">
      <c r="A396" s="605"/>
      <c r="B396" s="605"/>
      <c r="C396" s="605"/>
      <c r="D396" s="605"/>
    </row>
    <row r="397">
      <c r="A397" s="605"/>
      <c r="B397" s="605"/>
      <c r="C397" s="605"/>
      <c r="D397" s="605"/>
    </row>
    <row r="398">
      <c r="A398" s="605"/>
      <c r="B398" s="605"/>
      <c r="C398" s="605"/>
      <c r="D398" s="605"/>
    </row>
    <row r="399">
      <c r="A399" s="605"/>
      <c r="B399" s="605"/>
      <c r="C399" s="605"/>
      <c r="D399" s="605"/>
    </row>
    <row r="400">
      <c r="A400" s="605"/>
      <c r="B400" s="605"/>
      <c r="C400" s="605"/>
      <c r="D400" s="605"/>
    </row>
    <row r="401">
      <c r="A401" s="605"/>
      <c r="B401" s="605"/>
      <c r="C401" s="605"/>
      <c r="D401" s="605"/>
    </row>
    <row r="402">
      <c r="A402" s="605"/>
      <c r="B402" s="605"/>
      <c r="C402" s="605"/>
      <c r="D402" s="605"/>
    </row>
    <row r="403">
      <c r="A403" s="605"/>
      <c r="B403" s="605"/>
      <c r="C403" s="605"/>
      <c r="D403" s="605"/>
    </row>
    <row r="404">
      <c r="A404" s="605"/>
      <c r="B404" s="605"/>
      <c r="C404" s="605"/>
      <c r="D404" s="605"/>
    </row>
    <row r="405">
      <c r="A405" s="605"/>
      <c r="B405" s="605"/>
      <c r="C405" s="605"/>
      <c r="D405" s="605"/>
    </row>
    <row r="406">
      <c r="A406" s="605"/>
      <c r="B406" s="605"/>
      <c r="C406" s="605"/>
      <c r="D406" s="605"/>
    </row>
    <row r="407">
      <c r="A407" s="605"/>
      <c r="B407" s="605"/>
      <c r="C407" s="605"/>
      <c r="D407" s="605"/>
    </row>
    <row r="408">
      <c r="A408" s="605"/>
      <c r="B408" s="605"/>
      <c r="C408" s="605"/>
      <c r="D408" s="605"/>
    </row>
    <row r="409">
      <c r="A409" s="605"/>
      <c r="B409" s="605"/>
      <c r="C409" s="605"/>
      <c r="D409" s="605"/>
    </row>
    <row r="410">
      <c r="A410" s="605"/>
      <c r="B410" s="605"/>
      <c r="C410" s="605"/>
      <c r="D410" s="605"/>
    </row>
    <row r="411">
      <c r="A411" s="605"/>
      <c r="B411" s="605"/>
      <c r="C411" s="605"/>
      <c r="D411" s="605"/>
    </row>
    <row r="412">
      <c r="A412" s="605"/>
      <c r="B412" s="605"/>
      <c r="C412" s="605"/>
      <c r="D412" s="605"/>
    </row>
    <row r="413">
      <c r="A413" s="605"/>
      <c r="B413" s="605"/>
      <c r="C413" s="605"/>
      <c r="D413" s="605"/>
    </row>
    <row r="414">
      <c r="A414" s="605"/>
      <c r="B414" s="605"/>
      <c r="C414" s="605"/>
      <c r="D414" s="605"/>
    </row>
    <row r="415">
      <c r="A415" s="605"/>
      <c r="B415" s="605"/>
      <c r="C415" s="605"/>
      <c r="D415" s="605"/>
    </row>
    <row r="416">
      <c r="A416" s="605"/>
      <c r="B416" s="605"/>
      <c r="C416" s="605"/>
      <c r="D416" s="605"/>
    </row>
    <row r="417">
      <c r="A417" s="605"/>
      <c r="B417" s="605"/>
      <c r="C417" s="605"/>
      <c r="D417" s="605"/>
    </row>
    <row r="418">
      <c r="A418" s="605"/>
      <c r="B418" s="605"/>
      <c r="C418" s="605"/>
      <c r="D418" s="605"/>
    </row>
    <row r="419">
      <c r="A419" s="605"/>
      <c r="B419" s="605"/>
      <c r="C419" s="605"/>
      <c r="D419" s="605"/>
    </row>
    <row r="420">
      <c r="A420" s="605"/>
      <c r="B420" s="605"/>
      <c r="C420" s="605"/>
      <c r="D420" s="605"/>
    </row>
    <row r="421">
      <c r="A421" s="605"/>
      <c r="B421" s="605"/>
      <c r="C421" s="605"/>
      <c r="D421" s="605"/>
    </row>
    <row r="422">
      <c r="A422" s="605"/>
      <c r="B422" s="605"/>
      <c r="C422" s="605"/>
      <c r="D422" s="605"/>
    </row>
    <row r="423">
      <c r="A423" s="605"/>
      <c r="B423" s="605"/>
      <c r="C423" s="605"/>
      <c r="D423" s="605"/>
    </row>
    <row r="424">
      <c r="A424" s="605"/>
      <c r="B424" s="605"/>
      <c r="C424" s="605"/>
      <c r="D424" s="605"/>
    </row>
    <row r="425">
      <c r="A425" s="605"/>
      <c r="B425" s="605"/>
      <c r="C425" s="605"/>
      <c r="D425" s="605"/>
    </row>
    <row r="426">
      <c r="A426" s="605"/>
      <c r="B426" s="605"/>
      <c r="C426" s="605"/>
      <c r="D426" s="605"/>
    </row>
    <row r="427">
      <c r="A427" s="605"/>
      <c r="B427" s="605"/>
      <c r="C427" s="605"/>
      <c r="D427" s="605"/>
    </row>
    <row r="428">
      <c r="A428" s="605"/>
      <c r="B428" s="605"/>
      <c r="C428" s="605"/>
      <c r="D428" s="605"/>
    </row>
    <row r="429">
      <c r="A429" s="605"/>
      <c r="B429" s="605"/>
      <c r="C429" s="605"/>
      <c r="D429" s="605"/>
    </row>
    <row r="430">
      <c r="A430" s="605"/>
      <c r="B430" s="605"/>
      <c r="C430" s="605"/>
      <c r="D430" s="605"/>
    </row>
    <row r="431">
      <c r="A431" s="605"/>
      <c r="B431" s="605"/>
      <c r="C431" s="605"/>
      <c r="D431" s="605"/>
    </row>
    <row r="432">
      <c r="A432" s="605"/>
      <c r="B432" s="605"/>
      <c r="C432" s="605"/>
      <c r="D432" s="605"/>
    </row>
    <row r="433">
      <c r="A433" s="605"/>
      <c r="B433" s="605"/>
      <c r="C433" s="605"/>
      <c r="D433" s="605"/>
    </row>
    <row r="434">
      <c r="A434" s="605"/>
      <c r="B434" s="605"/>
      <c r="C434" s="605"/>
      <c r="D434" s="605"/>
    </row>
    <row r="435">
      <c r="A435" s="605"/>
      <c r="B435" s="605"/>
      <c r="C435" s="605"/>
      <c r="D435" s="605"/>
    </row>
    <row r="436">
      <c r="A436" s="605"/>
      <c r="B436" s="605"/>
      <c r="C436" s="605"/>
      <c r="D436" s="605"/>
    </row>
    <row r="437">
      <c r="A437" s="605"/>
      <c r="B437" s="605"/>
      <c r="C437" s="605"/>
      <c r="D437" s="605"/>
    </row>
    <row r="438">
      <c r="A438" s="605"/>
      <c r="B438" s="605"/>
      <c r="C438" s="605"/>
      <c r="D438" s="605"/>
    </row>
    <row r="439">
      <c r="A439" s="605"/>
      <c r="B439" s="605"/>
      <c r="C439" s="605"/>
      <c r="D439" s="605"/>
    </row>
    <row r="440">
      <c r="A440" s="605"/>
      <c r="B440" s="605"/>
      <c r="C440" s="605"/>
      <c r="D440" s="605"/>
    </row>
    <row r="441">
      <c r="A441" s="605"/>
      <c r="B441" s="605"/>
      <c r="C441" s="605"/>
      <c r="D441" s="605"/>
    </row>
    <row r="442">
      <c r="A442" s="605"/>
      <c r="B442" s="605"/>
      <c r="C442" s="605"/>
      <c r="D442" s="605"/>
    </row>
    <row r="443">
      <c r="A443" s="605"/>
      <c r="B443" s="605"/>
      <c r="C443" s="605"/>
      <c r="D443" s="605"/>
    </row>
    <row r="444">
      <c r="A444" s="605"/>
      <c r="B444" s="605"/>
      <c r="C444" s="605"/>
      <c r="D444" s="605"/>
    </row>
    <row r="445">
      <c r="A445" s="605"/>
      <c r="B445" s="605"/>
      <c r="C445" s="605"/>
      <c r="D445" s="605"/>
    </row>
    <row r="446">
      <c r="A446" s="605"/>
      <c r="B446" s="605"/>
      <c r="C446" s="605"/>
      <c r="D446" s="605"/>
    </row>
    <row r="447">
      <c r="A447" s="605"/>
      <c r="B447" s="605"/>
      <c r="C447" s="605"/>
      <c r="D447" s="605"/>
    </row>
    <row r="448">
      <c r="A448" s="605"/>
      <c r="B448" s="605"/>
      <c r="C448" s="605"/>
      <c r="D448" s="605"/>
    </row>
    <row r="449">
      <c r="A449" s="605"/>
      <c r="B449" s="605"/>
      <c r="C449" s="605"/>
      <c r="D449" s="605"/>
    </row>
    <row r="450">
      <c r="A450" s="605"/>
      <c r="B450" s="605"/>
      <c r="C450" s="605"/>
      <c r="D450" s="605"/>
    </row>
    <row r="451">
      <c r="A451" s="605"/>
      <c r="B451" s="605"/>
      <c r="C451" s="605"/>
      <c r="D451" s="605"/>
    </row>
    <row r="452">
      <c r="A452" s="605"/>
      <c r="B452" s="605"/>
      <c r="C452" s="605"/>
      <c r="D452" s="605"/>
    </row>
    <row r="453">
      <c r="A453" s="605"/>
      <c r="B453" s="605"/>
      <c r="C453" s="605"/>
      <c r="D453" s="605"/>
    </row>
    <row r="454">
      <c r="A454" s="605"/>
      <c r="B454" s="605"/>
      <c r="C454" s="605"/>
      <c r="D454" s="605"/>
    </row>
    <row r="455">
      <c r="A455" s="605"/>
      <c r="B455" s="605"/>
      <c r="C455" s="605"/>
      <c r="D455" s="605"/>
    </row>
    <row r="456">
      <c r="A456" s="605"/>
      <c r="B456" s="605"/>
      <c r="C456" s="605"/>
      <c r="D456" s="605"/>
    </row>
    <row r="457">
      <c r="A457" s="605"/>
      <c r="B457" s="605"/>
      <c r="C457" s="605"/>
      <c r="D457" s="605"/>
    </row>
    <row r="458">
      <c r="A458" s="605"/>
      <c r="B458" s="605"/>
      <c r="C458" s="605"/>
      <c r="D458" s="605"/>
    </row>
    <row r="459">
      <c r="A459" s="605"/>
      <c r="B459" s="605"/>
      <c r="C459" s="605"/>
      <c r="D459" s="605"/>
    </row>
    <row r="460">
      <c r="A460" s="605"/>
      <c r="B460" s="605"/>
      <c r="C460" s="605"/>
      <c r="D460" s="605"/>
    </row>
    <row r="461">
      <c r="A461" s="605"/>
      <c r="B461" s="605"/>
      <c r="C461" s="605"/>
      <c r="D461" s="605"/>
    </row>
    <row r="462">
      <c r="A462" s="605"/>
      <c r="B462" s="605"/>
      <c r="C462" s="605"/>
      <c r="D462" s="605"/>
    </row>
    <row r="463">
      <c r="A463" s="605"/>
      <c r="B463" s="605"/>
      <c r="C463" s="605"/>
      <c r="D463" s="605"/>
    </row>
    <row r="464">
      <c r="A464" s="605"/>
      <c r="B464" s="605"/>
      <c r="C464" s="605"/>
      <c r="D464" s="605"/>
    </row>
    <row r="465">
      <c r="A465" s="605"/>
      <c r="B465" s="605"/>
      <c r="C465" s="605"/>
      <c r="D465" s="605"/>
    </row>
    <row r="466">
      <c r="A466" s="605"/>
      <c r="B466" s="605"/>
      <c r="C466" s="605"/>
      <c r="D466" s="605"/>
    </row>
    <row r="467">
      <c r="A467" s="605"/>
      <c r="B467" s="605"/>
      <c r="C467" s="605"/>
      <c r="D467" s="605"/>
    </row>
    <row r="468">
      <c r="A468" s="605"/>
      <c r="B468" s="605"/>
      <c r="C468" s="605"/>
      <c r="D468" s="605"/>
    </row>
    <row r="469">
      <c r="A469" s="605"/>
      <c r="B469" s="605"/>
      <c r="C469" s="605"/>
      <c r="D469" s="605"/>
    </row>
    <row r="470">
      <c r="A470" s="605"/>
      <c r="B470" s="605"/>
      <c r="C470" s="605"/>
      <c r="D470" s="605"/>
    </row>
    <row r="471">
      <c r="A471" s="605"/>
      <c r="B471" s="605"/>
      <c r="C471" s="605"/>
      <c r="D471" s="605"/>
    </row>
    <row r="472">
      <c r="A472" s="605"/>
      <c r="B472" s="605"/>
      <c r="C472" s="605"/>
      <c r="D472" s="605"/>
    </row>
    <row r="473">
      <c r="A473" s="605"/>
      <c r="B473" s="605"/>
      <c r="C473" s="605"/>
      <c r="D473" s="605"/>
    </row>
    <row r="474">
      <c r="A474" s="605"/>
      <c r="B474" s="605"/>
      <c r="C474" s="605"/>
      <c r="D474" s="605"/>
    </row>
    <row r="475">
      <c r="A475" s="605"/>
      <c r="B475" s="605"/>
      <c r="C475" s="605"/>
      <c r="D475" s="605"/>
    </row>
    <row r="476">
      <c r="A476" s="605"/>
      <c r="B476" s="605"/>
      <c r="C476" s="605"/>
      <c r="D476" s="605"/>
    </row>
    <row r="477">
      <c r="A477" s="605"/>
      <c r="B477" s="605"/>
      <c r="C477" s="605"/>
      <c r="D477" s="605"/>
    </row>
    <row r="478">
      <c r="A478" s="605"/>
      <c r="B478" s="605"/>
      <c r="C478" s="605"/>
      <c r="D478" s="605"/>
    </row>
    <row r="479">
      <c r="A479" s="605"/>
      <c r="B479" s="605"/>
      <c r="C479" s="605"/>
      <c r="D479" s="605"/>
    </row>
    <row r="480">
      <c r="A480" s="605"/>
      <c r="B480" s="605"/>
      <c r="C480" s="605"/>
      <c r="D480" s="605"/>
    </row>
    <row r="481">
      <c r="A481" s="605"/>
      <c r="B481" s="605"/>
      <c r="C481" s="605"/>
      <c r="D481" s="605"/>
    </row>
    <row r="482">
      <c r="A482" s="605"/>
      <c r="B482" s="605"/>
      <c r="C482" s="605"/>
      <c r="D482" s="605"/>
    </row>
    <row r="483">
      <c r="A483" s="605"/>
      <c r="B483" s="605"/>
      <c r="C483" s="605"/>
      <c r="D483" s="605"/>
    </row>
    <row r="484">
      <c r="A484" s="605"/>
      <c r="B484" s="605"/>
      <c r="C484" s="605"/>
      <c r="D484" s="605"/>
    </row>
    <row r="485">
      <c r="A485" s="605"/>
      <c r="B485" s="605"/>
      <c r="C485" s="605"/>
      <c r="D485" s="605"/>
    </row>
    <row r="486">
      <c r="A486" s="605"/>
      <c r="B486" s="605"/>
      <c r="C486" s="605"/>
      <c r="D486" s="605"/>
    </row>
    <row r="487">
      <c r="A487" s="605"/>
      <c r="B487" s="605"/>
      <c r="C487" s="605"/>
      <c r="D487" s="605"/>
    </row>
    <row r="488">
      <c r="A488" s="605"/>
      <c r="B488" s="605"/>
      <c r="C488" s="605"/>
      <c r="D488" s="605"/>
    </row>
    <row r="489">
      <c r="A489" s="605"/>
      <c r="B489" s="605"/>
      <c r="C489" s="605"/>
      <c r="D489" s="605"/>
    </row>
    <row r="490">
      <c r="A490" s="605"/>
      <c r="B490" s="605"/>
      <c r="C490" s="605"/>
      <c r="D490" s="605"/>
    </row>
    <row r="491">
      <c r="A491" s="605"/>
      <c r="B491" s="605"/>
      <c r="C491" s="605"/>
      <c r="D491" s="605"/>
    </row>
    <row r="492">
      <c r="A492" s="605"/>
      <c r="B492" s="605"/>
      <c r="C492" s="605"/>
      <c r="D492" s="605"/>
    </row>
    <row r="493">
      <c r="A493" s="605"/>
      <c r="B493" s="605"/>
      <c r="C493" s="605"/>
      <c r="D493" s="605"/>
    </row>
    <row r="494">
      <c r="A494" s="605"/>
      <c r="B494" s="605"/>
      <c r="C494" s="605"/>
      <c r="D494" s="605"/>
    </row>
    <row r="495">
      <c r="A495" s="605"/>
      <c r="B495" s="605"/>
      <c r="C495" s="605"/>
      <c r="D495" s="605"/>
    </row>
    <row r="496">
      <c r="A496" s="605"/>
      <c r="B496" s="605"/>
      <c r="C496" s="605"/>
      <c r="D496" s="605"/>
    </row>
    <row r="497">
      <c r="A497" s="605"/>
      <c r="B497" s="605"/>
      <c r="C497" s="605"/>
      <c r="D497" s="605"/>
    </row>
    <row r="498">
      <c r="A498" s="605"/>
      <c r="B498" s="605"/>
      <c r="C498" s="605"/>
      <c r="D498" s="605"/>
    </row>
    <row r="499">
      <c r="A499" s="605"/>
      <c r="B499" s="605"/>
      <c r="C499" s="605"/>
      <c r="D499" s="605"/>
    </row>
    <row r="500">
      <c r="A500" s="605"/>
      <c r="B500" s="605"/>
      <c r="C500" s="605"/>
      <c r="D500" s="605"/>
    </row>
    <row r="501">
      <c r="A501" s="605"/>
      <c r="B501" s="605"/>
      <c r="C501" s="605"/>
      <c r="D501" s="605"/>
    </row>
    <row r="502">
      <c r="A502" s="605"/>
      <c r="B502" s="605"/>
      <c r="C502" s="605"/>
      <c r="D502" s="605"/>
    </row>
    <row r="503">
      <c r="A503" s="605"/>
      <c r="B503" s="605"/>
      <c r="C503" s="605"/>
      <c r="D503" s="605"/>
    </row>
    <row r="504">
      <c r="A504" s="605"/>
      <c r="B504" s="605"/>
      <c r="C504" s="605"/>
      <c r="D504" s="605"/>
    </row>
    <row r="505">
      <c r="A505" s="605"/>
      <c r="B505" s="605"/>
      <c r="C505" s="605"/>
      <c r="D505" s="605"/>
    </row>
    <row r="506">
      <c r="A506" s="605"/>
      <c r="B506" s="605"/>
      <c r="C506" s="605"/>
      <c r="D506" s="605"/>
    </row>
    <row r="507">
      <c r="A507" s="605"/>
      <c r="B507" s="605"/>
      <c r="C507" s="605"/>
      <c r="D507" s="605"/>
    </row>
    <row r="508">
      <c r="A508" s="605"/>
      <c r="B508" s="605"/>
      <c r="C508" s="605"/>
      <c r="D508" s="605"/>
    </row>
    <row r="509">
      <c r="A509" s="605"/>
      <c r="B509" s="605"/>
      <c r="C509" s="605"/>
      <c r="D509" s="605"/>
    </row>
    <row r="510">
      <c r="A510" s="605"/>
      <c r="B510" s="605"/>
      <c r="C510" s="605"/>
      <c r="D510" s="605"/>
    </row>
    <row r="511">
      <c r="A511" s="605"/>
      <c r="B511" s="605"/>
      <c r="C511" s="605"/>
      <c r="D511" s="605"/>
    </row>
    <row r="512">
      <c r="A512" s="605"/>
      <c r="B512" s="605"/>
      <c r="C512" s="605"/>
      <c r="D512" s="605"/>
    </row>
    <row r="513">
      <c r="A513" s="605"/>
      <c r="B513" s="605"/>
      <c r="C513" s="605"/>
      <c r="D513" s="605"/>
    </row>
    <row r="514">
      <c r="A514" s="605"/>
      <c r="B514" s="605"/>
      <c r="C514" s="605"/>
      <c r="D514" s="605"/>
    </row>
    <row r="515">
      <c r="A515" s="605"/>
      <c r="B515" s="605"/>
      <c r="C515" s="605"/>
      <c r="D515" s="605"/>
    </row>
    <row r="516">
      <c r="A516" s="605"/>
      <c r="B516" s="605"/>
      <c r="C516" s="605"/>
      <c r="D516" s="605"/>
    </row>
    <row r="517">
      <c r="A517" s="605"/>
      <c r="B517" s="605"/>
      <c r="C517" s="605"/>
      <c r="D517" s="605"/>
    </row>
    <row r="518">
      <c r="A518" s="605"/>
      <c r="B518" s="605"/>
      <c r="C518" s="605"/>
      <c r="D518" s="605"/>
    </row>
    <row r="519">
      <c r="A519" s="605"/>
      <c r="B519" s="605"/>
      <c r="C519" s="605"/>
      <c r="D519" s="605"/>
    </row>
    <row r="520">
      <c r="A520" s="605"/>
      <c r="B520" s="605"/>
      <c r="C520" s="605"/>
      <c r="D520" s="605"/>
    </row>
    <row r="521">
      <c r="A521" s="605"/>
      <c r="B521" s="605"/>
      <c r="C521" s="605"/>
      <c r="D521" s="605"/>
    </row>
    <row r="522">
      <c r="A522" s="605"/>
      <c r="B522" s="605"/>
      <c r="C522" s="605"/>
      <c r="D522" s="605"/>
    </row>
    <row r="523">
      <c r="A523" s="605"/>
      <c r="B523" s="605"/>
      <c r="C523" s="605"/>
      <c r="D523" s="605"/>
    </row>
    <row r="524">
      <c r="A524" s="605"/>
      <c r="B524" s="605"/>
      <c r="C524" s="605"/>
      <c r="D524" s="605"/>
    </row>
    <row r="525">
      <c r="A525" s="605"/>
      <c r="B525" s="605"/>
      <c r="C525" s="605"/>
      <c r="D525" s="605"/>
    </row>
    <row r="526">
      <c r="A526" s="605"/>
      <c r="B526" s="605"/>
      <c r="C526" s="605"/>
      <c r="D526" s="605"/>
    </row>
    <row r="527">
      <c r="A527" s="605"/>
      <c r="B527" s="605"/>
      <c r="C527" s="605"/>
      <c r="D527" s="605"/>
    </row>
    <row r="528">
      <c r="A528" s="605"/>
      <c r="B528" s="605"/>
      <c r="C528" s="605"/>
      <c r="D528" s="605"/>
    </row>
    <row r="529">
      <c r="A529" s="605"/>
      <c r="B529" s="605"/>
      <c r="C529" s="605"/>
      <c r="D529" s="605"/>
    </row>
    <row r="530">
      <c r="A530" s="605"/>
      <c r="B530" s="605"/>
      <c r="C530" s="605"/>
      <c r="D530" s="605"/>
    </row>
    <row r="531">
      <c r="A531" s="605"/>
      <c r="B531" s="605"/>
      <c r="C531" s="605"/>
      <c r="D531" s="605"/>
    </row>
    <row r="532">
      <c r="A532" s="605"/>
      <c r="B532" s="605"/>
      <c r="C532" s="605"/>
      <c r="D532" s="605"/>
    </row>
    <row r="533">
      <c r="A533" s="605"/>
      <c r="B533" s="605"/>
      <c r="C533" s="605"/>
      <c r="D533" s="605"/>
    </row>
    <row r="534">
      <c r="A534" s="605"/>
      <c r="B534" s="605"/>
      <c r="C534" s="605"/>
      <c r="D534" s="605"/>
    </row>
    <row r="535">
      <c r="A535" s="605"/>
      <c r="B535" s="605"/>
      <c r="C535" s="605"/>
      <c r="D535" s="605"/>
    </row>
    <row r="536">
      <c r="A536" s="605"/>
      <c r="B536" s="605"/>
      <c r="C536" s="605"/>
      <c r="D536" s="605"/>
    </row>
    <row r="537">
      <c r="A537" s="605"/>
      <c r="B537" s="605"/>
      <c r="C537" s="605"/>
      <c r="D537" s="605"/>
    </row>
    <row r="538">
      <c r="A538" s="605"/>
      <c r="B538" s="605"/>
      <c r="C538" s="605"/>
      <c r="D538" s="605"/>
    </row>
    <row r="539">
      <c r="A539" s="605"/>
      <c r="B539" s="605"/>
      <c r="C539" s="605"/>
      <c r="D539" s="605"/>
    </row>
    <row r="540">
      <c r="A540" s="605"/>
      <c r="B540" s="605"/>
      <c r="C540" s="605"/>
      <c r="D540" s="605"/>
    </row>
    <row r="541">
      <c r="A541" s="605"/>
      <c r="B541" s="605"/>
      <c r="C541" s="605"/>
      <c r="D541" s="605"/>
    </row>
    <row r="542">
      <c r="A542" s="605"/>
      <c r="B542" s="605"/>
      <c r="C542" s="605"/>
      <c r="D542" s="605"/>
    </row>
    <row r="543">
      <c r="A543" s="605"/>
      <c r="B543" s="605"/>
      <c r="C543" s="605"/>
      <c r="D543" s="605"/>
    </row>
    <row r="544">
      <c r="A544" s="605"/>
      <c r="B544" s="605"/>
      <c r="C544" s="605"/>
      <c r="D544" s="605"/>
    </row>
    <row r="545">
      <c r="A545" s="605"/>
      <c r="B545" s="605"/>
      <c r="C545" s="605"/>
      <c r="D545" s="605"/>
    </row>
    <row r="546">
      <c r="A546" s="605"/>
      <c r="B546" s="605"/>
      <c r="C546" s="605"/>
      <c r="D546" s="605"/>
    </row>
    <row r="547">
      <c r="A547" s="605"/>
      <c r="B547" s="605"/>
      <c r="C547" s="605"/>
      <c r="D547" s="605"/>
    </row>
    <row r="548">
      <c r="A548" s="605"/>
      <c r="B548" s="605"/>
      <c r="C548" s="605"/>
      <c r="D548" s="605"/>
    </row>
    <row r="549">
      <c r="A549" s="605"/>
      <c r="B549" s="605"/>
      <c r="C549" s="605"/>
      <c r="D549" s="605"/>
    </row>
    <row r="550">
      <c r="A550" s="605"/>
      <c r="B550" s="605"/>
      <c r="C550" s="605"/>
      <c r="D550" s="605"/>
    </row>
    <row r="551">
      <c r="A551" s="605"/>
      <c r="B551" s="605"/>
      <c r="C551" s="605"/>
      <c r="D551" s="605"/>
    </row>
    <row r="552">
      <c r="A552" s="605"/>
      <c r="B552" s="605"/>
      <c r="C552" s="605"/>
      <c r="D552" s="605"/>
    </row>
    <row r="553">
      <c r="A553" s="605"/>
      <c r="B553" s="605"/>
      <c r="C553" s="605"/>
      <c r="D553" s="605"/>
    </row>
    <row r="554">
      <c r="A554" s="605"/>
      <c r="B554" s="605"/>
      <c r="C554" s="605"/>
      <c r="D554" s="605"/>
    </row>
    <row r="555">
      <c r="A555" s="605"/>
      <c r="B555" s="605"/>
      <c r="C555" s="605"/>
      <c r="D555" s="605"/>
    </row>
    <row r="556">
      <c r="A556" s="605"/>
      <c r="B556" s="605"/>
      <c r="C556" s="605"/>
      <c r="D556" s="605"/>
    </row>
    <row r="557">
      <c r="A557" s="605"/>
      <c r="B557" s="605"/>
      <c r="C557" s="605"/>
      <c r="D557" s="605"/>
    </row>
    <row r="558">
      <c r="A558" s="605"/>
      <c r="B558" s="605"/>
      <c r="C558" s="605"/>
      <c r="D558" s="605"/>
    </row>
    <row r="559">
      <c r="A559" s="605"/>
      <c r="B559" s="605"/>
      <c r="C559" s="605"/>
      <c r="D559" s="605"/>
    </row>
    <row r="560">
      <c r="A560" s="605"/>
      <c r="B560" s="605"/>
      <c r="C560" s="605"/>
      <c r="D560" s="605"/>
    </row>
    <row r="561">
      <c r="A561" s="605"/>
      <c r="B561" s="605"/>
      <c r="C561" s="605"/>
      <c r="D561" s="605"/>
    </row>
    <row r="562">
      <c r="A562" s="605"/>
      <c r="B562" s="605"/>
      <c r="C562" s="605"/>
      <c r="D562" s="605"/>
    </row>
    <row r="563">
      <c r="A563" s="605"/>
      <c r="B563" s="605"/>
      <c r="C563" s="605"/>
      <c r="D563" s="605"/>
    </row>
    <row r="564">
      <c r="A564" s="605"/>
      <c r="B564" s="605"/>
      <c r="C564" s="605"/>
      <c r="D564" s="605"/>
    </row>
    <row r="565">
      <c r="A565" s="605"/>
      <c r="B565" s="605"/>
      <c r="C565" s="605"/>
      <c r="D565" s="605"/>
    </row>
    <row r="566">
      <c r="A566" s="605"/>
      <c r="B566" s="605"/>
      <c r="C566" s="605"/>
      <c r="D566" s="605"/>
    </row>
    <row r="567">
      <c r="A567" s="605"/>
      <c r="B567" s="605"/>
      <c r="C567" s="605"/>
      <c r="D567" s="605"/>
    </row>
    <row r="568">
      <c r="A568" s="605"/>
      <c r="B568" s="605"/>
      <c r="C568" s="605"/>
      <c r="D568" s="605"/>
    </row>
    <row r="569">
      <c r="A569" s="605"/>
      <c r="B569" s="605"/>
      <c r="C569" s="605"/>
      <c r="D569" s="605"/>
    </row>
    <row r="570">
      <c r="A570" s="605"/>
      <c r="B570" s="605"/>
      <c r="C570" s="605"/>
      <c r="D570" s="605"/>
    </row>
    <row r="571">
      <c r="A571" s="605"/>
      <c r="B571" s="605"/>
      <c r="C571" s="605"/>
      <c r="D571" s="605"/>
    </row>
    <row r="572">
      <c r="A572" s="605"/>
      <c r="B572" s="605"/>
      <c r="C572" s="605"/>
      <c r="D572" s="605"/>
    </row>
    <row r="573">
      <c r="A573" s="605"/>
      <c r="B573" s="605"/>
      <c r="C573" s="605"/>
      <c r="D573" s="605"/>
    </row>
    <row r="574">
      <c r="A574" s="605"/>
      <c r="B574" s="605"/>
      <c r="C574" s="605"/>
      <c r="D574" s="605"/>
    </row>
    <row r="575">
      <c r="A575" s="605"/>
      <c r="B575" s="605"/>
      <c r="C575" s="605"/>
      <c r="D575" s="605"/>
    </row>
    <row r="576">
      <c r="A576" s="605"/>
      <c r="B576" s="605"/>
      <c r="C576" s="605"/>
      <c r="D576" s="605"/>
    </row>
    <row r="577">
      <c r="A577" s="605"/>
      <c r="B577" s="605"/>
      <c r="C577" s="605"/>
      <c r="D577" s="605"/>
    </row>
    <row r="578">
      <c r="A578" s="605"/>
      <c r="B578" s="605"/>
      <c r="C578" s="605"/>
      <c r="D578" s="605"/>
    </row>
    <row r="579">
      <c r="A579" s="605"/>
      <c r="B579" s="605"/>
      <c r="C579" s="605"/>
      <c r="D579" s="605"/>
    </row>
    <row r="580">
      <c r="A580" s="605"/>
      <c r="B580" s="605"/>
      <c r="C580" s="605"/>
      <c r="D580" s="605"/>
    </row>
    <row r="581">
      <c r="A581" s="605"/>
      <c r="B581" s="605"/>
      <c r="C581" s="605"/>
      <c r="D581" s="605"/>
    </row>
    <row r="582">
      <c r="A582" s="605"/>
      <c r="B582" s="605"/>
      <c r="C582" s="605"/>
      <c r="D582" s="605"/>
    </row>
    <row r="583">
      <c r="A583" s="605"/>
      <c r="B583" s="605"/>
      <c r="C583" s="605"/>
      <c r="D583" s="605"/>
    </row>
    <row r="584">
      <c r="A584" s="605"/>
      <c r="B584" s="605"/>
      <c r="C584" s="605"/>
      <c r="D584" s="605"/>
    </row>
    <row r="585">
      <c r="A585" s="605"/>
      <c r="B585" s="605"/>
      <c r="C585" s="605"/>
      <c r="D585" s="605"/>
    </row>
    <row r="586">
      <c r="A586" s="605"/>
      <c r="B586" s="605"/>
      <c r="C586" s="605"/>
      <c r="D586" s="605"/>
    </row>
    <row r="587">
      <c r="A587" s="605"/>
      <c r="B587" s="605"/>
      <c r="C587" s="605"/>
      <c r="D587" s="605"/>
    </row>
    <row r="588">
      <c r="A588" s="605"/>
      <c r="B588" s="605"/>
      <c r="C588" s="605"/>
      <c r="D588" s="605"/>
    </row>
    <row r="589">
      <c r="A589" s="605"/>
      <c r="B589" s="605"/>
      <c r="C589" s="605"/>
      <c r="D589" s="605"/>
    </row>
    <row r="590">
      <c r="A590" s="605"/>
      <c r="B590" s="605"/>
      <c r="C590" s="605"/>
      <c r="D590" s="605"/>
    </row>
    <row r="591">
      <c r="A591" s="605"/>
      <c r="B591" s="605"/>
      <c r="C591" s="605"/>
      <c r="D591" s="605"/>
    </row>
    <row r="592">
      <c r="A592" s="605"/>
      <c r="B592" s="605"/>
      <c r="C592" s="605"/>
      <c r="D592" s="605"/>
    </row>
    <row r="593">
      <c r="A593" s="605"/>
      <c r="B593" s="605"/>
      <c r="C593" s="605"/>
      <c r="D593" s="605"/>
    </row>
    <row r="594">
      <c r="A594" s="605"/>
      <c r="B594" s="605"/>
      <c r="C594" s="605"/>
      <c r="D594" s="605"/>
    </row>
    <row r="595">
      <c r="A595" s="605"/>
      <c r="B595" s="605"/>
      <c r="C595" s="605"/>
      <c r="D595" s="605"/>
    </row>
    <row r="596">
      <c r="A596" s="605"/>
      <c r="B596" s="605"/>
      <c r="C596" s="605"/>
      <c r="D596" s="605"/>
    </row>
    <row r="597">
      <c r="A597" s="605"/>
      <c r="B597" s="605"/>
      <c r="C597" s="605"/>
      <c r="D597" s="605"/>
    </row>
    <row r="598">
      <c r="A598" s="605"/>
      <c r="B598" s="605"/>
      <c r="C598" s="605"/>
      <c r="D598" s="605"/>
    </row>
    <row r="599">
      <c r="A599" s="605"/>
      <c r="B599" s="605"/>
      <c r="C599" s="605"/>
      <c r="D599" s="605"/>
    </row>
    <row r="600">
      <c r="A600" s="605"/>
      <c r="B600" s="605"/>
      <c r="C600" s="605"/>
      <c r="D600" s="605"/>
    </row>
    <row r="601">
      <c r="A601" s="605"/>
      <c r="B601" s="605"/>
      <c r="C601" s="605"/>
      <c r="D601" s="605"/>
    </row>
    <row r="602">
      <c r="A602" s="605"/>
      <c r="B602" s="605"/>
      <c r="C602" s="605"/>
      <c r="D602" s="605"/>
    </row>
    <row r="603">
      <c r="A603" s="605"/>
      <c r="B603" s="605"/>
      <c r="C603" s="605"/>
      <c r="D603" s="605"/>
    </row>
    <row r="604">
      <c r="A604" s="605"/>
      <c r="B604" s="605"/>
      <c r="C604" s="605"/>
      <c r="D604" s="605"/>
    </row>
    <row r="605">
      <c r="A605" s="605"/>
      <c r="B605" s="605"/>
      <c r="C605" s="605"/>
      <c r="D605" s="605"/>
    </row>
    <row r="606">
      <c r="A606" s="605"/>
      <c r="B606" s="605"/>
      <c r="C606" s="605"/>
      <c r="D606" s="605"/>
    </row>
    <row r="607">
      <c r="A607" s="605"/>
      <c r="B607" s="605"/>
      <c r="C607" s="605"/>
      <c r="D607" s="605"/>
    </row>
    <row r="608">
      <c r="A608" s="605"/>
      <c r="B608" s="605"/>
      <c r="C608" s="605"/>
      <c r="D608" s="605"/>
    </row>
    <row r="609">
      <c r="A609" s="605"/>
      <c r="B609" s="605"/>
      <c r="C609" s="605"/>
      <c r="D609" s="605"/>
    </row>
    <row r="610">
      <c r="A610" s="605"/>
      <c r="B610" s="605"/>
      <c r="C610" s="605"/>
      <c r="D610" s="605"/>
    </row>
    <row r="611">
      <c r="A611" s="605"/>
      <c r="B611" s="605"/>
      <c r="C611" s="605"/>
      <c r="D611" s="605"/>
    </row>
    <row r="612">
      <c r="A612" s="605"/>
      <c r="B612" s="605"/>
      <c r="C612" s="605"/>
      <c r="D612" s="605"/>
    </row>
    <row r="613">
      <c r="A613" s="605"/>
      <c r="B613" s="605"/>
      <c r="C613" s="605"/>
      <c r="D613" s="605"/>
    </row>
    <row r="614">
      <c r="A614" s="605"/>
      <c r="B614" s="605"/>
      <c r="C614" s="605"/>
      <c r="D614" s="605"/>
    </row>
    <row r="615">
      <c r="A615" s="605"/>
      <c r="B615" s="605"/>
      <c r="C615" s="605"/>
      <c r="D615" s="605"/>
    </row>
    <row r="616">
      <c r="A616" s="605"/>
      <c r="B616" s="605"/>
      <c r="C616" s="605"/>
      <c r="D616" s="605"/>
    </row>
    <row r="617">
      <c r="A617" s="605"/>
      <c r="B617" s="605"/>
      <c r="C617" s="605"/>
      <c r="D617" s="605"/>
    </row>
    <row r="618">
      <c r="A618" s="605"/>
      <c r="B618" s="605"/>
      <c r="C618" s="605"/>
      <c r="D618" s="605"/>
    </row>
    <row r="619">
      <c r="A619" s="605"/>
      <c r="B619" s="605"/>
      <c r="C619" s="605"/>
      <c r="D619" s="605"/>
    </row>
    <row r="620">
      <c r="A620" s="605"/>
      <c r="B620" s="605"/>
      <c r="C620" s="605"/>
      <c r="D620" s="605"/>
    </row>
    <row r="621">
      <c r="A621" s="605"/>
      <c r="B621" s="605"/>
      <c r="C621" s="605"/>
      <c r="D621" s="605"/>
    </row>
    <row r="622">
      <c r="A622" s="605"/>
      <c r="B622" s="605"/>
      <c r="C622" s="605"/>
      <c r="D622" s="605"/>
    </row>
    <row r="623">
      <c r="A623" s="605"/>
      <c r="B623" s="605"/>
      <c r="C623" s="605"/>
      <c r="D623" s="605"/>
    </row>
    <row r="624">
      <c r="A624" s="605"/>
      <c r="B624" s="605"/>
      <c r="C624" s="605"/>
      <c r="D624" s="605"/>
    </row>
    <row r="625">
      <c r="A625" s="605"/>
      <c r="B625" s="605"/>
      <c r="C625" s="605"/>
      <c r="D625" s="605"/>
    </row>
    <row r="626">
      <c r="A626" s="605"/>
      <c r="B626" s="605"/>
      <c r="C626" s="605"/>
      <c r="D626" s="605"/>
    </row>
    <row r="627">
      <c r="A627" s="605"/>
      <c r="B627" s="605"/>
      <c r="C627" s="605"/>
      <c r="D627" s="605"/>
    </row>
    <row r="628">
      <c r="A628" s="605"/>
      <c r="B628" s="605"/>
      <c r="C628" s="605"/>
      <c r="D628" s="605"/>
    </row>
    <row r="629">
      <c r="A629" s="605"/>
      <c r="B629" s="605"/>
      <c r="C629" s="605"/>
      <c r="D629" s="605"/>
    </row>
    <row r="630">
      <c r="A630" s="605"/>
      <c r="B630" s="605"/>
      <c r="C630" s="605"/>
      <c r="D630" s="605"/>
    </row>
    <row r="631">
      <c r="A631" s="605"/>
      <c r="B631" s="605"/>
      <c r="C631" s="605"/>
      <c r="D631" s="605"/>
    </row>
    <row r="632">
      <c r="A632" s="605"/>
      <c r="B632" s="605"/>
      <c r="C632" s="605"/>
      <c r="D632" s="605"/>
    </row>
    <row r="633">
      <c r="A633" s="605"/>
      <c r="B633" s="605"/>
      <c r="C633" s="605"/>
      <c r="D633" s="605"/>
    </row>
    <row r="634">
      <c r="A634" s="605"/>
      <c r="B634" s="605"/>
      <c r="C634" s="605"/>
      <c r="D634" s="605"/>
    </row>
    <row r="635">
      <c r="A635" s="605"/>
      <c r="B635" s="605"/>
      <c r="C635" s="605"/>
      <c r="D635" s="605"/>
    </row>
    <row r="636">
      <c r="A636" s="605"/>
      <c r="B636" s="605"/>
      <c r="C636" s="605"/>
      <c r="D636" s="605"/>
    </row>
    <row r="637">
      <c r="A637" s="605"/>
      <c r="B637" s="605"/>
      <c r="C637" s="605"/>
      <c r="D637" s="605"/>
    </row>
    <row r="638">
      <c r="A638" s="605"/>
      <c r="B638" s="605"/>
      <c r="C638" s="605"/>
      <c r="D638" s="605"/>
    </row>
    <row r="639">
      <c r="A639" s="605"/>
      <c r="B639" s="605"/>
      <c r="C639" s="605"/>
      <c r="D639" s="605"/>
    </row>
    <row r="640">
      <c r="A640" s="605"/>
      <c r="B640" s="605"/>
      <c r="C640" s="605"/>
      <c r="D640" s="605"/>
    </row>
    <row r="641">
      <c r="A641" s="605"/>
      <c r="B641" s="605"/>
      <c r="C641" s="605"/>
      <c r="D641" s="605"/>
    </row>
    <row r="642">
      <c r="A642" s="605"/>
      <c r="B642" s="605"/>
      <c r="C642" s="605"/>
      <c r="D642" s="605"/>
    </row>
    <row r="643">
      <c r="A643" s="605"/>
      <c r="B643" s="605"/>
      <c r="C643" s="605"/>
      <c r="D643" s="605"/>
    </row>
    <row r="644">
      <c r="A644" s="605"/>
      <c r="B644" s="605"/>
      <c r="C644" s="605"/>
      <c r="D644" s="605"/>
    </row>
    <row r="645">
      <c r="A645" s="605"/>
      <c r="B645" s="605"/>
      <c r="C645" s="605"/>
      <c r="D645" s="605"/>
    </row>
    <row r="646">
      <c r="A646" s="605"/>
      <c r="B646" s="605"/>
      <c r="C646" s="605"/>
      <c r="D646" s="605"/>
    </row>
    <row r="647">
      <c r="A647" s="605"/>
      <c r="B647" s="605"/>
      <c r="C647" s="605"/>
      <c r="D647" s="605"/>
    </row>
    <row r="648">
      <c r="A648" s="605"/>
      <c r="B648" s="605"/>
      <c r="C648" s="605"/>
      <c r="D648" s="605"/>
    </row>
    <row r="649">
      <c r="A649" s="605"/>
      <c r="B649" s="605"/>
      <c r="C649" s="605"/>
      <c r="D649" s="605"/>
    </row>
    <row r="650">
      <c r="A650" s="605"/>
      <c r="B650" s="605"/>
      <c r="C650" s="605"/>
      <c r="D650" s="605"/>
    </row>
    <row r="651">
      <c r="A651" s="605"/>
      <c r="B651" s="605"/>
      <c r="C651" s="605"/>
      <c r="D651" s="605"/>
    </row>
    <row r="652">
      <c r="A652" s="605"/>
      <c r="B652" s="605"/>
      <c r="C652" s="605"/>
      <c r="D652" s="605"/>
    </row>
    <row r="653">
      <c r="A653" s="605"/>
      <c r="B653" s="605"/>
      <c r="C653" s="605"/>
      <c r="D653" s="605"/>
    </row>
    <row r="654">
      <c r="A654" s="605"/>
      <c r="B654" s="605"/>
      <c r="C654" s="605"/>
      <c r="D654" s="605"/>
    </row>
    <row r="655">
      <c r="A655" s="605"/>
      <c r="B655" s="605"/>
      <c r="C655" s="605"/>
      <c r="D655" s="605"/>
    </row>
    <row r="656">
      <c r="A656" s="605"/>
      <c r="B656" s="605"/>
      <c r="C656" s="605"/>
      <c r="D656" s="605"/>
    </row>
    <row r="657">
      <c r="A657" s="605"/>
      <c r="B657" s="605"/>
      <c r="C657" s="605"/>
      <c r="D657" s="605"/>
    </row>
    <row r="658">
      <c r="A658" s="605"/>
      <c r="B658" s="605"/>
      <c r="C658" s="605"/>
      <c r="D658" s="605"/>
    </row>
    <row r="659">
      <c r="A659" s="605"/>
      <c r="B659" s="605"/>
      <c r="C659" s="605"/>
      <c r="D659" s="605"/>
    </row>
    <row r="660">
      <c r="A660" s="605"/>
      <c r="B660" s="605"/>
      <c r="C660" s="605"/>
      <c r="D660" s="605"/>
    </row>
    <row r="661">
      <c r="A661" s="605"/>
      <c r="B661" s="605"/>
      <c r="C661" s="605"/>
      <c r="D661" s="605"/>
    </row>
    <row r="662">
      <c r="A662" s="605"/>
      <c r="B662" s="605"/>
      <c r="C662" s="605"/>
      <c r="D662" s="605"/>
    </row>
    <row r="663">
      <c r="A663" s="605"/>
      <c r="B663" s="605"/>
      <c r="C663" s="605"/>
      <c r="D663" s="605"/>
    </row>
    <row r="664">
      <c r="A664" s="605"/>
      <c r="B664" s="605"/>
      <c r="C664" s="605"/>
      <c r="D664" s="605"/>
    </row>
    <row r="665">
      <c r="A665" s="605"/>
      <c r="B665" s="605"/>
      <c r="C665" s="605"/>
      <c r="D665" s="605"/>
    </row>
    <row r="666">
      <c r="A666" s="605"/>
      <c r="B666" s="605"/>
      <c r="C666" s="605"/>
      <c r="D666" s="605"/>
    </row>
    <row r="667">
      <c r="A667" s="605"/>
      <c r="B667" s="605"/>
      <c r="C667" s="605"/>
      <c r="D667" s="605"/>
    </row>
    <row r="668">
      <c r="A668" s="605"/>
      <c r="B668" s="605"/>
      <c r="C668" s="605"/>
      <c r="D668" s="605"/>
    </row>
    <row r="669">
      <c r="A669" s="605"/>
      <c r="B669" s="605"/>
      <c r="C669" s="605"/>
      <c r="D669" s="605"/>
    </row>
    <row r="670">
      <c r="A670" s="605"/>
      <c r="B670" s="605"/>
      <c r="C670" s="605"/>
      <c r="D670" s="605"/>
    </row>
    <row r="671">
      <c r="A671" s="605"/>
      <c r="B671" s="605"/>
      <c r="C671" s="605"/>
      <c r="D671" s="605"/>
    </row>
    <row r="672">
      <c r="A672" s="605"/>
      <c r="B672" s="605"/>
      <c r="C672" s="605"/>
      <c r="D672" s="605"/>
    </row>
    <row r="673">
      <c r="A673" s="605"/>
      <c r="B673" s="605"/>
      <c r="C673" s="605"/>
      <c r="D673" s="605"/>
    </row>
    <row r="674">
      <c r="A674" s="605"/>
      <c r="B674" s="605"/>
      <c r="C674" s="605"/>
      <c r="D674" s="605"/>
    </row>
    <row r="675">
      <c r="A675" s="605"/>
      <c r="B675" s="605"/>
      <c r="C675" s="605"/>
      <c r="D675" s="605"/>
    </row>
    <row r="676">
      <c r="A676" s="605"/>
      <c r="B676" s="605"/>
      <c r="C676" s="605"/>
      <c r="D676" s="605"/>
    </row>
    <row r="677">
      <c r="A677" s="605"/>
      <c r="B677" s="605"/>
      <c r="C677" s="605"/>
      <c r="D677" s="605"/>
    </row>
    <row r="678">
      <c r="A678" s="605"/>
      <c r="B678" s="605"/>
      <c r="C678" s="605"/>
      <c r="D678" s="605"/>
    </row>
    <row r="679">
      <c r="A679" s="605"/>
      <c r="B679" s="605"/>
      <c r="C679" s="605"/>
      <c r="D679" s="605"/>
    </row>
    <row r="680">
      <c r="A680" s="605"/>
      <c r="B680" s="605"/>
      <c r="C680" s="605"/>
      <c r="D680" s="605"/>
    </row>
    <row r="681">
      <c r="A681" s="605"/>
      <c r="B681" s="605"/>
      <c r="C681" s="605"/>
      <c r="D681" s="605"/>
    </row>
    <row r="682">
      <c r="A682" s="605"/>
      <c r="B682" s="605"/>
      <c r="C682" s="605"/>
      <c r="D682" s="605"/>
    </row>
    <row r="683">
      <c r="A683" s="605"/>
      <c r="B683" s="605"/>
      <c r="C683" s="605"/>
      <c r="D683" s="605"/>
    </row>
    <row r="684">
      <c r="A684" s="605"/>
      <c r="B684" s="605"/>
      <c r="C684" s="605"/>
      <c r="D684" s="605"/>
    </row>
    <row r="685">
      <c r="A685" s="605"/>
      <c r="B685" s="605"/>
      <c r="C685" s="605"/>
      <c r="D685" s="605"/>
    </row>
    <row r="686">
      <c r="A686" s="605"/>
      <c r="B686" s="605"/>
      <c r="C686" s="605"/>
      <c r="D686" s="605"/>
    </row>
    <row r="687">
      <c r="A687" s="605"/>
      <c r="B687" s="605"/>
      <c r="C687" s="605"/>
      <c r="D687" s="605"/>
    </row>
    <row r="688">
      <c r="A688" s="605"/>
      <c r="B688" s="605"/>
      <c r="C688" s="605"/>
      <c r="D688" s="605"/>
    </row>
    <row r="689">
      <c r="A689" s="605"/>
      <c r="B689" s="605"/>
      <c r="C689" s="605"/>
      <c r="D689" s="605"/>
    </row>
    <row r="690">
      <c r="A690" s="605"/>
      <c r="B690" s="605"/>
      <c r="C690" s="605"/>
      <c r="D690" s="605"/>
    </row>
    <row r="691">
      <c r="A691" s="605"/>
      <c r="B691" s="605"/>
      <c r="C691" s="605"/>
      <c r="D691" s="605"/>
    </row>
    <row r="692">
      <c r="A692" s="605"/>
      <c r="B692" s="605"/>
      <c r="C692" s="605"/>
      <c r="D692" s="605"/>
    </row>
    <row r="693">
      <c r="A693" s="605"/>
      <c r="B693" s="605"/>
      <c r="C693" s="605"/>
      <c r="D693" s="605"/>
    </row>
    <row r="694">
      <c r="A694" s="605"/>
      <c r="B694" s="605"/>
      <c r="C694" s="605"/>
      <c r="D694" s="605"/>
    </row>
    <row r="695">
      <c r="A695" s="605"/>
      <c r="B695" s="605"/>
      <c r="C695" s="605"/>
      <c r="D695" s="605"/>
    </row>
    <row r="696">
      <c r="A696" s="605"/>
      <c r="B696" s="605"/>
      <c r="C696" s="605"/>
      <c r="D696" s="605"/>
    </row>
    <row r="697">
      <c r="A697" s="605"/>
      <c r="B697" s="605"/>
      <c r="C697" s="605"/>
      <c r="D697" s="605"/>
    </row>
    <row r="698">
      <c r="A698" s="605"/>
      <c r="B698" s="605"/>
      <c r="C698" s="605"/>
      <c r="D698" s="605"/>
    </row>
    <row r="699">
      <c r="A699" s="605"/>
      <c r="B699" s="605"/>
      <c r="C699" s="605"/>
      <c r="D699" s="605"/>
    </row>
    <row r="700">
      <c r="A700" s="605"/>
      <c r="B700" s="605"/>
      <c r="C700" s="605"/>
      <c r="D700" s="605"/>
    </row>
    <row r="701">
      <c r="A701" s="605"/>
      <c r="B701" s="605"/>
      <c r="C701" s="605"/>
      <c r="D701" s="605"/>
    </row>
    <row r="702">
      <c r="A702" s="605"/>
      <c r="B702" s="605"/>
      <c r="C702" s="605"/>
      <c r="D702" s="605"/>
    </row>
    <row r="703">
      <c r="A703" s="605"/>
      <c r="B703" s="605"/>
      <c r="C703" s="605"/>
      <c r="D703" s="605"/>
    </row>
    <row r="704">
      <c r="A704" s="605"/>
      <c r="B704" s="605"/>
      <c r="C704" s="605"/>
      <c r="D704" s="605"/>
    </row>
    <row r="705">
      <c r="A705" s="605"/>
      <c r="B705" s="605"/>
      <c r="C705" s="605"/>
      <c r="D705" s="605"/>
    </row>
    <row r="706">
      <c r="A706" s="605"/>
      <c r="B706" s="605"/>
      <c r="C706" s="605"/>
      <c r="D706" s="605"/>
    </row>
    <row r="707">
      <c r="A707" s="605"/>
      <c r="B707" s="605"/>
      <c r="C707" s="605"/>
      <c r="D707" s="605"/>
    </row>
    <row r="708">
      <c r="A708" s="605"/>
      <c r="B708" s="605"/>
      <c r="C708" s="605"/>
      <c r="D708" s="605"/>
    </row>
    <row r="709">
      <c r="A709" s="605"/>
      <c r="B709" s="605"/>
      <c r="C709" s="605"/>
      <c r="D709" s="605"/>
    </row>
    <row r="710">
      <c r="A710" s="605"/>
      <c r="B710" s="605"/>
      <c r="C710" s="605"/>
      <c r="D710" s="605"/>
    </row>
    <row r="711">
      <c r="A711" s="605"/>
      <c r="B711" s="605"/>
      <c r="C711" s="605"/>
      <c r="D711" s="605"/>
    </row>
    <row r="712">
      <c r="A712" s="605"/>
      <c r="B712" s="605"/>
      <c r="C712" s="605"/>
      <c r="D712" s="605"/>
    </row>
    <row r="713">
      <c r="A713" s="605"/>
      <c r="B713" s="605"/>
      <c r="C713" s="605"/>
      <c r="D713" s="605"/>
    </row>
    <row r="714">
      <c r="A714" s="605"/>
      <c r="B714" s="605"/>
      <c r="C714" s="605"/>
      <c r="D714" s="605"/>
    </row>
    <row r="715">
      <c r="A715" s="605"/>
      <c r="B715" s="605"/>
      <c r="C715" s="605"/>
      <c r="D715" s="605"/>
    </row>
    <row r="716">
      <c r="A716" s="605"/>
      <c r="B716" s="605"/>
      <c r="C716" s="605"/>
      <c r="D716" s="605"/>
    </row>
    <row r="717">
      <c r="A717" s="605"/>
      <c r="B717" s="605"/>
      <c r="C717" s="605"/>
      <c r="D717" s="605"/>
    </row>
    <row r="718">
      <c r="A718" s="605"/>
      <c r="B718" s="605"/>
      <c r="C718" s="605"/>
      <c r="D718" s="605"/>
    </row>
    <row r="719">
      <c r="A719" s="605"/>
      <c r="B719" s="605"/>
      <c r="C719" s="605"/>
      <c r="D719" s="605"/>
    </row>
    <row r="720">
      <c r="A720" s="605"/>
      <c r="B720" s="605"/>
      <c r="C720" s="605"/>
      <c r="D720" s="605"/>
    </row>
    <row r="721">
      <c r="A721" s="605"/>
      <c r="B721" s="605"/>
      <c r="C721" s="605"/>
      <c r="D721" s="605"/>
    </row>
    <row r="722">
      <c r="A722" s="605"/>
      <c r="B722" s="605"/>
      <c r="C722" s="605"/>
      <c r="D722" s="605"/>
    </row>
    <row r="723">
      <c r="A723" s="605"/>
      <c r="B723" s="605"/>
      <c r="C723" s="605"/>
      <c r="D723" s="605"/>
    </row>
    <row r="724">
      <c r="A724" s="605"/>
      <c r="B724" s="605"/>
      <c r="C724" s="605"/>
      <c r="D724" s="605"/>
    </row>
    <row r="725">
      <c r="A725" s="605"/>
      <c r="B725" s="605"/>
      <c r="C725" s="605"/>
      <c r="D725" s="605"/>
    </row>
    <row r="726">
      <c r="A726" s="605"/>
      <c r="B726" s="605"/>
      <c r="C726" s="605"/>
      <c r="D726" s="605"/>
    </row>
    <row r="727">
      <c r="A727" s="605"/>
      <c r="B727" s="605"/>
      <c r="C727" s="605"/>
      <c r="D727" s="605"/>
    </row>
    <row r="728">
      <c r="A728" s="605"/>
      <c r="B728" s="605"/>
      <c r="C728" s="605"/>
      <c r="D728" s="605"/>
    </row>
    <row r="729">
      <c r="A729" s="605"/>
      <c r="B729" s="605"/>
      <c r="C729" s="605"/>
      <c r="D729" s="605"/>
    </row>
    <row r="730">
      <c r="A730" s="605"/>
      <c r="B730" s="605"/>
      <c r="C730" s="605"/>
      <c r="D730" s="605"/>
    </row>
    <row r="731">
      <c r="A731" s="605"/>
      <c r="B731" s="605"/>
      <c r="C731" s="605"/>
      <c r="D731" s="605"/>
    </row>
    <row r="732">
      <c r="A732" s="605"/>
      <c r="B732" s="605"/>
      <c r="C732" s="605"/>
      <c r="D732" s="605"/>
    </row>
    <row r="733">
      <c r="A733" s="605"/>
      <c r="B733" s="605"/>
      <c r="C733" s="605"/>
      <c r="D733" s="605"/>
    </row>
    <row r="734">
      <c r="A734" s="605"/>
      <c r="B734" s="605"/>
      <c r="C734" s="605"/>
      <c r="D734" s="605"/>
    </row>
    <row r="735">
      <c r="A735" s="605"/>
      <c r="B735" s="605"/>
      <c r="C735" s="605"/>
      <c r="D735" s="605"/>
    </row>
    <row r="736">
      <c r="A736" s="605"/>
      <c r="B736" s="605"/>
      <c r="C736" s="605"/>
      <c r="D736" s="605"/>
    </row>
    <row r="737">
      <c r="A737" s="605"/>
      <c r="B737" s="605"/>
      <c r="C737" s="605"/>
      <c r="D737" s="605"/>
    </row>
    <row r="738">
      <c r="A738" s="605"/>
      <c r="B738" s="605"/>
      <c r="C738" s="605"/>
      <c r="D738" s="605"/>
    </row>
    <row r="739">
      <c r="A739" s="605"/>
      <c r="B739" s="605"/>
      <c r="C739" s="605"/>
      <c r="D739" s="605"/>
    </row>
    <row r="740">
      <c r="A740" s="605"/>
      <c r="B740" s="605"/>
      <c r="C740" s="605"/>
      <c r="D740" s="605"/>
    </row>
    <row r="741">
      <c r="A741" s="605"/>
      <c r="B741" s="605"/>
      <c r="C741" s="605"/>
      <c r="D741" s="605"/>
    </row>
    <row r="742">
      <c r="A742" s="605"/>
      <c r="B742" s="605"/>
      <c r="C742" s="605"/>
      <c r="D742" s="605"/>
    </row>
    <row r="743">
      <c r="A743" s="605"/>
      <c r="B743" s="605"/>
      <c r="C743" s="605"/>
      <c r="D743" s="605"/>
    </row>
    <row r="744">
      <c r="A744" s="605"/>
      <c r="B744" s="605"/>
      <c r="C744" s="605"/>
      <c r="D744" s="605"/>
    </row>
    <row r="745">
      <c r="A745" s="605"/>
      <c r="B745" s="605"/>
      <c r="C745" s="605"/>
      <c r="D745" s="605"/>
    </row>
    <row r="746">
      <c r="A746" s="605"/>
      <c r="B746" s="605"/>
      <c r="C746" s="605"/>
      <c r="D746" s="605"/>
    </row>
    <row r="747">
      <c r="A747" s="605"/>
      <c r="B747" s="605"/>
      <c r="C747" s="605"/>
      <c r="D747" s="605"/>
    </row>
    <row r="748">
      <c r="A748" s="605"/>
      <c r="B748" s="605"/>
      <c r="C748" s="605"/>
      <c r="D748" s="605"/>
    </row>
    <row r="749">
      <c r="A749" s="605"/>
      <c r="B749" s="605"/>
      <c r="C749" s="605"/>
      <c r="D749" s="605"/>
    </row>
    <row r="750">
      <c r="A750" s="605"/>
      <c r="B750" s="605"/>
      <c r="C750" s="605"/>
      <c r="D750" s="605"/>
    </row>
    <row r="751">
      <c r="A751" s="605"/>
      <c r="B751" s="605"/>
      <c r="C751" s="605"/>
      <c r="D751" s="605"/>
    </row>
    <row r="752">
      <c r="A752" s="605"/>
      <c r="B752" s="605"/>
      <c r="C752" s="605"/>
      <c r="D752" s="605"/>
    </row>
    <row r="753">
      <c r="A753" s="605"/>
      <c r="B753" s="605"/>
      <c r="C753" s="605"/>
      <c r="D753" s="605"/>
    </row>
    <row r="754">
      <c r="A754" s="605"/>
      <c r="B754" s="605"/>
      <c r="C754" s="605"/>
      <c r="D754" s="605"/>
    </row>
    <row r="755">
      <c r="A755" s="605"/>
      <c r="B755" s="605"/>
      <c r="C755" s="605"/>
      <c r="D755" s="605"/>
    </row>
    <row r="756">
      <c r="A756" s="605"/>
      <c r="B756" s="605"/>
      <c r="C756" s="605"/>
      <c r="D756" s="605"/>
    </row>
    <row r="757">
      <c r="A757" s="605"/>
      <c r="B757" s="605"/>
      <c r="C757" s="605"/>
      <c r="D757" s="605"/>
    </row>
    <row r="758">
      <c r="A758" s="605"/>
      <c r="B758" s="605"/>
      <c r="C758" s="605"/>
      <c r="D758" s="605"/>
    </row>
    <row r="759">
      <c r="A759" s="605"/>
      <c r="B759" s="605"/>
      <c r="C759" s="605"/>
      <c r="D759" s="605"/>
    </row>
    <row r="760">
      <c r="A760" s="605"/>
      <c r="B760" s="605"/>
      <c r="C760" s="605"/>
      <c r="D760" s="605"/>
    </row>
    <row r="761">
      <c r="A761" s="605"/>
      <c r="B761" s="605"/>
      <c r="C761" s="605"/>
      <c r="D761" s="605"/>
    </row>
    <row r="762">
      <c r="A762" s="605"/>
      <c r="B762" s="605"/>
      <c r="C762" s="605"/>
      <c r="D762" s="605"/>
    </row>
    <row r="763">
      <c r="A763" s="605"/>
      <c r="B763" s="605"/>
      <c r="C763" s="605"/>
      <c r="D763" s="605"/>
    </row>
    <row r="764">
      <c r="A764" s="605"/>
      <c r="B764" s="605"/>
      <c r="C764" s="605"/>
      <c r="D764" s="605"/>
    </row>
    <row r="765">
      <c r="A765" s="605"/>
      <c r="B765" s="605"/>
      <c r="C765" s="605"/>
      <c r="D765" s="605"/>
    </row>
    <row r="766">
      <c r="A766" s="605"/>
      <c r="B766" s="605"/>
      <c r="C766" s="605"/>
      <c r="D766" s="605"/>
    </row>
    <row r="767">
      <c r="A767" s="605"/>
      <c r="B767" s="605"/>
      <c r="C767" s="605"/>
      <c r="D767" s="605"/>
    </row>
    <row r="768">
      <c r="A768" s="605"/>
      <c r="B768" s="605"/>
      <c r="C768" s="605"/>
      <c r="D768" s="605"/>
    </row>
    <row r="769">
      <c r="A769" s="605"/>
      <c r="B769" s="605"/>
      <c r="C769" s="605"/>
      <c r="D769" s="605"/>
    </row>
    <row r="770">
      <c r="A770" s="605"/>
      <c r="B770" s="605"/>
      <c r="C770" s="605"/>
      <c r="D770" s="605"/>
    </row>
    <row r="771">
      <c r="A771" s="605"/>
      <c r="B771" s="605"/>
      <c r="C771" s="605"/>
      <c r="D771" s="605"/>
    </row>
    <row r="772">
      <c r="A772" s="605"/>
      <c r="B772" s="605"/>
      <c r="C772" s="605"/>
      <c r="D772" s="605"/>
    </row>
    <row r="773">
      <c r="A773" s="605"/>
      <c r="B773" s="605"/>
      <c r="C773" s="605"/>
      <c r="D773" s="605"/>
    </row>
    <row r="774">
      <c r="A774" s="605"/>
      <c r="B774" s="605"/>
      <c r="C774" s="605"/>
      <c r="D774" s="605"/>
    </row>
    <row r="775">
      <c r="A775" s="605"/>
      <c r="B775" s="605"/>
      <c r="C775" s="605"/>
      <c r="D775" s="605"/>
    </row>
    <row r="776">
      <c r="A776" s="605"/>
      <c r="B776" s="605"/>
      <c r="C776" s="605"/>
      <c r="D776" s="605"/>
    </row>
    <row r="777">
      <c r="A777" s="605"/>
      <c r="B777" s="605"/>
      <c r="C777" s="605"/>
      <c r="D777" s="605"/>
    </row>
    <row r="778">
      <c r="A778" s="605"/>
      <c r="B778" s="605"/>
      <c r="C778" s="605"/>
      <c r="D778" s="605"/>
    </row>
    <row r="779">
      <c r="A779" s="605"/>
      <c r="B779" s="605"/>
      <c r="C779" s="605"/>
      <c r="D779" s="605"/>
    </row>
    <row r="780">
      <c r="A780" s="605"/>
      <c r="B780" s="605"/>
      <c r="C780" s="605"/>
      <c r="D780" s="605"/>
    </row>
    <row r="781">
      <c r="A781" s="605"/>
      <c r="B781" s="605"/>
      <c r="C781" s="605"/>
      <c r="D781" s="605"/>
    </row>
    <row r="782">
      <c r="A782" s="605"/>
      <c r="B782" s="605"/>
      <c r="C782" s="605"/>
      <c r="D782" s="605"/>
    </row>
    <row r="783">
      <c r="A783" s="605"/>
      <c r="B783" s="605"/>
      <c r="C783" s="605"/>
      <c r="D783" s="605"/>
    </row>
    <row r="784">
      <c r="A784" s="605"/>
      <c r="B784" s="605"/>
      <c r="C784" s="605"/>
      <c r="D784" s="605"/>
    </row>
    <row r="785">
      <c r="A785" s="605"/>
      <c r="B785" s="605"/>
      <c r="C785" s="605"/>
      <c r="D785" s="605"/>
    </row>
    <row r="786">
      <c r="A786" s="605"/>
      <c r="B786" s="605"/>
      <c r="C786" s="605"/>
      <c r="D786" s="605"/>
    </row>
    <row r="787">
      <c r="A787" s="605"/>
      <c r="B787" s="605"/>
      <c r="C787" s="605"/>
      <c r="D787" s="605"/>
    </row>
    <row r="788">
      <c r="A788" s="605"/>
      <c r="B788" s="605"/>
      <c r="C788" s="605"/>
      <c r="D788" s="605"/>
    </row>
    <row r="789">
      <c r="A789" s="605"/>
      <c r="B789" s="605"/>
      <c r="C789" s="605"/>
      <c r="D789" s="605"/>
    </row>
    <row r="790">
      <c r="A790" s="605"/>
      <c r="B790" s="605"/>
      <c r="C790" s="605"/>
      <c r="D790" s="605"/>
    </row>
    <row r="791">
      <c r="A791" s="605"/>
      <c r="B791" s="605"/>
      <c r="C791" s="605"/>
      <c r="D791" s="605"/>
    </row>
    <row r="792">
      <c r="A792" s="605"/>
      <c r="B792" s="605"/>
      <c r="C792" s="605"/>
      <c r="D792" s="605"/>
    </row>
    <row r="793">
      <c r="A793" s="605"/>
      <c r="B793" s="605"/>
      <c r="C793" s="605"/>
      <c r="D793" s="605"/>
    </row>
    <row r="794">
      <c r="A794" s="605"/>
      <c r="B794" s="605"/>
      <c r="C794" s="605"/>
      <c r="D794" s="605"/>
    </row>
    <row r="795">
      <c r="A795" s="605"/>
      <c r="B795" s="605"/>
      <c r="C795" s="605"/>
      <c r="D795" s="605"/>
    </row>
    <row r="796">
      <c r="A796" s="605"/>
      <c r="B796" s="605"/>
      <c r="C796" s="605"/>
      <c r="D796" s="605"/>
    </row>
    <row r="797">
      <c r="A797" s="605"/>
      <c r="B797" s="605"/>
      <c r="C797" s="605"/>
      <c r="D797" s="605"/>
    </row>
    <row r="798">
      <c r="A798" s="605"/>
      <c r="B798" s="605"/>
      <c r="C798" s="605"/>
      <c r="D798" s="605"/>
    </row>
    <row r="799">
      <c r="A799" s="605"/>
      <c r="B799" s="605"/>
      <c r="C799" s="605"/>
      <c r="D799" s="605"/>
    </row>
    <row r="800">
      <c r="A800" s="605"/>
      <c r="B800" s="605"/>
      <c r="C800" s="605"/>
      <c r="D800" s="605"/>
    </row>
    <row r="801">
      <c r="A801" s="605"/>
      <c r="B801" s="605"/>
      <c r="C801" s="605"/>
      <c r="D801" s="605"/>
    </row>
    <row r="802">
      <c r="A802" s="605"/>
      <c r="B802" s="605"/>
      <c r="C802" s="605"/>
      <c r="D802" s="605"/>
    </row>
    <row r="803">
      <c r="A803" s="605"/>
      <c r="B803" s="605"/>
      <c r="C803" s="605"/>
      <c r="D803" s="605"/>
    </row>
    <row r="804">
      <c r="A804" s="605"/>
      <c r="B804" s="605"/>
      <c r="C804" s="605"/>
      <c r="D804" s="605"/>
    </row>
    <row r="805">
      <c r="A805" s="605"/>
      <c r="B805" s="605"/>
      <c r="C805" s="605"/>
      <c r="D805" s="605"/>
    </row>
    <row r="806">
      <c r="A806" s="605"/>
      <c r="B806" s="605"/>
      <c r="C806" s="605"/>
      <c r="D806" s="605"/>
    </row>
    <row r="807">
      <c r="A807" s="605"/>
      <c r="B807" s="605"/>
      <c r="C807" s="605"/>
      <c r="D807" s="605"/>
    </row>
    <row r="808">
      <c r="A808" s="605"/>
      <c r="B808" s="605"/>
      <c r="C808" s="605"/>
      <c r="D808" s="605"/>
    </row>
    <row r="809">
      <c r="A809" s="605"/>
      <c r="B809" s="605"/>
      <c r="C809" s="605"/>
      <c r="D809" s="605"/>
    </row>
    <row r="810">
      <c r="A810" s="605"/>
      <c r="B810" s="605"/>
      <c r="C810" s="605"/>
      <c r="D810" s="605"/>
    </row>
    <row r="811">
      <c r="A811" s="605"/>
      <c r="B811" s="605"/>
      <c r="C811" s="605"/>
      <c r="D811" s="605"/>
    </row>
    <row r="812">
      <c r="A812" s="605"/>
      <c r="B812" s="605"/>
      <c r="C812" s="605"/>
      <c r="D812" s="605"/>
    </row>
    <row r="813">
      <c r="A813" s="605"/>
      <c r="B813" s="605"/>
      <c r="C813" s="605"/>
      <c r="D813" s="605"/>
    </row>
    <row r="814">
      <c r="A814" s="605"/>
      <c r="B814" s="605"/>
      <c r="C814" s="605"/>
      <c r="D814" s="605"/>
    </row>
    <row r="815">
      <c r="A815" s="605"/>
      <c r="B815" s="605"/>
      <c r="C815" s="605"/>
      <c r="D815" s="605"/>
    </row>
    <row r="816">
      <c r="A816" s="605"/>
      <c r="B816" s="605"/>
      <c r="C816" s="605"/>
      <c r="D816" s="605"/>
    </row>
    <row r="817">
      <c r="A817" s="605"/>
      <c r="B817" s="605"/>
      <c r="C817" s="605"/>
      <c r="D817" s="605"/>
    </row>
    <row r="818">
      <c r="A818" s="605"/>
      <c r="B818" s="605"/>
      <c r="C818" s="605"/>
      <c r="D818" s="605"/>
    </row>
    <row r="819">
      <c r="A819" s="605"/>
      <c r="B819" s="605"/>
      <c r="C819" s="605"/>
      <c r="D819" s="605"/>
    </row>
    <row r="820">
      <c r="A820" s="605"/>
      <c r="B820" s="605"/>
      <c r="C820" s="605"/>
      <c r="D820" s="605"/>
    </row>
    <row r="821">
      <c r="A821" s="605"/>
      <c r="B821" s="605"/>
      <c r="C821" s="605"/>
      <c r="D821" s="605"/>
    </row>
    <row r="822">
      <c r="A822" s="605"/>
      <c r="B822" s="605"/>
      <c r="C822" s="605"/>
      <c r="D822" s="605"/>
    </row>
    <row r="823">
      <c r="A823" s="605"/>
      <c r="B823" s="605"/>
      <c r="C823" s="605"/>
      <c r="D823" s="605"/>
    </row>
    <row r="824">
      <c r="A824" s="605"/>
      <c r="B824" s="605"/>
      <c r="C824" s="605"/>
      <c r="D824" s="605"/>
    </row>
    <row r="825">
      <c r="A825" s="605"/>
      <c r="B825" s="605"/>
      <c r="C825" s="605"/>
      <c r="D825" s="605"/>
    </row>
    <row r="826">
      <c r="A826" s="605"/>
      <c r="B826" s="605"/>
      <c r="C826" s="605"/>
      <c r="D826" s="605"/>
    </row>
    <row r="827">
      <c r="A827" s="605"/>
      <c r="B827" s="605"/>
      <c r="C827" s="605"/>
      <c r="D827" s="605"/>
    </row>
    <row r="828">
      <c r="A828" s="605"/>
      <c r="B828" s="605"/>
      <c r="C828" s="605"/>
      <c r="D828" s="605"/>
    </row>
    <row r="829">
      <c r="A829" s="605"/>
      <c r="B829" s="605"/>
      <c r="C829" s="605"/>
      <c r="D829" s="605"/>
    </row>
    <row r="830">
      <c r="A830" s="605"/>
      <c r="B830" s="605"/>
      <c r="C830" s="605"/>
      <c r="D830" s="605"/>
    </row>
    <row r="831">
      <c r="A831" s="605"/>
      <c r="B831" s="605"/>
      <c r="C831" s="605"/>
      <c r="D831" s="605"/>
    </row>
    <row r="832">
      <c r="A832" s="605"/>
      <c r="B832" s="605"/>
      <c r="C832" s="605"/>
      <c r="D832" s="605"/>
    </row>
    <row r="833">
      <c r="A833" s="605"/>
      <c r="B833" s="605"/>
      <c r="C833" s="605"/>
      <c r="D833" s="605"/>
    </row>
    <row r="834">
      <c r="A834" s="605"/>
      <c r="B834" s="605"/>
      <c r="C834" s="605"/>
      <c r="D834" s="605"/>
    </row>
    <row r="835">
      <c r="A835" s="605"/>
      <c r="B835" s="605"/>
      <c r="C835" s="605"/>
      <c r="D835" s="605"/>
    </row>
    <row r="836">
      <c r="A836" s="605"/>
      <c r="B836" s="605"/>
      <c r="C836" s="605"/>
      <c r="D836" s="605"/>
    </row>
    <row r="837">
      <c r="A837" s="605"/>
      <c r="B837" s="605"/>
      <c r="C837" s="605"/>
      <c r="D837" s="605"/>
    </row>
    <row r="838">
      <c r="A838" s="605"/>
      <c r="B838" s="605"/>
      <c r="C838" s="605"/>
      <c r="D838" s="605"/>
    </row>
    <row r="839">
      <c r="A839" s="605"/>
      <c r="B839" s="605"/>
      <c r="C839" s="605"/>
      <c r="D839" s="605"/>
    </row>
    <row r="840">
      <c r="A840" s="605"/>
      <c r="B840" s="605"/>
      <c r="C840" s="605"/>
      <c r="D840" s="605"/>
    </row>
    <row r="841">
      <c r="A841" s="605"/>
      <c r="B841" s="605"/>
      <c r="C841" s="605"/>
      <c r="D841" s="605"/>
    </row>
    <row r="842">
      <c r="A842" s="605"/>
      <c r="B842" s="605"/>
      <c r="C842" s="605"/>
      <c r="D842" s="605"/>
    </row>
    <row r="843">
      <c r="A843" s="605"/>
      <c r="B843" s="605"/>
      <c r="C843" s="605"/>
      <c r="D843" s="605"/>
    </row>
    <row r="844">
      <c r="A844" s="605"/>
      <c r="B844" s="605"/>
      <c r="C844" s="605"/>
      <c r="D844" s="605"/>
    </row>
    <row r="845">
      <c r="A845" s="605"/>
      <c r="B845" s="605"/>
      <c r="C845" s="605"/>
      <c r="D845" s="605"/>
    </row>
    <row r="846">
      <c r="A846" s="605"/>
      <c r="B846" s="605"/>
      <c r="C846" s="605"/>
      <c r="D846" s="605"/>
    </row>
    <row r="847">
      <c r="A847" s="605"/>
      <c r="B847" s="605"/>
      <c r="C847" s="605"/>
      <c r="D847" s="605"/>
    </row>
    <row r="848">
      <c r="A848" s="605"/>
      <c r="B848" s="605"/>
      <c r="C848" s="605"/>
      <c r="D848" s="605"/>
    </row>
    <row r="849">
      <c r="A849" s="605"/>
      <c r="B849" s="605"/>
      <c r="C849" s="605"/>
      <c r="D849" s="605"/>
    </row>
    <row r="850">
      <c r="A850" s="605"/>
      <c r="B850" s="605"/>
      <c r="C850" s="605"/>
      <c r="D850" s="605"/>
    </row>
    <row r="851">
      <c r="A851" s="605"/>
      <c r="B851" s="605"/>
      <c r="C851" s="605"/>
      <c r="D851" s="605"/>
    </row>
    <row r="852">
      <c r="A852" s="605"/>
      <c r="B852" s="605"/>
      <c r="C852" s="605"/>
      <c r="D852" s="605"/>
    </row>
    <row r="853">
      <c r="A853" s="605"/>
      <c r="B853" s="605"/>
      <c r="C853" s="605"/>
      <c r="D853" s="605"/>
    </row>
    <row r="854">
      <c r="A854" s="605"/>
      <c r="B854" s="605"/>
      <c r="C854" s="605"/>
      <c r="D854" s="605"/>
    </row>
    <row r="855">
      <c r="A855" s="605"/>
      <c r="B855" s="605"/>
      <c r="C855" s="605"/>
      <c r="D855" s="605"/>
    </row>
    <row r="856">
      <c r="A856" s="605"/>
      <c r="B856" s="605"/>
      <c r="C856" s="605"/>
      <c r="D856" s="605"/>
    </row>
    <row r="857">
      <c r="A857" s="605"/>
      <c r="B857" s="605"/>
      <c r="C857" s="605"/>
      <c r="D857" s="605"/>
    </row>
    <row r="858">
      <c r="A858" s="605"/>
      <c r="B858" s="605"/>
      <c r="C858" s="605"/>
      <c r="D858" s="605"/>
    </row>
    <row r="859">
      <c r="A859" s="605"/>
      <c r="B859" s="605"/>
      <c r="C859" s="605"/>
      <c r="D859" s="605"/>
    </row>
    <row r="860">
      <c r="A860" s="605"/>
      <c r="B860" s="605"/>
      <c r="C860" s="605"/>
      <c r="D860" s="605"/>
    </row>
    <row r="861">
      <c r="A861" s="605"/>
      <c r="B861" s="605"/>
      <c r="C861" s="605"/>
      <c r="D861" s="605"/>
    </row>
    <row r="862">
      <c r="A862" s="605"/>
      <c r="B862" s="605"/>
      <c r="C862" s="605"/>
      <c r="D862" s="605"/>
    </row>
    <row r="863">
      <c r="A863" s="605"/>
      <c r="B863" s="605"/>
      <c r="C863" s="605"/>
      <c r="D863" s="605"/>
    </row>
    <row r="864">
      <c r="A864" s="605"/>
      <c r="B864" s="605"/>
      <c r="C864" s="605"/>
      <c r="D864" s="605"/>
    </row>
    <row r="865">
      <c r="A865" s="605"/>
      <c r="B865" s="605"/>
      <c r="C865" s="605"/>
      <c r="D865" s="605"/>
    </row>
    <row r="866">
      <c r="A866" s="605"/>
      <c r="B866" s="605"/>
      <c r="C866" s="605"/>
      <c r="D866" s="605"/>
    </row>
    <row r="867">
      <c r="A867" s="605"/>
      <c r="B867" s="605"/>
      <c r="C867" s="605"/>
      <c r="D867" s="605"/>
    </row>
    <row r="868">
      <c r="A868" s="605"/>
      <c r="B868" s="605"/>
      <c r="C868" s="605"/>
      <c r="D868" s="605"/>
    </row>
    <row r="869">
      <c r="A869" s="605"/>
      <c r="B869" s="605"/>
      <c r="C869" s="605"/>
      <c r="D869" s="605"/>
    </row>
    <row r="870">
      <c r="A870" s="605"/>
      <c r="B870" s="605"/>
      <c r="C870" s="605"/>
      <c r="D870" s="605"/>
    </row>
    <row r="871">
      <c r="A871" s="605"/>
      <c r="B871" s="605"/>
      <c r="C871" s="605"/>
      <c r="D871" s="605"/>
    </row>
    <row r="872">
      <c r="A872" s="605"/>
      <c r="B872" s="605"/>
      <c r="C872" s="605"/>
      <c r="D872" s="605"/>
    </row>
    <row r="873">
      <c r="A873" s="605"/>
      <c r="B873" s="605"/>
      <c r="C873" s="605"/>
      <c r="D873" s="605"/>
    </row>
    <row r="874">
      <c r="A874" s="605"/>
      <c r="B874" s="605"/>
      <c r="C874" s="605"/>
      <c r="D874" s="605"/>
    </row>
    <row r="875">
      <c r="A875" s="605"/>
      <c r="B875" s="605"/>
      <c r="C875" s="605"/>
      <c r="D875" s="605"/>
    </row>
    <row r="876">
      <c r="A876" s="605"/>
      <c r="B876" s="605"/>
      <c r="C876" s="605"/>
      <c r="D876" s="605"/>
    </row>
    <row r="877">
      <c r="A877" s="605"/>
      <c r="B877" s="605"/>
      <c r="C877" s="605"/>
      <c r="D877" s="605"/>
    </row>
    <row r="878">
      <c r="A878" s="605"/>
      <c r="B878" s="605"/>
      <c r="C878" s="605"/>
      <c r="D878" s="605"/>
    </row>
    <row r="879">
      <c r="A879" s="605"/>
      <c r="B879" s="605"/>
      <c r="C879" s="605"/>
      <c r="D879" s="605"/>
    </row>
    <row r="880">
      <c r="A880" s="605"/>
      <c r="B880" s="605"/>
      <c r="C880" s="605"/>
      <c r="D880" s="605"/>
    </row>
    <row r="881">
      <c r="A881" s="605"/>
      <c r="B881" s="605"/>
      <c r="C881" s="605"/>
      <c r="D881" s="605"/>
    </row>
    <row r="882">
      <c r="A882" s="605"/>
      <c r="B882" s="605"/>
      <c r="C882" s="605"/>
      <c r="D882" s="605"/>
    </row>
    <row r="883">
      <c r="A883" s="605"/>
      <c r="B883" s="605"/>
      <c r="C883" s="605"/>
      <c r="D883" s="605"/>
    </row>
    <row r="884">
      <c r="A884" s="605"/>
      <c r="B884" s="605"/>
      <c r="C884" s="605"/>
      <c r="D884" s="605"/>
    </row>
    <row r="885">
      <c r="A885" s="605"/>
      <c r="B885" s="605"/>
      <c r="C885" s="605"/>
      <c r="D885" s="605"/>
    </row>
    <row r="886">
      <c r="A886" s="605"/>
      <c r="B886" s="605"/>
      <c r="C886" s="605"/>
      <c r="D886" s="605"/>
    </row>
    <row r="887">
      <c r="A887" s="605"/>
      <c r="B887" s="605"/>
      <c r="C887" s="605"/>
      <c r="D887" s="605"/>
    </row>
    <row r="888">
      <c r="A888" s="605"/>
      <c r="B888" s="605"/>
      <c r="C888" s="605"/>
      <c r="D888" s="605"/>
    </row>
    <row r="889">
      <c r="A889" s="605"/>
      <c r="B889" s="605"/>
      <c r="C889" s="605"/>
      <c r="D889" s="605"/>
    </row>
    <row r="890">
      <c r="A890" s="605"/>
      <c r="B890" s="605"/>
      <c r="C890" s="605"/>
      <c r="D890" s="605"/>
    </row>
    <row r="891">
      <c r="A891" s="605"/>
      <c r="B891" s="605"/>
      <c r="C891" s="605"/>
      <c r="D891" s="605"/>
    </row>
    <row r="892">
      <c r="A892" s="605"/>
      <c r="B892" s="605"/>
      <c r="C892" s="605"/>
      <c r="D892" s="605"/>
    </row>
    <row r="893">
      <c r="A893" s="605"/>
      <c r="B893" s="605"/>
      <c r="C893" s="605"/>
      <c r="D893" s="605"/>
    </row>
    <row r="894">
      <c r="A894" s="605"/>
      <c r="B894" s="605"/>
      <c r="C894" s="605"/>
      <c r="D894" s="605"/>
    </row>
    <row r="895">
      <c r="A895" s="605"/>
      <c r="B895" s="605"/>
      <c r="C895" s="605"/>
      <c r="D895" s="605"/>
    </row>
    <row r="896">
      <c r="A896" s="605"/>
      <c r="B896" s="605"/>
      <c r="C896" s="605"/>
      <c r="D896" s="605"/>
    </row>
    <row r="897">
      <c r="A897" s="605"/>
      <c r="B897" s="605"/>
      <c r="C897" s="605"/>
      <c r="D897" s="605"/>
    </row>
    <row r="898">
      <c r="A898" s="605"/>
      <c r="B898" s="605"/>
      <c r="C898" s="605"/>
      <c r="D898" s="605"/>
    </row>
    <row r="899">
      <c r="A899" s="605"/>
      <c r="B899" s="605"/>
      <c r="C899" s="605"/>
      <c r="D899" s="605"/>
    </row>
    <row r="900">
      <c r="A900" s="605"/>
      <c r="B900" s="605"/>
      <c r="C900" s="605"/>
      <c r="D900" s="605"/>
    </row>
    <row r="901">
      <c r="A901" s="605"/>
      <c r="B901" s="605"/>
      <c r="C901" s="605"/>
      <c r="D901" s="605"/>
    </row>
    <row r="902">
      <c r="A902" s="605"/>
      <c r="B902" s="605"/>
      <c r="C902" s="605"/>
      <c r="D902" s="605"/>
    </row>
    <row r="903">
      <c r="A903" s="605"/>
      <c r="B903" s="605"/>
      <c r="C903" s="605"/>
      <c r="D903" s="605"/>
    </row>
    <row r="904">
      <c r="A904" s="605"/>
      <c r="B904" s="605"/>
      <c r="C904" s="605"/>
      <c r="D904" s="605"/>
    </row>
    <row r="905">
      <c r="A905" s="605"/>
      <c r="B905" s="605"/>
      <c r="C905" s="605"/>
      <c r="D905" s="605"/>
    </row>
    <row r="906">
      <c r="A906" s="605"/>
      <c r="B906" s="605"/>
      <c r="C906" s="605"/>
      <c r="D906" s="605"/>
    </row>
    <row r="907">
      <c r="A907" s="605"/>
      <c r="B907" s="605"/>
      <c r="C907" s="605"/>
      <c r="D907" s="605"/>
    </row>
    <row r="908">
      <c r="A908" s="605"/>
      <c r="B908" s="605"/>
      <c r="C908" s="605"/>
      <c r="D908" s="605"/>
    </row>
    <row r="909">
      <c r="A909" s="605"/>
      <c r="B909" s="605"/>
      <c r="C909" s="605"/>
      <c r="D909" s="605"/>
    </row>
    <row r="910">
      <c r="A910" s="605"/>
      <c r="B910" s="605"/>
      <c r="C910" s="605"/>
      <c r="D910" s="605"/>
    </row>
    <row r="911">
      <c r="A911" s="605"/>
      <c r="B911" s="605"/>
      <c r="C911" s="605"/>
      <c r="D911" s="605"/>
    </row>
    <row r="912">
      <c r="A912" s="605"/>
      <c r="B912" s="605"/>
      <c r="C912" s="605"/>
      <c r="D912" s="605"/>
    </row>
    <row r="913">
      <c r="A913" s="605"/>
      <c r="B913" s="605"/>
      <c r="C913" s="605"/>
      <c r="D913" s="605"/>
    </row>
    <row r="914">
      <c r="A914" s="605"/>
      <c r="B914" s="605"/>
      <c r="C914" s="605"/>
      <c r="D914" s="605"/>
    </row>
    <row r="915">
      <c r="A915" s="605"/>
      <c r="B915" s="605"/>
      <c r="C915" s="605"/>
      <c r="D915" s="605"/>
    </row>
    <row r="916">
      <c r="A916" s="605"/>
      <c r="B916" s="605"/>
      <c r="C916" s="605"/>
      <c r="D916" s="605"/>
    </row>
    <row r="917">
      <c r="A917" s="605"/>
      <c r="B917" s="605"/>
      <c r="C917" s="605"/>
      <c r="D917" s="605"/>
    </row>
    <row r="918">
      <c r="A918" s="605"/>
      <c r="B918" s="605"/>
      <c r="C918" s="605"/>
      <c r="D918" s="605"/>
    </row>
    <row r="919">
      <c r="A919" s="605"/>
      <c r="B919" s="605"/>
      <c r="C919" s="605"/>
      <c r="D919" s="605"/>
    </row>
    <row r="920">
      <c r="A920" s="605"/>
      <c r="B920" s="605"/>
      <c r="C920" s="605"/>
      <c r="D920" s="605"/>
    </row>
    <row r="921">
      <c r="A921" s="605"/>
      <c r="B921" s="605"/>
      <c r="C921" s="605"/>
      <c r="D921" s="605"/>
    </row>
    <row r="922">
      <c r="A922" s="605"/>
      <c r="B922" s="605"/>
      <c r="C922" s="605"/>
      <c r="D922" s="605"/>
    </row>
    <row r="923">
      <c r="A923" s="605"/>
      <c r="B923" s="605"/>
      <c r="C923" s="605"/>
      <c r="D923" s="605"/>
    </row>
    <row r="924">
      <c r="A924" s="605"/>
      <c r="B924" s="605"/>
      <c r="C924" s="605"/>
      <c r="D924" s="605"/>
    </row>
    <row r="925">
      <c r="A925" s="605"/>
      <c r="B925" s="605"/>
      <c r="C925" s="605"/>
      <c r="D925" s="605"/>
    </row>
    <row r="926">
      <c r="A926" s="605"/>
      <c r="B926" s="605"/>
      <c r="C926" s="605"/>
      <c r="D926" s="605"/>
    </row>
    <row r="927">
      <c r="A927" s="605"/>
      <c r="B927" s="605"/>
      <c r="C927" s="605"/>
      <c r="D927" s="605"/>
    </row>
    <row r="928">
      <c r="A928" s="605"/>
      <c r="B928" s="605"/>
      <c r="C928" s="605"/>
      <c r="D928" s="605"/>
    </row>
    <row r="929">
      <c r="A929" s="605"/>
      <c r="B929" s="605"/>
      <c r="C929" s="605"/>
      <c r="D929" s="605"/>
    </row>
    <row r="930">
      <c r="A930" s="605"/>
      <c r="B930" s="605"/>
      <c r="C930" s="605"/>
      <c r="D930" s="605"/>
    </row>
    <row r="931">
      <c r="A931" s="605"/>
      <c r="B931" s="605"/>
      <c r="C931" s="605"/>
      <c r="D931" s="605"/>
    </row>
    <row r="932">
      <c r="A932" s="605"/>
      <c r="B932" s="605"/>
      <c r="C932" s="605"/>
      <c r="D932" s="605"/>
    </row>
    <row r="933">
      <c r="A933" s="605"/>
      <c r="B933" s="605"/>
      <c r="C933" s="605"/>
      <c r="D933" s="605"/>
    </row>
    <row r="934">
      <c r="A934" s="605"/>
      <c r="B934" s="605"/>
      <c r="C934" s="605"/>
      <c r="D934" s="605"/>
    </row>
    <row r="935">
      <c r="A935" s="605"/>
      <c r="B935" s="605"/>
      <c r="C935" s="605"/>
      <c r="D935" s="605"/>
    </row>
    <row r="936">
      <c r="A936" s="605"/>
      <c r="B936" s="605"/>
      <c r="C936" s="605"/>
      <c r="D936" s="605"/>
    </row>
    <row r="937">
      <c r="A937" s="605"/>
      <c r="B937" s="605"/>
      <c r="C937" s="605"/>
      <c r="D937" s="605"/>
    </row>
    <row r="938">
      <c r="A938" s="605"/>
      <c r="B938" s="605"/>
      <c r="C938" s="605"/>
      <c r="D938" s="605"/>
    </row>
    <row r="939">
      <c r="A939" s="605"/>
      <c r="B939" s="605"/>
      <c r="C939" s="605"/>
      <c r="D939" s="605"/>
    </row>
    <row r="940">
      <c r="A940" s="605"/>
      <c r="B940" s="605"/>
      <c r="C940" s="605"/>
      <c r="D940" s="605"/>
    </row>
    <row r="941">
      <c r="A941" s="605"/>
      <c r="B941" s="605"/>
      <c r="C941" s="605"/>
      <c r="D941" s="605"/>
    </row>
    <row r="942">
      <c r="A942" s="605"/>
      <c r="B942" s="605"/>
      <c r="C942" s="605"/>
      <c r="D942" s="605"/>
    </row>
    <row r="943">
      <c r="A943" s="605"/>
      <c r="B943" s="605"/>
      <c r="C943" s="605"/>
      <c r="D943" s="605"/>
    </row>
    <row r="944">
      <c r="A944" s="605"/>
      <c r="B944" s="605"/>
      <c r="C944" s="605"/>
      <c r="D944" s="605"/>
    </row>
    <row r="945">
      <c r="A945" s="605"/>
      <c r="B945" s="605"/>
      <c r="C945" s="605"/>
      <c r="D945" s="605"/>
    </row>
    <row r="946">
      <c r="A946" s="605"/>
      <c r="B946" s="605"/>
      <c r="C946" s="605"/>
      <c r="D946" s="605"/>
    </row>
    <row r="947">
      <c r="A947" s="605"/>
      <c r="B947" s="605"/>
      <c r="C947" s="605"/>
      <c r="D947" s="605"/>
    </row>
    <row r="948">
      <c r="A948" s="605"/>
      <c r="B948" s="605"/>
      <c r="C948" s="605"/>
      <c r="D948" s="605"/>
    </row>
    <row r="949">
      <c r="A949" s="605"/>
      <c r="B949" s="605"/>
      <c r="C949" s="605"/>
      <c r="D949" s="605"/>
    </row>
    <row r="950">
      <c r="A950" s="605"/>
      <c r="B950" s="605"/>
      <c r="C950" s="605"/>
      <c r="D950" s="605"/>
    </row>
    <row r="951">
      <c r="A951" s="605"/>
      <c r="B951" s="605"/>
      <c r="C951" s="605"/>
      <c r="D951" s="605"/>
    </row>
    <row r="952">
      <c r="A952" s="605"/>
      <c r="B952" s="605"/>
      <c r="C952" s="605"/>
      <c r="D952" s="605"/>
    </row>
    <row r="953">
      <c r="A953" s="605"/>
      <c r="B953" s="605"/>
      <c r="C953" s="605"/>
      <c r="D953" s="605"/>
    </row>
    <row r="954">
      <c r="A954" s="605"/>
      <c r="B954" s="605"/>
      <c r="C954" s="605"/>
      <c r="D954" s="605"/>
    </row>
    <row r="955">
      <c r="A955" s="605"/>
      <c r="B955" s="605"/>
      <c r="C955" s="605"/>
      <c r="D955" s="605"/>
    </row>
    <row r="956">
      <c r="A956" s="605"/>
      <c r="B956" s="605"/>
      <c r="C956" s="605"/>
      <c r="D956" s="605"/>
    </row>
    <row r="957">
      <c r="A957" s="605"/>
      <c r="B957" s="605"/>
      <c r="C957" s="605"/>
      <c r="D957" s="605"/>
    </row>
    <row r="958">
      <c r="A958" s="605"/>
      <c r="B958" s="605"/>
      <c r="C958" s="605"/>
      <c r="D958" s="605"/>
    </row>
    <row r="959">
      <c r="A959" s="605"/>
      <c r="B959" s="605"/>
      <c r="C959" s="605"/>
      <c r="D959" s="605"/>
    </row>
    <row r="960">
      <c r="A960" s="605"/>
      <c r="B960" s="605"/>
      <c r="C960" s="605"/>
      <c r="D960" s="605"/>
    </row>
    <row r="961">
      <c r="A961" s="605"/>
      <c r="B961" s="605"/>
      <c r="C961" s="605"/>
      <c r="D961" s="605"/>
    </row>
    <row r="962">
      <c r="A962" s="605"/>
      <c r="B962" s="605"/>
      <c r="C962" s="605"/>
      <c r="D962" s="605"/>
    </row>
    <row r="963">
      <c r="A963" s="605"/>
      <c r="B963" s="605"/>
      <c r="C963" s="605"/>
      <c r="D963" s="605"/>
    </row>
    <row r="964">
      <c r="A964" s="605"/>
      <c r="B964" s="605"/>
      <c r="C964" s="605"/>
      <c r="D964" s="605"/>
    </row>
    <row r="965">
      <c r="A965" s="605"/>
      <c r="B965" s="605"/>
      <c r="C965" s="605"/>
      <c r="D965" s="605"/>
    </row>
    <row r="966">
      <c r="A966" s="605"/>
      <c r="B966" s="605"/>
      <c r="C966" s="605"/>
      <c r="D966" s="605"/>
    </row>
    <row r="967">
      <c r="A967" s="605"/>
      <c r="B967" s="605"/>
      <c r="C967" s="605"/>
      <c r="D967" s="605"/>
    </row>
    <row r="968">
      <c r="A968" s="605"/>
      <c r="B968" s="605"/>
      <c r="C968" s="605"/>
      <c r="D968" s="605"/>
    </row>
    <row r="969">
      <c r="A969" s="605"/>
      <c r="B969" s="605"/>
      <c r="C969" s="605"/>
      <c r="D969" s="605"/>
    </row>
    <row r="970">
      <c r="A970" s="605"/>
      <c r="B970" s="605"/>
      <c r="C970" s="605"/>
      <c r="D970" s="605"/>
    </row>
    <row r="971">
      <c r="A971" s="605"/>
      <c r="B971" s="605"/>
      <c r="C971" s="605"/>
      <c r="D971" s="605"/>
    </row>
    <row r="972">
      <c r="A972" s="605"/>
      <c r="B972" s="605"/>
      <c r="C972" s="605"/>
      <c r="D972" s="605"/>
    </row>
    <row r="973">
      <c r="A973" s="605"/>
      <c r="B973" s="605"/>
      <c r="C973" s="605"/>
      <c r="D973" s="605"/>
    </row>
    <row r="974">
      <c r="A974" s="605"/>
      <c r="B974" s="605"/>
      <c r="C974" s="605"/>
      <c r="D974" s="605"/>
    </row>
    <row r="975">
      <c r="A975" s="605"/>
      <c r="B975" s="605"/>
      <c r="C975" s="605"/>
      <c r="D975" s="605"/>
    </row>
    <row r="976">
      <c r="A976" s="605"/>
      <c r="B976" s="605"/>
      <c r="C976" s="605"/>
      <c r="D976" s="605"/>
    </row>
    <row r="977">
      <c r="A977" s="605"/>
      <c r="B977" s="605"/>
      <c r="C977" s="605"/>
      <c r="D977" s="605"/>
    </row>
    <row r="978">
      <c r="A978" s="605"/>
      <c r="B978" s="605"/>
      <c r="C978" s="605"/>
      <c r="D978" s="605"/>
    </row>
    <row r="979">
      <c r="A979" s="605"/>
      <c r="B979" s="605"/>
      <c r="C979" s="605"/>
      <c r="D979" s="605"/>
    </row>
    <row r="980">
      <c r="A980" s="605"/>
      <c r="B980" s="605"/>
      <c r="C980" s="605"/>
      <c r="D980" s="605"/>
    </row>
    <row r="981">
      <c r="A981" s="605"/>
      <c r="B981" s="605"/>
      <c r="C981" s="605"/>
      <c r="D981" s="605"/>
    </row>
    <row r="982">
      <c r="A982" s="605"/>
      <c r="B982" s="605"/>
      <c r="C982" s="605"/>
      <c r="D982" s="605"/>
    </row>
    <row r="983">
      <c r="A983" s="605"/>
      <c r="B983" s="605"/>
      <c r="C983" s="605"/>
      <c r="D983" s="605"/>
    </row>
    <row r="984">
      <c r="A984" s="605"/>
      <c r="B984" s="605"/>
      <c r="C984" s="605"/>
      <c r="D984" s="605"/>
    </row>
    <row r="985">
      <c r="A985" s="605"/>
      <c r="B985" s="605"/>
      <c r="C985" s="605"/>
      <c r="D985" s="605"/>
    </row>
    <row r="986">
      <c r="A986" s="605"/>
      <c r="B986" s="605"/>
      <c r="C986" s="605"/>
      <c r="D986" s="605"/>
    </row>
    <row r="987">
      <c r="A987" s="605"/>
      <c r="B987" s="605"/>
      <c r="C987" s="605"/>
      <c r="D987" s="605"/>
    </row>
    <row r="988">
      <c r="A988" s="605"/>
      <c r="B988" s="605"/>
      <c r="C988" s="605"/>
      <c r="D988" s="605"/>
    </row>
    <row r="989">
      <c r="A989" s="605"/>
      <c r="B989" s="605"/>
      <c r="C989" s="605"/>
      <c r="D989" s="605"/>
    </row>
    <row r="990">
      <c r="A990" s="605"/>
      <c r="B990" s="605"/>
      <c r="C990" s="605"/>
      <c r="D990" s="605"/>
    </row>
    <row r="991">
      <c r="A991" s="605"/>
      <c r="B991" s="605"/>
      <c r="C991" s="605"/>
      <c r="D991" s="605"/>
    </row>
    <row r="992">
      <c r="A992" s="605"/>
      <c r="B992" s="605"/>
      <c r="C992" s="605"/>
      <c r="D992" s="605"/>
    </row>
    <row r="993">
      <c r="A993" s="605"/>
      <c r="B993" s="605"/>
      <c r="C993" s="605"/>
      <c r="D993" s="605"/>
    </row>
    <row r="994">
      <c r="A994" s="605"/>
      <c r="B994" s="605"/>
      <c r="C994" s="605"/>
      <c r="D994" s="605"/>
    </row>
    <row r="995">
      <c r="A995" s="605"/>
      <c r="B995" s="605"/>
      <c r="C995" s="605"/>
      <c r="D995" s="605"/>
    </row>
    <row r="996">
      <c r="A996" s="605"/>
      <c r="B996" s="605"/>
      <c r="C996" s="605"/>
      <c r="D996" s="605"/>
    </row>
    <row r="997">
      <c r="A997" s="605"/>
      <c r="B997" s="605"/>
      <c r="C997" s="605"/>
      <c r="D997" s="605"/>
    </row>
    <row r="998">
      <c r="A998" s="605"/>
      <c r="B998" s="605"/>
      <c r="C998" s="605"/>
      <c r="D998" s="605"/>
    </row>
    <row r="999">
      <c r="A999" s="605"/>
      <c r="B999" s="605"/>
      <c r="C999" s="605"/>
      <c r="D999" s="605"/>
    </row>
    <row r="1000">
      <c r="A1000" s="605"/>
      <c r="B1000" s="605"/>
      <c r="C1000" s="605"/>
      <c r="D1000" s="605"/>
    </row>
  </sheetData>
  <dataValidations>
    <dataValidation type="list" allowBlank="1" showErrorMessage="1" sqref="B2">
      <formula1>'الحضور'!$B$2:$B$1493</formula1>
    </dataValidation>
    <dataValidation type="list" allowBlank="1" showErrorMessage="1" sqref="B3">
      <formula1>"1,2,3,4,5,6,7,8,9,10,11,12"</formula1>
    </dataValidation>
    <dataValidation type="list" allowBlank="1" showErrorMessage="1" sqref="B4">
      <formula1>"2025,2026"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/>
  <cols>
    <col customWidth="1" min="1" max="1" width="13.14"/>
    <col customWidth="1" min="2" max="2" width="17.0"/>
    <col customWidth="1" min="3" max="3" width="20.86"/>
    <col customWidth="1" min="4" max="4" width="22.29"/>
    <col customWidth="1" min="5" max="5" width="13.14"/>
    <col customWidth="1" min="6" max="6" width="16.86"/>
    <col customWidth="1" min="7" max="7" width="19.71"/>
    <col customWidth="1" min="8" max="8" width="13.86"/>
    <col customWidth="1" min="9" max="9" width="13.43"/>
    <col customWidth="1" min="10" max="10" width="13.29"/>
    <col customWidth="1" min="11" max="11" width="19.43"/>
    <col customWidth="1" min="12" max="12" width="17.0"/>
    <col customWidth="1" min="13" max="13" width="14.71"/>
    <col customWidth="1" min="14" max="14" width="26.43"/>
  </cols>
  <sheetData>
    <row r="1" ht="22.5" customHeight="1">
      <c r="A1" s="606"/>
      <c r="B1" s="607" t="s">
        <v>2554</v>
      </c>
      <c r="G1" s="608"/>
      <c r="H1" s="609"/>
      <c r="I1" s="608"/>
      <c r="J1" s="608"/>
      <c r="K1" s="608"/>
      <c r="L1" s="608"/>
      <c r="M1" s="608"/>
      <c r="N1" s="608"/>
    </row>
    <row r="2" ht="22.5" customHeight="1">
      <c r="A2" s="606"/>
      <c r="G2" s="608"/>
      <c r="H2" s="609"/>
      <c r="I2" s="608"/>
      <c r="J2" s="608"/>
      <c r="K2" s="608"/>
      <c r="L2" s="608"/>
      <c r="M2" s="608"/>
      <c r="N2" s="608"/>
    </row>
    <row r="3" ht="22.5" customHeight="1">
      <c r="A3" s="606"/>
      <c r="G3" s="608"/>
      <c r="H3" s="609"/>
      <c r="I3" s="608"/>
      <c r="J3" s="608"/>
      <c r="K3" s="608"/>
      <c r="L3" s="608"/>
      <c r="M3" s="608"/>
      <c r="N3" s="608"/>
    </row>
    <row r="4" ht="22.5" customHeight="1">
      <c r="A4" s="606"/>
      <c r="B4" s="606"/>
      <c r="C4" s="610" t="s">
        <v>2555</v>
      </c>
      <c r="D4" s="611">
        <f>IF(D5="","",SUMIFS('الرواتب'!I:I,'الرواتب'!A:A,D5,'الرواتب'!O:O,"&gt;="&amp;DATE(D7,1,1),'الرواتب'!O:O,"&lt;="&amp;DATE(D7,12,31)))</f>
        <v>7187598.472</v>
      </c>
      <c r="E4" s="612" t="s">
        <v>948</v>
      </c>
      <c r="F4" s="613" t="s">
        <v>2538</v>
      </c>
      <c r="G4" s="608"/>
      <c r="H4" s="609"/>
      <c r="I4" s="608"/>
      <c r="J4" s="608"/>
      <c r="K4" s="608"/>
      <c r="L4" s="608"/>
      <c r="M4" s="608"/>
      <c r="N4" s="608"/>
    </row>
    <row r="5" ht="22.5" customHeight="1">
      <c r="A5" s="614"/>
      <c r="B5" s="614"/>
      <c r="C5" s="610" t="s">
        <v>2</v>
      </c>
      <c r="D5" s="615" t="s">
        <v>16</v>
      </c>
      <c r="E5" s="616">
        <f>IFERROR(__xludf.DUMMYFUNCTION("FILTER({'الرواتب'!O:O , 'الرواتب'!I:I} ,'الرواتب'!A:A  = $D$5)"),45724.0)</f>
        <v>45724</v>
      </c>
      <c r="F5" s="617">
        <f>IFERROR(__xludf.DUMMYFUNCTION("""COMPUTED_VALUE"""),823000.0)</f>
        <v>823000</v>
      </c>
      <c r="G5" s="616">
        <f>IFERROR(__xludf.DUMMYFUNCTION("FILTER({'الرواتب'!O:O , 'الرواتب'!K:K} ,'الرواتب'!A:A  = $D$5)"),45724.0)</f>
        <v>45724</v>
      </c>
      <c r="H5" s="617"/>
      <c r="I5" s="618"/>
      <c r="J5" s="618"/>
      <c r="K5" s="618"/>
      <c r="L5" s="618"/>
      <c r="M5" s="618"/>
      <c r="N5" s="618"/>
    </row>
    <row r="6" ht="27.75" customHeight="1">
      <c r="A6" s="619"/>
      <c r="B6" s="619"/>
      <c r="C6" s="620" t="s">
        <v>2556</v>
      </c>
      <c r="D6" s="621">
        <v>1.0</v>
      </c>
      <c r="E6" s="616">
        <f>IFERROR(__xludf.DUMMYFUNCTION("""COMPUTED_VALUE"""),45756.0)</f>
        <v>45756</v>
      </c>
      <c r="F6" s="601">
        <f>IFERROR(__xludf.DUMMYFUNCTION("""COMPUTED_VALUE"""),845000.0)</f>
        <v>845000</v>
      </c>
      <c r="G6" s="616">
        <f>IFERROR(__xludf.DUMMYFUNCTION("""COMPUTED_VALUE"""),45756.0)</f>
        <v>45756</v>
      </c>
      <c r="H6" s="601"/>
      <c r="I6" s="601"/>
      <c r="J6" s="601"/>
      <c r="K6" s="601"/>
      <c r="L6" s="601"/>
      <c r="M6" s="601"/>
      <c r="N6" s="601"/>
    </row>
    <row r="7" ht="22.5" customHeight="1">
      <c r="A7" s="619"/>
      <c r="B7" s="619"/>
      <c r="C7" s="620" t="s">
        <v>2540</v>
      </c>
      <c r="D7" s="621">
        <v>2025.0</v>
      </c>
      <c r="E7" s="616">
        <f>IFERROR(__xludf.DUMMYFUNCTION("""COMPUTED_VALUE"""),45784.0)</f>
        <v>45784</v>
      </c>
      <c r="F7" s="601">
        <f>IFERROR(__xludf.DUMMYFUNCTION("""COMPUTED_VALUE"""),913000.0)</f>
        <v>913000</v>
      </c>
      <c r="G7" s="616">
        <f>IFERROR(__xludf.DUMMYFUNCTION("""COMPUTED_VALUE"""),45784.0)</f>
        <v>45784</v>
      </c>
      <c r="H7" s="601"/>
      <c r="I7" s="608"/>
      <c r="J7" s="608"/>
      <c r="K7" s="608"/>
      <c r="L7" s="608"/>
      <c r="M7" s="608"/>
      <c r="N7" s="608"/>
    </row>
    <row r="8" ht="22.5" customHeight="1">
      <c r="A8" s="622"/>
      <c r="B8" s="622"/>
      <c r="C8" s="610" t="s">
        <v>2552</v>
      </c>
      <c r="D8" s="619">
        <f>MAX(F:F)</f>
        <v>1151268.14</v>
      </c>
      <c r="E8" s="616">
        <f>IFERROR(__xludf.DUMMYFUNCTION("""COMPUTED_VALUE"""),45817.0)</f>
        <v>45817</v>
      </c>
      <c r="F8" s="601">
        <f>IFERROR(__xludf.DUMMYFUNCTION("""COMPUTED_VALUE"""),867000.0)</f>
        <v>867000</v>
      </c>
      <c r="G8" s="616">
        <f>IFERROR(__xludf.DUMMYFUNCTION("""COMPUTED_VALUE"""),45817.0)</f>
        <v>45817</v>
      </c>
      <c r="H8" s="601"/>
      <c r="I8" s="608"/>
      <c r="J8" s="608"/>
      <c r="K8" s="608"/>
      <c r="L8" s="608"/>
      <c r="M8" s="608"/>
      <c r="N8" s="608"/>
    </row>
    <row r="9" ht="22.5" customHeight="1">
      <c r="A9" s="622"/>
      <c r="B9" s="622"/>
      <c r="C9" s="610" t="s">
        <v>2553</v>
      </c>
      <c r="D9" s="619">
        <f>MIN(F:F)</f>
        <v>0</v>
      </c>
      <c r="E9" s="616">
        <f>IFERROR(__xludf.DUMMYFUNCTION("""COMPUTED_VALUE"""),45846.0)</f>
        <v>45846</v>
      </c>
      <c r="F9" s="601">
        <f>IFERROR(__xludf.DUMMYFUNCTION("""COMPUTED_VALUE"""),979000.0)</f>
        <v>979000</v>
      </c>
      <c r="G9" s="616">
        <f>IFERROR(__xludf.DUMMYFUNCTION("""COMPUTED_VALUE"""),45846.0)</f>
        <v>45846</v>
      </c>
      <c r="H9" s="601"/>
      <c r="I9" s="608"/>
      <c r="J9" s="608"/>
      <c r="K9" s="608"/>
      <c r="L9" s="608"/>
      <c r="M9" s="608"/>
      <c r="N9" s="608"/>
    </row>
    <row r="10" ht="22.5" customHeight="1">
      <c r="A10" s="619"/>
      <c r="B10" s="619"/>
      <c r="C10" s="610" t="s">
        <v>2511</v>
      </c>
      <c r="D10" s="611">
        <f>IF(D7="","",SUMIFS('الرواتب'!N:N,'الرواتب'!O:O,"&gt;="&amp;DATE(D7,1,1),'الرواتب'!O:O,"&lt;="&amp;DATE(D7,12,31)))</f>
        <v>68919058.6</v>
      </c>
      <c r="E10" s="616">
        <f>IFERROR(__xludf.DUMMYFUNCTION("""COMPUTED_VALUE"""),45870.0)</f>
        <v>45870</v>
      </c>
      <c r="F10" s="601">
        <f>IFERROR(__xludf.DUMMYFUNCTION("""COMPUTED_VALUE"""),632000.0)</f>
        <v>632000</v>
      </c>
      <c r="G10" s="616">
        <f>IFERROR(__xludf.DUMMYFUNCTION("""COMPUTED_VALUE"""),45870.0)</f>
        <v>45870</v>
      </c>
      <c r="H10" s="601"/>
      <c r="I10" s="608"/>
      <c r="J10" s="608"/>
      <c r="K10" s="608"/>
      <c r="L10" s="608"/>
      <c r="M10" s="608"/>
      <c r="N10" s="608"/>
    </row>
    <row r="11" ht="22.5" customHeight="1">
      <c r="A11" s="619"/>
      <c r="B11" s="619"/>
      <c r="C11" s="618" t="s">
        <v>2518</v>
      </c>
      <c r="D11" s="601">
        <f>IF(D7="","",SUMIFS('الرواتب'!K:K,'الرواتب'!O:O,"&gt;="&amp;DATE(D7,1,1),'الرواتب'!O:O,"&lt;="&amp;DATE(D7,12,31)))</f>
        <v>3398963</v>
      </c>
      <c r="E11" s="616">
        <f>IFERROR(__xludf.DUMMYFUNCTION("""COMPUTED_VALUE"""),45901.0)</f>
        <v>45901</v>
      </c>
      <c r="F11" s="601">
        <f>IFERROR(__xludf.DUMMYFUNCTION("""COMPUTED_VALUE"""),1151268.1396613058)</f>
        <v>1151268.14</v>
      </c>
      <c r="G11" s="616">
        <f>IFERROR(__xludf.DUMMYFUNCTION("""COMPUTED_VALUE"""),45901.0)</f>
        <v>45901</v>
      </c>
      <c r="H11" s="601">
        <f>IFERROR(__xludf.DUMMYFUNCTION("""COMPUTED_VALUE"""),240000.0)</f>
        <v>240000</v>
      </c>
      <c r="I11" s="608"/>
      <c r="J11" s="608"/>
      <c r="K11" s="608"/>
      <c r="L11" s="608"/>
      <c r="M11" s="608"/>
      <c r="N11" s="608"/>
    </row>
    <row r="12" ht="22.5" customHeight="1">
      <c r="A12" s="623"/>
      <c r="B12" s="623"/>
      <c r="D12" s="623"/>
      <c r="E12" s="616">
        <f>IFERROR(__xludf.DUMMYFUNCTION("""COMPUTED_VALUE"""),45941.0)</f>
        <v>45941</v>
      </c>
      <c r="F12" s="601">
        <f>IFERROR(__xludf.DUMMYFUNCTION("""COMPUTED_VALUE"""),731145.390070922)</f>
        <v>731145.3901</v>
      </c>
      <c r="G12" s="616">
        <f>IFERROR(__xludf.DUMMYFUNCTION("""COMPUTED_VALUE"""),45941.0)</f>
        <v>45941</v>
      </c>
      <c r="H12" s="601">
        <f>IFERROR(__xludf.DUMMYFUNCTION("""COMPUTED_VALUE"""),374000.0)</f>
        <v>374000</v>
      </c>
      <c r="I12" s="608"/>
      <c r="J12" s="608"/>
      <c r="K12" s="608"/>
      <c r="L12" s="608"/>
      <c r="M12" s="608"/>
      <c r="N12" s="608"/>
    </row>
    <row r="13" ht="22.5" customHeight="1">
      <c r="A13" s="623"/>
      <c r="B13" s="623"/>
      <c r="C13" s="623"/>
      <c r="D13" s="623"/>
      <c r="E13" s="616">
        <f>IFERROR(__xludf.DUMMYFUNCTION("""COMPUTED_VALUE"""),45962.0)</f>
        <v>45962</v>
      </c>
      <c r="F13" s="601">
        <f>IFERROR(__xludf.DUMMYFUNCTION("""COMPUTED_VALUE"""),246184.9427168576)</f>
        <v>246184.9427</v>
      </c>
      <c r="G13" s="616">
        <f>IFERROR(__xludf.DUMMYFUNCTION("""COMPUTED_VALUE"""),45962.0)</f>
        <v>45962</v>
      </c>
      <c r="H13" s="601">
        <f>IFERROR(__xludf.DUMMYFUNCTION("""COMPUTED_VALUE"""),0.0)</f>
        <v>0</v>
      </c>
      <c r="I13" s="608"/>
      <c r="J13" s="608"/>
      <c r="K13" s="608"/>
      <c r="L13" s="608"/>
      <c r="M13" s="608"/>
      <c r="N13" s="608"/>
    </row>
    <row r="14" ht="22.5" customHeight="1">
      <c r="A14" s="622"/>
      <c r="B14" s="622"/>
      <c r="C14" s="622"/>
      <c r="D14" s="622"/>
      <c r="E14" s="624">
        <f>IFERROR(__xludf.DUMMYFUNCTION("""COMPUTED_VALUE"""),45992.0)</f>
        <v>45992</v>
      </c>
      <c r="F14" s="601">
        <f>IFERROR(__xludf.DUMMYFUNCTION("""COMPUTED_VALUE"""),0.0)</f>
        <v>0</v>
      </c>
      <c r="G14" s="624">
        <f>IFERROR(__xludf.DUMMYFUNCTION("""COMPUTED_VALUE"""),45992.0)</f>
        <v>45992</v>
      </c>
      <c r="H14" s="601">
        <f>IFERROR(__xludf.DUMMYFUNCTION("""COMPUTED_VALUE"""),0.0)</f>
        <v>0</v>
      </c>
      <c r="I14" s="608"/>
      <c r="J14" s="608"/>
      <c r="K14" s="608"/>
      <c r="L14" s="608"/>
      <c r="M14" s="608"/>
      <c r="N14" s="608"/>
    </row>
    <row r="15" ht="22.5" customHeight="1">
      <c r="A15" s="622"/>
      <c r="B15" s="622"/>
      <c r="C15" s="622"/>
      <c r="D15" s="622"/>
      <c r="E15" s="625"/>
      <c r="F15" s="601"/>
      <c r="G15" s="608"/>
      <c r="H15" s="609"/>
      <c r="I15" s="608"/>
      <c r="J15" s="608"/>
      <c r="K15" s="608"/>
      <c r="L15" s="608"/>
      <c r="M15" s="608"/>
      <c r="N15" s="608"/>
    </row>
    <row r="16" ht="22.5" customHeight="1">
      <c r="A16" s="622"/>
      <c r="B16" s="622"/>
      <c r="C16" s="622"/>
      <c r="D16" s="622"/>
      <c r="E16" s="625"/>
      <c r="F16" s="601"/>
      <c r="G16" s="608"/>
      <c r="H16" s="609"/>
      <c r="I16" s="608"/>
      <c r="J16" s="608"/>
      <c r="K16" s="608"/>
      <c r="L16" s="608"/>
      <c r="M16" s="608"/>
      <c r="N16" s="608"/>
    </row>
    <row r="17" ht="22.5" customHeight="1">
      <c r="A17" s="622"/>
      <c r="B17" s="622"/>
      <c r="C17" s="622"/>
      <c r="D17" s="622"/>
      <c r="E17" s="625"/>
      <c r="F17" s="601"/>
      <c r="G17" s="608"/>
      <c r="H17" s="609"/>
      <c r="I17" s="608"/>
      <c r="J17" s="608"/>
      <c r="K17" s="608"/>
      <c r="L17" s="608"/>
      <c r="M17" s="608"/>
      <c r="N17" s="608"/>
    </row>
    <row r="18" ht="22.5" customHeight="1">
      <c r="A18" s="622"/>
      <c r="B18" s="622"/>
      <c r="C18" s="622"/>
      <c r="D18" s="622"/>
      <c r="E18" s="625"/>
      <c r="F18" s="601"/>
      <c r="G18" s="608"/>
      <c r="H18" s="609"/>
      <c r="I18" s="608"/>
      <c r="J18" s="608"/>
      <c r="K18" s="608"/>
      <c r="L18" s="608"/>
      <c r="M18" s="608"/>
      <c r="N18" s="608"/>
    </row>
    <row r="19" ht="22.5" customHeight="1">
      <c r="A19" s="622"/>
      <c r="B19" s="622"/>
      <c r="C19" s="622"/>
      <c r="D19" s="622"/>
      <c r="E19" s="625"/>
      <c r="F19" s="601"/>
      <c r="G19" s="608"/>
      <c r="H19" s="609"/>
      <c r="I19" s="608"/>
      <c r="J19" s="608"/>
      <c r="K19" s="608"/>
      <c r="L19" s="608"/>
      <c r="M19" s="608"/>
      <c r="N19" s="608"/>
    </row>
    <row r="20" ht="22.5" customHeight="1">
      <c r="A20" s="622"/>
      <c r="B20" s="622"/>
      <c r="C20" s="622"/>
      <c r="D20" s="622"/>
      <c r="E20" s="625"/>
      <c r="F20" s="601"/>
      <c r="G20" s="608"/>
      <c r="H20" s="609"/>
      <c r="I20" s="608"/>
      <c r="J20" s="608"/>
      <c r="K20" s="608"/>
      <c r="L20" s="608"/>
      <c r="M20" s="608"/>
      <c r="N20" s="608"/>
    </row>
    <row r="21" ht="22.5" customHeight="1">
      <c r="A21" s="622"/>
      <c r="B21" s="622"/>
      <c r="C21" s="622"/>
      <c r="D21" s="622"/>
      <c r="E21" s="625"/>
      <c r="F21" s="601"/>
      <c r="G21" s="608"/>
      <c r="H21" s="609"/>
      <c r="I21" s="608"/>
      <c r="J21" s="608"/>
      <c r="K21" s="608"/>
      <c r="L21" s="608"/>
      <c r="M21" s="608"/>
      <c r="N21" s="608"/>
    </row>
    <row r="22" ht="22.5" customHeight="1">
      <c r="A22" s="622"/>
      <c r="B22" s="622"/>
      <c r="C22" s="622"/>
      <c r="D22" s="622"/>
      <c r="E22" s="625"/>
      <c r="F22" s="601"/>
      <c r="G22" s="608"/>
      <c r="H22" s="609"/>
      <c r="I22" s="608"/>
      <c r="J22" s="608"/>
      <c r="K22" s="608"/>
      <c r="L22" s="608"/>
      <c r="M22" s="608"/>
      <c r="N22" s="608"/>
    </row>
    <row r="23" ht="22.5" customHeight="1">
      <c r="A23" s="622"/>
      <c r="B23" s="622"/>
      <c r="C23" s="622"/>
      <c r="D23" s="622"/>
      <c r="E23" s="625"/>
      <c r="F23" s="601"/>
      <c r="G23" s="608"/>
      <c r="H23" s="609"/>
      <c r="I23" s="608"/>
      <c r="J23" s="608"/>
      <c r="K23" s="608"/>
      <c r="L23" s="608"/>
      <c r="M23" s="608"/>
      <c r="N23" s="608"/>
    </row>
    <row r="24" ht="22.5" customHeight="1">
      <c r="A24" s="622"/>
      <c r="B24" s="622"/>
      <c r="C24" s="622"/>
      <c r="D24" s="622"/>
      <c r="E24" s="625"/>
      <c r="F24" s="601"/>
      <c r="G24" s="608"/>
      <c r="H24" s="609"/>
      <c r="I24" s="608"/>
      <c r="J24" s="608"/>
      <c r="K24" s="608"/>
      <c r="L24" s="608"/>
      <c r="M24" s="608"/>
      <c r="N24" s="608"/>
    </row>
    <row r="25" ht="22.5" customHeight="1">
      <c r="A25" s="622"/>
      <c r="B25" s="622"/>
      <c r="C25" s="622"/>
      <c r="D25" s="622"/>
      <c r="E25" s="625"/>
      <c r="F25" s="601"/>
      <c r="G25" s="608"/>
      <c r="H25" s="609"/>
      <c r="I25" s="608"/>
      <c r="J25" s="608"/>
      <c r="K25" s="608"/>
      <c r="L25" s="608"/>
      <c r="M25" s="608"/>
      <c r="N25" s="608"/>
    </row>
    <row r="26" ht="22.5" customHeight="1">
      <c r="A26" s="622"/>
      <c r="B26" s="622"/>
      <c r="C26" s="622"/>
      <c r="D26" s="622"/>
      <c r="E26" s="625"/>
      <c r="F26" s="601"/>
      <c r="G26" s="608"/>
      <c r="H26" s="609"/>
      <c r="I26" s="608"/>
      <c r="J26" s="608"/>
      <c r="K26" s="608"/>
      <c r="L26" s="608"/>
      <c r="M26" s="608"/>
      <c r="N26" s="608"/>
    </row>
    <row r="27" ht="22.5" customHeight="1">
      <c r="A27" s="622"/>
      <c r="B27" s="622"/>
      <c r="C27" s="622"/>
      <c r="D27" s="622"/>
      <c r="E27" s="625"/>
      <c r="F27" s="601"/>
      <c r="G27" s="608"/>
      <c r="H27" s="609"/>
      <c r="I27" s="608"/>
      <c r="J27" s="608"/>
      <c r="K27" s="608"/>
      <c r="L27" s="608"/>
      <c r="M27" s="608"/>
      <c r="N27" s="608"/>
    </row>
    <row r="28" ht="22.5" customHeight="1">
      <c r="A28" s="622"/>
      <c r="B28" s="622"/>
      <c r="C28" s="622"/>
      <c r="D28" s="622"/>
      <c r="E28" s="625"/>
      <c r="F28" s="601"/>
      <c r="G28" s="608"/>
      <c r="H28" s="609"/>
      <c r="I28" s="608"/>
      <c r="J28" s="608"/>
      <c r="K28" s="608"/>
      <c r="L28" s="608"/>
      <c r="M28" s="608"/>
      <c r="N28" s="608"/>
    </row>
    <row r="29" ht="22.5" customHeight="1">
      <c r="A29" s="622"/>
      <c r="B29" s="622"/>
      <c r="C29" s="622"/>
      <c r="D29" s="622"/>
      <c r="E29" s="625"/>
      <c r="F29" s="601"/>
      <c r="G29" s="608"/>
      <c r="H29" s="609"/>
      <c r="I29" s="608"/>
      <c r="J29" s="608"/>
      <c r="K29" s="608"/>
      <c r="L29" s="608"/>
      <c r="M29" s="608"/>
      <c r="N29" s="608"/>
    </row>
    <row r="30" ht="22.5" customHeight="1">
      <c r="A30" s="622"/>
      <c r="B30" s="622"/>
      <c r="C30" s="622"/>
      <c r="D30" s="622"/>
      <c r="E30" s="625"/>
      <c r="F30" s="601"/>
      <c r="G30" s="608"/>
      <c r="H30" s="609"/>
      <c r="I30" s="608"/>
      <c r="J30" s="608"/>
      <c r="K30" s="608"/>
      <c r="L30" s="608"/>
      <c r="M30" s="608"/>
      <c r="N30" s="608"/>
    </row>
    <row r="31" ht="22.5" customHeight="1">
      <c r="A31" s="622"/>
      <c r="B31" s="622"/>
      <c r="C31" s="622"/>
      <c r="D31" s="622"/>
      <c r="E31" s="625"/>
      <c r="F31" s="601"/>
      <c r="G31" s="608"/>
      <c r="H31" s="609"/>
      <c r="I31" s="608"/>
      <c r="J31" s="608"/>
      <c r="K31" s="608"/>
      <c r="L31" s="608"/>
      <c r="M31" s="608"/>
      <c r="N31" s="608"/>
    </row>
    <row r="32" ht="22.5" customHeight="1">
      <c r="A32" s="622"/>
      <c r="B32" s="622"/>
      <c r="C32" s="622"/>
      <c r="D32" s="622"/>
      <c r="E32" s="625"/>
      <c r="F32" s="601"/>
      <c r="G32" s="608"/>
      <c r="H32" s="609"/>
      <c r="I32" s="608"/>
      <c r="J32" s="608"/>
      <c r="K32" s="608"/>
      <c r="L32" s="608"/>
      <c r="M32" s="608"/>
      <c r="N32" s="608"/>
    </row>
    <row r="33" ht="22.5" customHeight="1">
      <c r="A33" s="622"/>
      <c r="B33" s="622"/>
      <c r="C33" s="622"/>
      <c r="D33" s="622"/>
      <c r="E33" s="625"/>
      <c r="F33" s="601"/>
      <c r="G33" s="608"/>
      <c r="H33" s="609"/>
      <c r="I33" s="608"/>
      <c r="J33" s="608"/>
      <c r="K33" s="608"/>
      <c r="L33" s="608"/>
      <c r="M33" s="608"/>
      <c r="N33" s="608"/>
    </row>
    <row r="34" ht="22.5" customHeight="1">
      <c r="A34" s="622"/>
      <c r="B34" s="622"/>
      <c r="C34" s="622"/>
      <c r="D34" s="622"/>
      <c r="E34" s="625"/>
      <c r="F34" s="601"/>
      <c r="G34" s="608"/>
      <c r="H34" s="609"/>
      <c r="I34" s="608"/>
      <c r="J34" s="608"/>
      <c r="K34" s="608"/>
      <c r="L34" s="608"/>
      <c r="M34" s="608"/>
      <c r="N34" s="608"/>
    </row>
    <row r="35" ht="22.5" customHeight="1">
      <c r="A35" s="622"/>
      <c r="B35" s="622"/>
      <c r="C35" s="622"/>
      <c r="D35" s="622"/>
      <c r="E35" s="625"/>
      <c r="F35" s="601"/>
      <c r="G35" s="608"/>
      <c r="H35" s="609"/>
      <c r="I35" s="608"/>
      <c r="J35" s="608"/>
      <c r="K35" s="608"/>
      <c r="L35" s="608"/>
      <c r="M35" s="608"/>
      <c r="N35" s="608"/>
    </row>
    <row r="36" ht="22.5" customHeight="1">
      <c r="A36" s="622"/>
      <c r="B36" s="622"/>
      <c r="C36" s="622"/>
      <c r="D36" s="622"/>
      <c r="E36" s="625"/>
      <c r="F36" s="601"/>
      <c r="G36" s="608"/>
      <c r="H36" s="609"/>
      <c r="I36" s="608"/>
      <c r="J36" s="608"/>
      <c r="K36" s="608"/>
      <c r="L36" s="608"/>
      <c r="M36" s="608"/>
      <c r="N36" s="608"/>
    </row>
    <row r="37" ht="22.5" customHeight="1">
      <c r="A37" s="622"/>
      <c r="B37" s="622"/>
      <c r="C37" s="622"/>
      <c r="D37" s="622"/>
      <c r="E37" s="625"/>
      <c r="F37" s="601"/>
      <c r="G37" s="608"/>
      <c r="H37" s="609"/>
      <c r="I37" s="608"/>
      <c r="J37" s="608"/>
      <c r="K37" s="608"/>
      <c r="L37" s="608"/>
      <c r="M37" s="608"/>
      <c r="N37" s="608"/>
    </row>
    <row r="38" ht="22.5" customHeight="1">
      <c r="A38" s="622"/>
      <c r="B38" s="622"/>
      <c r="C38" s="622"/>
      <c r="D38" s="622"/>
      <c r="E38" s="625"/>
      <c r="F38" s="601"/>
      <c r="G38" s="608"/>
      <c r="H38" s="609"/>
      <c r="I38" s="608"/>
      <c r="J38" s="608"/>
      <c r="K38" s="608"/>
      <c r="L38" s="608"/>
      <c r="M38" s="608"/>
      <c r="N38" s="608"/>
    </row>
    <row r="39" ht="22.5" customHeight="1">
      <c r="A39" s="622"/>
      <c r="B39" s="622"/>
      <c r="C39" s="622"/>
      <c r="D39" s="622"/>
      <c r="E39" s="625"/>
      <c r="F39" s="601"/>
      <c r="G39" s="608"/>
      <c r="H39" s="609"/>
      <c r="I39" s="608"/>
      <c r="J39" s="608"/>
      <c r="K39" s="608"/>
      <c r="L39" s="608"/>
      <c r="M39" s="608"/>
      <c r="N39" s="608"/>
    </row>
    <row r="40" ht="22.5" customHeight="1">
      <c r="A40" s="622"/>
      <c r="B40" s="622"/>
      <c r="C40" s="622"/>
      <c r="D40" s="622"/>
      <c r="E40" s="625"/>
      <c r="F40" s="601"/>
      <c r="G40" s="608"/>
      <c r="H40" s="609"/>
      <c r="I40" s="608"/>
      <c r="J40" s="608"/>
      <c r="K40" s="608"/>
      <c r="L40" s="608"/>
      <c r="M40" s="608"/>
      <c r="N40" s="608"/>
    </row>
    <row r="41" ht="22.5" customHeight="1">
      <c r="A41" s="622"/>
      <c r="B41" s="622"/>
      <c r="C41" s="622"/>
      <c r="D41" s="622"/>
      <c r="E41" s="625"/>
      <c r="F41" s="601"/>
      <c r="G41" s="608"/>
      <c r="H41" s="609"/>
      <c r="I41" s="608"/>
      <c r="J41" s="608"/>
      <c r="K41" s="608"/>
      <c r="L41" s="608"/>
      <c r="M41" s="608"/>
      <c r="N41" s="608"/>
    </row>
    <row r="42" ht="22.5" customHeight="1">
      <c r="A42" s="622"/>
      <c r="B42" s="622"/>
      <c r="C42" s="622"/>
      <c r="D42" s="622"/>
      <c r="E42" s="625"/>
      <c r="F42" s="601"/>
      <c r="G42" s="608"/>
      <c r="H42" s="609"/>
      <c r="I42" s="608"/>
      <c r="J42" s="608"/>
      <c r="K42" s="608"/>
      <c r="L42" s="608"/>
      <c r="M42" s="608"/>
      <c r="N42" s="608"/>
    </row>
    <row r="43" ht="22.5" customHeight="1">
      <c r="A43" s="622"/>
      <c r="B43" s="622"/>
      <c r="C43" s="622"/>
      <c r="D43" s="622"/>
      <c r="E43" s="625"/>
      <c r="F43" s="601"/>
      <c r="G43" s="608"/>
      <c r="H43" s="609"/>
      <c r="I43" s="608"/>
      <c r="J43" s="608"/>
      <c r="K43" s="608"/>
      <c r="L43" s="608"/>
      <c r="M43" s="608"/>
      <c r="N43" s="608"/>
    </row>
    <row r="44" ht="22.5" customHeight="1">
      <c r="A44" s="622"/>
      <c r="B44" s="622"/>
      <c r="C44" s="622"/>
      <c r="D44" s="622"/>
      <c r="E44" s="625"/>
      <c r="F44" s="601"/>
      <c r="G44" s="608"/>
      <c r="H44" s="609"/>
      <c r="I44" s="608"/>
      <c r="J44" s="608"/>
      <c r="K44" s="608"/>
      <c r="L44" s="608"/>
      <c r="M44" s="608"/>
      <c r="N44" s="608"/>
    </row>
    <row r="45" ht="22.5" customHeight="1">
      <c r="A45" s="622"/>
      <c r="B45" s="622"/>
      <c r="C45" s="622"/>
      <c r="D45" s="622"/>
      <c r="E45" s="625"/>
      <c r="F45" s="601"/>
      <c r="G45" s="608"/>
      <c r="H45" s="609"/>
      <c r="I45" s="608"/>
      <c r="J45" s="608"/>
      <c r="K45" s="608"/>
      <c r="L45" s="608"/>
      <c r="M45" s="608"/>
      <c r="N45" s="608"/>
    </row>
    <row r="46" ht="22.5" customHeight="1">
      <c r="A46" s="622"/>
      <c r="B46" s="622"/>
      <c r="C46" s="622"/>
      <c r="D46" s="622"/>
      <c r="E46" s="625"/>
      <c r="F46" s="601"/>
      <c r="G46" s="608"/>
      <c r="H46" s="609"/>
      <c r="I46" s="608"/>
      <c r="J46" s="608"/>
      <c r="K46" s="608"/>
      <c r="L46" s="608"/>
      <c r="M46" s="608"/>
      <c r="N46" s="608"/>
    </row>
    <row r="47" ht="22.5" customHeight="1">
      <c r="A47" s="622"/>
      <c r="B47" s="622"/>
      <c r="C47" s="622"/>
      <c r="D47" s="622"/>
      <c r="E47" s="625"/>
      <c r="F47" s="601"/>
      <c r="G47" s="608"/>
      <c r="H47" s="609"/>
      <c r="I47" s="608"/>
      <c r="J47" s="608"/>
      <c r="K47" s="608"/>
      <c r="L47" s="608"/>
      <c r="M47" s="608"/>
      <c r="N47" s="608"/>
    </row>
    <row r="48" ht="22.5" customHeight="1">
      <c r="A48" s="622"/>
      <c r="B48" s="622"/>
      <c r="C48" s="622"/>
      <c r="D48" s="622"/>
      <c r="E48" s="625"/>
      <c r="F48" s="601"/>
      <c r="G48" s="608"/>
      <c r="H48" s="609"/>
      <c r="I48" s="608"/>
      <c r="J48" s="608"/>
      <c r="K48" s="608"/>
      <c r="L48" s="608"/>
      <c r="M48" s="608"/>
      <c r="N48" s="608"/>
    </row>
    <row r="49" ht="22.5" customHeight="1">
      <c r="A49" s="622"/>
      <c r="B49" s="622"/>
      <c r="C49" s="622"/>
      <c r="D49" s="622"/>
      <c r="E49" s="625"/>
      <c r="F49" s="601"/>
      <c r="G49" s="608"/>
      <c r="H49" s="609"/>
      <c r="I49" s="608"/>
      <c r="J49" s="608"/>
      <c r="K49" s="608"/>
      <c r="L49" s="608"/>
      <c r="M49" s="608"/>
      <c r="N49" s="608"/>
    </row>
    <row r="50" ht="22.5" customHeight="1">
      <c r="A50" s="622"/>
      <c r="B50" s="622"/>
      <c r="C50" s="622"/>
      <c r="D50" s="622"/>
      <c r="E50" s="625"/>
      <c r="F50" s="601"/>
      <c r="G50" s="608"/>
      <c r="H50" s="609"/>
      <c r="I50" s="608"/>
      <c r="J50" s="608"/>
      <c r="K50" s="608"/>
      <c r="L50" s="608"/>
      <c r="M50" s="608"/>
      <c r="N50" s="608"/>
    </row>
    <row r="51" ht="22.5" customHeight="1">
      <c r="A51" s="622"/>
      <c r="B51" s="622"/>
      <c r="C51" s="622"/>
      <c r="D51" s="622"/>
      <c r="E51" s="625"/>
      <c r="F51" s="601"/>
      <c r="G51" s="608"/>
      <c r="H51" s="609"/>
      <c r="I51" s="608"/>
      <c r="J51" s="608"/>
      <c r="K51" s="608"/>
      <c r="L51" s="608"/>
      <c r="M51" s="608"/>
      <c r="N51" s="608"/>
    </row>
    <row r="52" ht="22.5" customHeight="1">
      <c r="A52" s="622"/>
      <c r="B52" s="622"/>
      <c r="C52" s="622"/>
      <c r="D52" s="622"/>
      <c r="E52" s="625"/>
      <c r="F52" s="601"/>
      <c r="G52" s="608"/>
      <c r="H52" s="609"/>
      <c r="I52" s="608"/>
      <c r="J52" s="608"/>
      <c r="K52" s="608"/>
      <c r="L52" s="608"/>
      <c r="M52" s="608"/>
      <c r="N52" s="608"/>
    </row>
    <row r="53" ht="22.5" customHeight="1">
      <c r="A53" s="622"/>
      <c r="B53" s="622"/>
      <c r="C53" s="622"/>
      <c r="D53" s="622"/>
      <c r="E53" s="625"/>
      <c r="F53" s="601"/>
      <c r="G53" s="608"/>
      <c r="H53" s="609"/>
      <c r="I53" s="608"/>
      <c r="J53" s="608"/>
      <c r="K53" s="608"/>
      <c r="L53" s="608"/>
      <c r="M53" s="608"/>
      <c r="N53" s="608"/>
    </row>
    <row r="54" ht="22.5" customHeight="1">
      <c r="A54" s="622"/>
      <c r="B54" s="622"/>
      <c r="C54" s="622"/>
      <c r="D54" s="622"/>
      <c r="E54" s="625"/>
      <c r="F54" s="601"/>
      <c r="G54" s="608"/>
      <c r="H54" s="609"/>
      <c r="I54" s="608"/>
      <c r="J54" s="608"/>
      <c r="K54" s="608"/>
      <c r="L54" s="608"/>
      <c r="M54" s="608"/>
      <c r="N54" s="608"/>
    </row>
    <row r="55" ht="22.5" customHeight="1">
      <c r="A55" s="622"/>
      <c r="B55" s="622"/>
      <c r="C55" s="622"/>
      <c r="D55" s="622"/>
      <c r="E55" s="625"/>
      <c r="F55" s="601"/>
      <c r="G55" s="608"/>
      <c r="H55" s="609"/>
      <c r="I55" s="608"/>
      <c r="J55" s="608"/>
      <c r="K55" s="608"/>
      <c r="L55" s="608"/>
      <c r="M55" s="608"/>
      <c r="N55" s="608"/>
    </row>
    <row r="56" ht="22.5" customHeight="1">
      <c r="A56" s="622"/>
      <c r="B56" s="622"/>
      <c r="C56" s="622"/>
      <c r="D56" s="622"/>
      <c r="E56" s="625"/>
      <c r="F56" s="601"/>
      <c r="G56" s="608"/>
      <c r="H56" s="609"/>
      <c r="I56" s="608"/>
      <c r="J56" s="608"/>
      <c r="K56" s="608"/>
      <c r="L56" s="608"/>
      <c r="M56" s="608"/>
      <c r="N56" s="608"/>
    </row>
    <row r="57" ht="22.5" customHeight="1">
      <c r="A57" s="622"/>
      <c r="B57" s="622"/>
      <c r="C57" s="622"/>
      <c r="D57" s="622"/>
      <c r="E57" s="625"/>
      <c r="F57" s="601"/>
      <c r="G57" s="608"/>
      <c r="H57" s="609"/>
      <c r="I57" s="608"/>
      <c r="J57" s="608"/>
      <c r="K57" s="608"/>
      <c r="L57" s="608"/>
      <c r="M57" s="608"/>
      <c r="N57" s="608"/>
    </row>
    <row r="58" ht="22.5" customHeight="1">
      <c r="A58" s="622"/>
      <c r="B58" s="622"/>
      <c r="C58" s="622"/>
      <c r="D58" s="622"/>
      <c r="E58" s="625"/>
      <c r="F58" s="601"/>
      <c r="G58" s="608"/>
      <c r="H58" s="609"/>
      <c r="I58" s="608"/>
      <c r="J58" s="608"/>
      <c r="K58" s="608"/>
      <c r="L58" s="608"/>
      <c r="M58" s="608"/>
      <c r="N58" s="608"/>
    </row>
    <row r="59" ht="22.5" customHeight="1">
      <c r="A59" s="622"/>
      <c r="B59" s="622"/>
      <c r="C59" s="622"/>
      <c r="D59" s="622"/>
      <c r="E59" s="625"/>
      <c r="F59" s="601"/>
      <c r="G59" s="608"/>
      <c r="H59" s="609"/>
      <c r="I59" s="608"/>
      <c r="J59" s="608"/>
      <c r="K59" s="608"/>
      <c r="L59" s="608"/>
      <c r="M59" s="608"/>
      <c r="N59" s="608"/>
    </row>
    <row r="60" ht="22.5" customHeight="1">
      <c r="A60" s="622"/>
      <c r="B60" s="622"/>
      <c r="C60" s="622"/>
      <c r="D60" s="622"/>
      <c r="E60" s="625"/>
      <c r="F60" s="601"/>
      <c r="G60" s="608"/>
      <c r="H60" s="609"/>
      <c r="I60" s="608"/>
      <c r="J60" s="608"/>
      <c r="K60" s="608"/>
      <c r="L60" s="608"/>
      <c r="M60" s="608"/>
      <c r="N60" s="608"/>
    </row>
    <row r="61" ht="22.5" customHeight="1">
      <c r="A61" s="622"/>
      <c r="B61" s="622"/>
      <c r="C61" s="622"/>
      <c r="D61" s="622"/>
      <c r="E61" s="625"/>
      <c r="F61" s="601"/>
      <c r="G61" s="608"/>
      <c r="H61" s="609"/>
      <c r="I61" s="608"/>
      <c r="J61" s="608"/>
      <c r="K61" s="608"/>
      <c r="L61" s="608"/>
      <c r="M61" s="608"/>
      <c r="N61" s="608"/>
    </row>
    <row r="62" ht="22.5" customHeight="1">
      <c r="A62" s="622"/>
      <c r="B62" s="622"/>
      <c r="C62" s="622"/>
      <c r="D62" s="622"/>
      <c r="E62" s="625"/>
      <c r="F62" s="601"/>
      <c r="G62" s="608"/>
      <c r="H62" s="609"/>
      <c r="I62" s="608"/>
      <c r="J62" s="608"/>
      <c r="K62" s="608"/>
      <c r="L62" s="608"/>
      <c r="M62" s="608"/>
      <c r="N62" s="608"/>
    </row>
    <row r="63" ht="22.5" customHeight="1">
      <c r="A63" s="622"/>
      <c r="B63" s="622"/>
      <c r="C63" s="622"/>
      <c r="D63" s="622"/>
      <c r="E63" s="625"/>
      <c r="F63" s="601"/>
      <c r="G63" s="608"/>
      <c r="H63" s="609"/>
      <c r="I63" s="608"/>
      <c r="J63" s="608"/>
      <c r="K63" s="608"/>
      <c r="L63" s="608"/>
      <c r="M63" s="608"/>
      <c r="N63" s="608"/>
    </row>
    <row r="64" ht="22.5" customHeight="1">
      <c r="A64" s="622"/>
      <c r="B64" s="622"/>
      <c r="C64" s="622"/>
      <c r="D64" s="622"/>
      <c r="E64" s="625"/>
      <c r="F64" s="601"/>
      <c r="G64" s="608"/>
      <c r="H64" s="609"/>
      <c r="I64" s="608"/>
      <c r="J64" s="608"/>
      <c r="K64" s="608"/>
      <c r="L64" s="608"/>
      <c r="M64" s="608"/>
      <c r="N64" s="608"/>
    </row>
    <row r="65" ht="22.5" customHeight="1">
      <c r="A65" s="622"/>
      <c r="B65" s="622"/>
      <c r="C65" s="622"/>
      <c r="D65" s="622"/>
      <c r="E65" s="625"/>
      <c r="F65" s="601"/>
      <c r="G65" s="608"/>
      <c r="H65" s="609"/>
      <c r="I65" s="608"/>
      <c r="J65" s="608"/>
      <c r="K65" s="608"/>
      <c r="L65" s="608"/>
      <c r="M65" s="608"/>
      <c r="N65" s="608"/>
    </row>
    <row r="66" ht="22.5" customHeight="1">
      <c r="A66" s="622"/>
      <c r="B66" s="622"/>
      <c r="C66" s="622"/>
      <c r="D66" s="622"/>
      <c r="E66" s="625"/>
      <c r="F66" s="601"/>
      <c r="G66" s="608"/>
      <c r="H66" s="609"/>
      <c r="I66" s="608"/>
      <c r="J66" s="608"/>
      <c r="K66" s="608"/>
      <c r="L66" s="608"/>
      <c r="M66" s="608"/>
      <c r="N66" s="608"/>
    </row>
    <row r="67" ht="22.5" customHeight="1">
      <c r="A67" s="622"/>
      <c r="B67" s="622"/>
      <c r="C67" s="622"/>
      <c r="D67" s="622"/>
      <c r="E67" s="625"/>
      <c r="F67" s="601"/>
      <c r="G67" s="608"/>
      <c r="H67" s="609"/>
      <c r="I67" s="608"/>
      <c r="J67" s="608"/>
      <c r="K67" s="608"/>
      <c r="L67" s="608"/>
      <c r="M67" s="608"/>
      <c r="N67" s="608"/>
    </row>
    <row r="68" ht="22.5" customHeight="1">
      <c r="A68" s="622"/>
      <c r="B68" s="622"/>
      <c r="C68" s="622"/>
      <c r="D68" s="622"/>
      <c r="E68" s="625"/>
      <c r="F68" s="601"/>
      <c r="G68" s="608"/>
      <c r="H68" s="609"/>
      <c r="I68" s="608"/>
      <c r="J68" s="608"/>
      <c r="K68" s="608"/>
      <c r="L68" s="608"/>
      <c r="M68" s="608"/>
      <c r="N68" s="608"/>
    </row>
    <row r="69" ht="22.5" customHeight="1">
      <c r="A69" s="622"/>
      <c r="B69" s="622"/>
      <c r="C69" s="622"/>
      <c r="D69" s="622"/>
      <c r="E69" s="625"/>
      <c r="F69" s="601"/>
      <c r="G69" s="608"/>
      <c r="H69" s="609"/>
      <c r="I69" s="608"/>
      <c r="J69" s="608"/>
      <c r="K69" s="608"/>
      <c r="L69" s="608"/>
      <c r="M69" s="608"/>
      <c r="N69" s="608"/>
    </row>
    <row r="70" ht="22.5" customHeight="1">
      <c r="A70" s="622"/>
      <c r="B70" s="622"/>
      <c r="C70" s="622"/>
      <c r="D70" s="622"/>
      <c r="E70" s="625"/>
      <c r="F70" s="601"/>
      <c r="G70" s="608"/>
      <c r="H70" s="609"/>
      <c r="I70" s="608"/>
      <c r="J70" s="608"/>
      <c r="K70" s="608"/>
      <c r="L70" s="608"/>
      <c r="M70" s="608"/>
      <c r="N70" s="608"/>
    </row>
    <row r="71" ht="22.5" customHeight="1">
      <c r="A71" s="622"/>
      <c r="B71" s="622"/>
      <c r="C71" s="622"/>
      <c r="D71" s="622"/>
      <c r="E71" s="625"/>
      <c r="F71" s="601"/>
      <c r="G71" s="608"/>
      <c r="H71" s="609"/>
      <c r="I71" s="608"/>
      <c r="J71" s="608"/>
      <c r="K71" s="608"/>
      <c r="L71" s="608"/>
      <c r="M71" s="608"/>
      <c r="N71" s="608"/>
    </row>
    <row r="72" ht="22.5" customHeight="1">
      <c r="A72" s="622"/>
      <c r="B72" s="622"/>
      <c r="C72" s="622"/>
      <c r="D72" s="622"/>
      <c r="E72" s="625"/>
      <c r="F72" s="601"/>
      <c r="G72" s="608"/>
      <c r="H72" s="609"/>
      <c r="I72" s="608"/>
      <c r="J72" s="608"/>
      <c r="K72" s="608"/>
      <c r="L72" s="608"/>
      <c r="M72" s="608"/>
      <c r="N72" s="608"/>
    </row>
    <row r="73" ht="22.5" customHeight="1">
      <c r="A73" s="622"/>
      <c r="B73" s="622"/>
      <c r="C73" s="622"/>
      <c r="D73" s="622"/>
      <c r="E73" s="625"/>
      <c r="F73" s="601"/>
      <c r="G73" s="608"/>
      <c r="H73" s="609"/>
      <c r="I73" s="608"/>
      <c r="J73" s="608"/>
      <c r="K73" s="608"/>
      <c r="L73" s="608"/>
      <c r="M73" s="608"/>
      <c r="N73" s="608"/>
    </row>
    <row r="74" ht="22.5" customHeight="1">
      <c r="A74" s="622"/>
      <c r="B74" s="622"/>
      <c r="C74" s="622"/>
      <c r="D74" s="622"/>
      <c r="E74" s="625"/>
      <c r="F74" s="601"/>
      <c r="G74" s="608"/>
      <c r="H74" s="609"/>
      <c r="I74" s="608"/>
      <c r="J74" s="608"/>
      <c r="K74" s="608"/>
      <c r="L74" s="608"/>
      <c r="M74" s="608"/>
      <c r="N74" s="608"/>
    </row>
    <row r="75" ht="22.5" customHeight="1">
      <c r="A75" s="622"/>
      <c r="B75" s="622"/>
      <c r="C75" s="622"/>
      <c r="D75" s="622"/>
      <c r="E75" s="625"/>
      <c r="F75" s="601"/>
      <c r="G75" s="608"/>
      <c r="H75" s="609"/>
      <c r="I75" s="608"/>
      <c r="J75" s="608"/>
      <c r="K75" s="608"/>
      <c r="L75" s="608"/>
      <c r="M75" s="608"/>
      <c r="N75" s="608"/>
    </row>
    <row r="76" ht="22.5" customHeight="1">
      <c r="A76" s="622"/>
      <c r="B76" s="622"/>
      <c r="C76" s="622"/>
      <c r="D76" s="622"/>
      <c r="E76" s="625"/>
      <c r="F76" s="601"/>
      <c r="G76" s="608"/>
      <c r="H76" s="609"/>
      <c r="I76" s="608"/>
      <c r="J76" s="608"/>
      <c r="K76" s="608"/>
      <c r="L76" s="608"/>
      <c r="M76" s="608"/>
      <c r="N76" s="608"/>
    </row>
    <row r="77" ht="22.5" customHeight="1">
      <c r="A77" s="622"/>
      <c r="B77" s="622"/>
      <c r="C77" s="622"/>
      <c r="D77" s="622"/>
      <c r="E77" s="625"/>
      <c r="F77" s="601"/>
      <c r="G77" s="608"/>
      <c r="H77" s="609"/>
      <c r="I77" s="608"/>
      <c r="J77" s="608"/>
      <c r="K77" s="608"/>
      <c r="L77" s="608"/>
      <c r="M77" s="608"/>
      <c r="N77" s="608"/>
    </row>
    <row r="78" ht="22.5" customHeight="1">
      <c r="A78" s="622"/>
      <c r="B78" s="622"/>
      <c r="C78" s="622"/>
      <c r="D78" s="622"/>
      <c r="E78" s="625"/>
      <c r="F78" s="601"/>
      <c r="G78" s="608"/>
      <c r="H78" s="609"/>
      <c r="I78" s="608"/>
      <c r="J78" s="608"/>
      <c r="K78" s="608"/>
      <c r="L78" s="608"/>
      <c r="M78" s="608"/>
      <c r="N78" s="608"/>
    </row>
    <row r="79" ht="22.5" customHeight="1">
      <c r="A79" s="622"/>
      <c r="B79" s="622"/>
      <c r="C79" s="622"/>
      <c r="D79" s="622"/>
      <c r="E79" s="625"/>
      <c r="F79" s="601"/>
      <c r="G79" s="608"/>
      <c r="H79" s="609"/>
      <c r="I79" s="608"/>
      <c r="J79" s="608"/>
      <c r="K79" s="608"/>
      <c r="L79" s="608"/>
      <c r="M79" s="608"/>
      <c r="N79" s="608"/>
    </row>
    <row r="80" ht="22.5" customHeight="1">
      <c r="A80" s="622"/>
      <c r="B80" s="622"/>
      <c r="C80" s="622"/>
      <c r="D80" s="622"/>
      <c r="E80" s="625"/>
      <c r="F80" s="601"/>
      <c r="G80" s="608"/>
      <c r="H80" s="609"/>
      <c r="I80" s="608"/>
      <c r="J80" s="608"/>
      <c r="K80" s="608"/>
      <c r="L80" s="608"/>
      <c r="M80" s="608"/>
      <c r="N80" s="608"/>
    </row>
    <row r="81" ht="22.5" customHeight="1">
      <c r="A81" s="622"/>
      <c r="B81" s="622"/>
      <c r="C81" s="622"/>
      <c r="D81" s="622"/>
      <c r="E81" s="625"/>
      <c r="F81" s="601"/>
      <c r="G81" s="608"/>
      <c r="H81" s="609"/>
      <c r="I81" s="608"/>
      <c r="J81" s="608"/>
      <c r="K81" s="608"/>
      <c r="L81" s="608"/>
      <c r="M81" s="608"/>
      <c r="N81" s="608"/>
    </row>
    <row r="82" ht="22.5" customHeight="1">
      <c r="A82" s="622"/>
      <c r="B82" s="622"/>
      <c r="C82" s="622"/>
      <c r="D82" s="622"/>
      <c r="E82" s="625"/>
      <c r="F82" s="601"/>
      <c r="G82" s="608"/>
      <c r="H82" s="609"/>
      <c r="I82" s="608"/>
      <c r="J82" s="608"/>
      <c r="K82" s="608"/>
      <c r="L82" s="608"/>
      <c r="M82" s="608"/>
      <c r="N82" s="608"/>
    </row>
    <row r="83" ht="22.5" customHeight="1">
      <c r="A83" s="622"/>
      <c r="B83" s="622"/>
      <c r="C83" s="622"/>
      <c r="D83" s="622"/>
      <c r="E83" s="625"/>
      <c r="F83" s="601"/>
      <c r="G83" s="608"/>
      <c r="H83" s="609"/>
      <c r="I83" s="608"/>
      <c r="J83" s="608"/>
      <c r="K83" s="608"/>
      <c r="L83" s="608"/>
      <c r="M83" s="608"/>
      <c r="N83" s="608"/>
    </row>
    <row r="84" ht="22.5" customHeight="1">
      <c r="A84" s="622"/>
      <c r="B84" s="622"/>
      <c r="C84" s="622"/>
      <c r="D84" s="622"/>
      <c r="E84" s="625"/>
      <c r="F84" s="601"/>
      <c r="G84" s="608"/>
      <c r="H84" s="609"/>
      <c r="I84" s="608"/>
      <c r="J84" s="608"/>
      <c r="K84" s="608"/>
      <c r="L84" s="608"/>
      <c r="M84" s="608"/>
      <c r="N84" s="608"/>
    </row>
    <row r="85" ht="22.5" customHeight="1">
      <c r="A85" s="622"/>
      <c r="B85" s="622"/>
      <c r="C85" s="622"/>
      <c r="D85" s="622"/>
      <c r="E85" s="625"/>
      <c r="F85" s="601"/>
      <c r="G85" s="608"/>
      <c r="H85" s="609"/>
      <c r="I85" s="608"/>
      <c r="J85" s="608"/>
      <c r="K85" s="608"/>
      <c r="L85" s="608"/>
      <c r="M85" s="608"/>
      <c r="N85" s="608"/>
    </row>
    <row r="86" ht="22.5" customHeight="1">
      <c r="A86" s="622"/>
      <c r="B86" s="622"/>
      <c r="C86" s="622"/>
      <c r="D86" s="622"/>
      <c r="E86" s="625"/>
      <c r="F86" s="601"/>
      <c r="G86" s="608"/>
      <c r="H86" s="609"/>
      <c r="I86" s="608"/>
      <c r="J86" s="608"/>
      <c r="K86" s="608"/>
      <c r="L86" s="608"/>
      <c r="M86" s="608"/>
      <c r="N86" s="608"/>
    </row>
    <row r="87" ht="22.5" customHeight="1">
      <c r="A87" s="622"/>
      <c r="B87" s="622"/>
      <c r="C87" s="622"/>
      <c r="D87" s="622"/>
      <c r="E87" s="625"/>
      <c r="F87" s="601"/>
      <c r="G87" s="608"/>
      <c r="H87" s="609"/>
      <c r="I87" s="608"/>
      <c r="J87" s="608"/>
      <c r="K87" s="608"/>
      <c r="L87" s="608"/>
      <c r="M87" s="608"/>
      <c r="N87" s="608"/>
    </row>
    <row r="88" ht="22.5" customHeight="1">
      <c r="A88" s="622"/>
      <c r="B88" s="622"/>
      <c r="C88" s="622"/>
      <c r="D88" s="622"/>
      <c r="E88" s="625"/>
      <c r="F88" s="601"/>
      <c r="G88" s="608"/>
      <c r="H88" s="609"/>
      <c r="I88" s="608"/>
      <c r="J88" s="608"/>
      <c r="K88" s="608"/>
      <c r="L88" s="608"/>
      <c r="M88" s="608"/>
      <c r="N88" s="608"/>
    </row>
    <row r="89" ht="22.5" customHeight="1">
      <c r="A89" s="622"/>
      <c r="B89" s="622"/>
      <c r="C89" s="622"/>
      <c r="D89" s="622"/>
      <c r="E89" s="625"/>
      <c r="F89" s="601"/>
      <c r="G89" s="608"/>
      <c r="H89" s="609"/>
      <c r="I89" s="608"/>
      <c r="J89" s="608"/>
      <c r="K89" s="608"/>
      <c r="L89" s="608"/>
      <c r="M89" s="608"/>
      <c r="N89" s="608"/>
    </row>
    <row r="90" ht="22.5" customHeight="1">
      <c r="A90" s="622"/>
      <c r="B90" s="622"/>
      <c r="C90" s="622"/>
      <c r="D90" s="622"/>
      <c r="E90" s="625"/>
      <c r="F90" s="601"/>
      <c r="G90" s="608"/>
      <c r="H90" s="609"/>
      <c r="I90" s="608"/>
      <c r="J90" s="608"/>
      <c r="K90" s="608"/>
      <c r="L90" s="608"/>
      <c r="M90" s="608"/>
      <c r="N90" s="608"/>
    </row>
    <row r="91" ht="22.5" customHeight="1">
      <c r="A91" s="622"/>
      <c r="B91" s="622"/>
      <c r="C91" s="622"/>
      <c r="D91" s="622"/>
      <c r="E91" s="625"/>
      <c r="F91" s="601"/>
      <c r="G91" s="608"/>
      <c r="H91" s="609"/>
      <c r="I91" s="608"/>
      <c r="J91" s="608"/>
      <c r="K91" s="608"/>
      <c r="L91" s="608"/>
      <c r="M91" s="608"/>
      <c r="N91" s="608"/>
    </row>
    <row r="92" ht="22.5" customHeight="1">
      <c r="A92" s="622"/>
      <c r="B92" s="622"/>
      <c r="C92" s="622"/>
      <c r="D92" s="622"/>
      <c r="E92" s="625"/>
      <c r="F92" s="601"/>
      <c r="G92" s="608"/>
      <c r="H92" s="609"/>
      <c r="I92" s="608"/>
      <c r="J92" s="608"/>
      <c r="K92" s="608"/>
      <c r="L92" s="608"/>
      <c r="M92" s="608"/>
      <c r="N92" s="608"/>
    </row>
    <row r="93" ht="22.5" customHeight="1">
      <c r="A93" s="622"/>
      <c r="B93" s="622"/>
      <c r="C93" s="622"/>
      <c r="D93" s="622"/>
      <c r="E93" s="625"/>
      <c r="F93" s="601"/>
      <c r="G93" s="608"/>
      <c r="H93" s="609"/>
      <c r="I93" s="608"/>
      <c r="J93" s="608"/>
      <c r="K93" s="608"/>
      <c r="L93" s="608"/>
      <c r="M93" s="608"/>
      <c r="N93" s="608"/>
    </row>
    <row r="94" ht="22.5" customHeight="1">
      <c r="A94" s="622"/>
      <c r="B94" s="622"/>
      <c r="C94" s="622"/>
      <c r="D94" s="622"/>
      <c r="E94" s="625"/>
      <c r="F94" s="601"/>
      <c r="G94" s="608"/>
      <c r="H94" s="609"/>
      <c r="I94" s="608"/>
      <c r="J94" s="608"/>
      <c r="K94" s="608"/>
      <c r="L94" s="608"/>
      <c r="M94" s="608"/>
      <c r="N94" s="608"/>
    </row>
    <row r="95" ht="22.5" customHeight="1">
      <c r="A95" s="622"/>
      <c r="B95" s="622"/>
      <c r="C95" s="622"/>
      <c r="D95" s="622"/>
      <c r="E95" s="625"/>
      <c r="F95" s="601"/>
      <c r="G95" s="608"/>
      <c r="H95" s="609"/>
      <c r="I95" s="608"/>
      <c r="J95" s="608"/>
      <c r="K95" s="608"/>
      <c r="L95" s="608"/>
      <c r="M95" s="608"/>
      <c r="N95" s="608"/>
    </row>
    <row r="96" ht="22.5" customHeight="1">
      <c r="A96" s="622"/>
      <c r="B96" s="622"/>
      <c r="C96" s="622"/>
      <c r="D96" s="622"/>
      <c r="E96" s="625"/>
      <c r="F96" s="601"/>
      <c r="G96" s="608"/>
      <c r="H96" s="609"/>
      <c r="I96" s="608"/>
      <c r="J96" s="608"/>
      <c r="K96" s="608"/>
      <c r="L96" s="608"/>
      <c r="M96" s="608"/>
      <c r="N96" s="608"/>
    </row>
    <row r="97" ht="22.5" customHeight="1">
      <c r="A97" s="622"/>
      <c r="B97" s="622"/>
      <c r="C97" s="622"/>
      <c r="D97" s="622"/>
      <c r="E97" s="625"/>
      <c r="F97" s="601"/>
      <c r="G97" s="608"/>
      <c r="H97" s="609"/>
      <c r="I97" s="608"/>
      <c r="J97" s="608"/>
      <c r="K97" s="608"/>
      <c r="L97" s="608"/>
      <c r="M97" s="608"/>
      <c r="N97" s="608"/>
    </row>
    <row r="98" ht="22.5" customHeight="1">
      <c r="A98" s="622"/>
      <c r="B98" s="622"/>
      <c r="C98" s="622"/>
      <c r="D98" s="622"/>
      <c r="E98" s="625"/>
      <c r="F98" s="601"/>
      <c r="G98" s="608"/>
      <c r="H98" s="609"/>
      <c r="I98" s="608"/>
      <c r="J98" s="608"/>
      <c r="K98" s="608"/>
      <c r="L98" s="608"/>
      <c r="M98" s="608"/>
      <c r="N98" s="608"/>
    </row>
    <row r="99" ht="22.5" customHeight="1">
      <c r="A99" s="622"/>
      <c r="B99" s="622"/>
      <c r="C99" s="622"/>
      <c r="D99" s="622"/>
      <c r="E99" s="625"/>
      <c r="F99" s="601"/>
      <c r="G99" s="608"/>
      <c r="H99" s="609"/>
      <c r="I99" s="608"/>
      <c r="J99" s="608"/>
      <c r="K99" s="608"/>
      <c r="L99" s="608"/>
      <c r="M99" s="608"/>
      <c r="N99" s="608"/>
    </row>
    <row r="100" ht="22.5" customHeight="1">
      <c r="A100" s="622"/>
      <c r="B100" s="622"/>
      <c r="C100" s="622"/>
      <c r="D100" s="622"/>
      <c r="E100" s="625"/>
      <c r="F100" s="601"/>
      <c r="G100" s="608"/>
      <c r="H100" s="609"/>
      <c r="I100" s="608"/>
      <c r="J100" s="608"/>
      <c r="K100" s="608"/>
      <c r="L100" s="608"/>
      <c r="M100" s="608"/>
      <c r="N100" s="608"/>
    </row>
    <row r="101" ht="22.5" customHeight="1">
      <c r="A101" s="622"/>
      <c r="B101" s="622"/>
      <c r="C101" s="622"/>
      <c r="D101" s="622"/>
      <c r="E101" s="625"/>
      <c r="F101" s="601"/>
      <c r="G101" s="608"/>
      <c r="H101" s="609"/>
      <c r="I101" s="608"/>
      <c r="J101" s="608"/>
      <c r="K101" s="608"/>
      <c r="L101" s="608"/>
      <c r="M101" s="608"/>
      <c r="N101" s="608"/>
    </row>
    <row r="102" ht="22.5" customHeight="1">
      <c r="A102" s="622"/>
      <c r="B102" s="622"/>
      <c r="C102" s="622"/>
      <c r="D102" s="622"/>
      <c r="E102" s="625"/>
      <c r="F102" s="601"/>
      <c r="G102" s="608"/>
      <c r="H102" s="609"/>
      <c r="I102" s="608"/>
      <c r="J102" s="608"/>
      <c r="K102" s="608"/>
      <c r="L102" s="608"/>
      <c r="M102" s="608"/>
      <c r="N102" s="608"/>
    </row>
    <row r="103" ht="22.5" customHeight="1">
      <c r="A103" s="622"/>
      <c r="B103" s="622"/>
      <c r="C103" s="622"/>
      <c r="D103" s="622"/>
      <c r="E103" s="625"/>
      <c r="F103" s="601"/>
      <c r="G103" s="608"/>
      <c r="H103" s="609"/>
      <c r="I103" s="608"/>
      <c r="J103" s="608"/>
      <c r="K103" s="608"/>
      <c r="L103" s="608"/>
      <c r="M103" s="608"/>
      <c r="N103" s="608"/>
    </row>
    <row r="104" ht="22.5" customHeight="1">
      <c r="A104" s="622"/>
      <c r="B104" s="622"/>
      <c r="C104" s="622"/>
      <c r="D104" s="622"/>
      <c r="E104" s="625"/>
      <c r="F104" s="601"/>
      <c r="G104" s="608"/>
      <c r="H104" s="609"/>
      <c r="I104" s="608"/>
      <c r="J104" s="608"/>
      <c r="K104" s="608"/>
      <c r="L104" s="608"/>
      <c r="M104" s="608"/>
      <c r="N104" s="608"/>
    </row>
    <row r="105" ht="22.5" customHeight="1">
      <c r="A105" s="622"/>
      <c r="B105" s="622"/>
      <c r="C105" s="622"/>
      <c r="D105" s="622"/>
      <c r="E105" s="625"/>
      <c r="F105" s="601"/>
      <c r="G105" s="608"/>
      <c r="H105" s="609"/>
      <c r="I105" s="608"/>
      <c r="J105" s="608"/>
      <c r="K105" s="608"/>
      <c r="L105" s="608"/>
      <c r="M105" s="608"/>
      <c r="N105" s="608"/>
    </row>
    <row r="106" ht="22.5" customHeight="1">
      <c r="A106" s="622"/>
      <c r="B106" s="622"/>
      <c r="C106" s="622"/>
      <c r="D106" s="622"/>
      <c r="E106" s="625"/>
      <c r="F106" s="601"/>
      <c r="G106" s="608"/>
      <c r="H106" s="609"/>
      <c r="I106" s="608"/>
      <c r="J106" s="608"/>
      <c r="K106" s="608"/>
      <c r="L106" s="608"/>
      <c r="M106" s="608"/>
      <c r="N106" s="608"/>
    </row>
    <row r="107" ht="22.5" customHeight="1">
      <c r="A107" s="622"/>
      <c r="B107" s="622"/>
      <c r="C107" s="622"/>
      <c r="D107" s="622"/>
      <c r="E107" s="625"/>
      <c r="F107" s="601"/>
      <c r="G107" s="608"/>
      <c r="H107" s="609"/>
      <c r="I107" s="608"/>
      <c r="J107" s="608"/>
      <c r="K107" s="608"/>
      <c r="L107" s="608"/>
      <c r="M107" s="608"/>
      <c r="N107" s="608"/>
    </row>
    <row r="108" ht="22.5" customHeight="1">
      <c r="A108" s="622"/>
      <c r="B108" s="622"/>
      <c r="C108" s="622"/>
      <c r="D108" s="622"/>
      <c r="E108" s="625"/>
      <c r="F108" s="601"/>
      <c r="G108" s="608"/>
      <c r="H108" s="609"/>
      <c r="I108" s="608"/>
      <c r="J108" s="608"/>
      <c r="K108" s="608"/>
      <c r="L108" s="608"/>
      <c r="M108" s="608"/>
      <c r="N108" s="608"/>
    </row>
    <row r="109" ht="22.5" customHeight="1">
      <c r="A109" s="622"/>
      <c r="B109" s="622"/>
      <c r="C109" s="622"/>
      <c r="D109" s="622"/>
      <c r="E109" s="625"/>
      <c r="F109" s="601"/>
      <c r="G109" s="608"/>
      <c r="H109" s="609"/>
      <c r="I109" s="608"/>
      <c r="J109" s="608"/>
      <c r="K109" s="608"/>
      <c r="L109" s="608"/>
      <c r="M109" s="608"/>
      <c r="N109" s="608"/>
    </row>
    <row r="110" ht="22.5" customHeight="1">
      <c r="A110" s="622"/>
      <c r="B110" s="622"/>
      <c r="C110" s="622"/>
      <c r="D110" s="622"/>
      <c r="E110" s="625"/>
      <c r="F110" s="601"/>
      <c r="G110" s="608"/>
      <c r="H110" s="609"/>
      <c r="I110" s="608"/>
      <c r="J110" s="608"/>
      <c r="K110" s="608"/>
      <c r="L110" s="608"/>
      <c r="M110" s="608"/>
      <c r="N110" s="608"/>
    </row>
    <row r="111" ht="22.5" customHeight="1">
      <c r="A111" s="622"/>
      <c r="B111" s="622"/>
      <c r="C111" s="622"/>
      <c r="D111" s="622"/>
      <c r="E111" s="625"/>
      <c r="F111" s="601"/>
      <c r="G111" s="608"/>
      <c r="H111" s="609"/>
      <c r="I111" s="608"/>
      <c r="J111" s="608"/>
      <c r="K111" s="608"/>
      <c r="L111" s="608"/>
      <c r="M111" s="608"/>
      <c r="N111" s="608"/>
    </row>
    <row r="112" ht="22.5" customHeight="1">
      <c r="A112" s="622"/>
      <c r="B112" s="622"/>
      <c r="C112" s="622"/>
      <c r="D112" s="622"/>
      <c r="E112" s="625"/>
      <c r="F112" s="601"/>
      <c r="G112" s="608"/>
      <c r="H112" s="609"/>
      <c r="I112" s="608"/>
      <c r="J112" s="608"/>
      <c r="K112" s="608"/>
      <c r="L112" s="608"/>
      <c r="M112" s="608"/>
      <c r="N112" s="608"/>
    </row>
    <row r="113" ht="22.5" customHeight="1">
      <c r="A113" s="622"/>
      <c r="B113" s="622"/>
      <c r="C113" s="622"/>
      <c r="D113" s="622"/>
      <c r="E113" s="625"/>
      <c r="F113" s="601"/>
      <c r="G113" s="608"/>
      <c r="H113" s="609"/>
      <c r="I113" s="608"/>
      <c r="J113" s="608"/>
      <c r="K113" s="608"/>
      <c r="L113" s="608"/>
      <c r="M113" s="608"/>
      <c r="N113" s="608"/>
    </row>
    <row r="114" ht="22.5" customHeight="1">
      <c r="A114" s="622"/>
      <c r="B114" s="622"/>
      <c r="C114" s="622"/>
      <c r="D114" s="622"/>
      <c r="E114" s="625"/>
      <c r="F114" s="601"/>
      <c r="G114" s="608"/>
      <c r="H114" s="609"/>
      <c r="I114" s="608"/>
      <c r="J114" s="608"/>
      <c r="K114" s="608"/>
      <c r="L114" s="608"/>
      <c r="M114" s="608"/>
      <c r="N114" s="608"/>
    </row>
    <row r="115" ht="22.5" customHeight="1">
      <c r="A115" s="622"/>
      <c r="B115" s="622"/>
      <c r="C115" s="622"/>
      <c r="D115" s="622"/>
      <c r="E115" s="625"/>
      <c r="F115" s="601"/>
      <c r="G115" s="608"/>
      <c r="H115" s="609"/>
      <c r="I115" s="608"/>
      <c r="J115" s="608"/>
      <c r="K115" s="608"/>
      <c r="L115" s="608"/>
      <c r="M115" s="608"/>
      <c r="N115" s="608"/>
    </row>
    <row r="116" ht="22.5" customHeight="1">
      <c r="A116" s="622"/>
      <c r="B116" s="622"/>
      <c r="C116" s="622"/>
      <c r="D116" s="622"/>
      <c r="E116" s="625"/>
      <c r="F116" s="601"/>
      <c r="G116" s="608"/>
      <c r="H116" s="609"/>
      <c r="I116" s="608"/>
      <c r="J116" s="608"/>
      <c r="K116" s="608"/>
      <c r="L116" s="608"/>
      <c r="M116" s="608"/>
      <c r="N116" s="608"/>
    </row>
    <row r="117" ht="22.5" customHeight="1">
      <c r="A117" s="622"/>
      <c r="B117" s="622"/>
      <c r="C117" s="622"/>
      <c r="D117" s="622"/>
      <c r="E117" s="625"/>
      <c r="F117" s="601"/>
      <c r="G117" s="608"/>
      <c r="H117" s="609"/>
      <c r="I117" s="608"/>
      <c r="J117" s="608"/>
      <c r="K117" s="608"/>
      <c r="L117" s="608"/>
      <c r="M117" s="608"/>
      <c r="N117" s="608"/>
    </row>
    <row r="118" ht="22.5" customHeight="1">
      <c r="A118" s="622"/>
      <c r="B118" s="622"/>
      <c r="C118" s="622"/>
      <c r="D118" s="622"/>
      <c r="E118" s="625"/>
      <c r="F118" s="601"/>
      <c r="G118" s="608"/>
      <c r="H118" s="609"/>
      <c r="I118" s="608"/>
      <c r="J118" s="608"/>
      <c r="K118" s="608"/>
      <c r="L118" s="608"/>
      <c r="M118" s="608"/>
      <c r="N118" s="608"/>
    </row>
    <row r="119" ht="22.5" customHeight="1">
      <c r="A119" s="622"/>
      <c r="B119" s="622"/>
      <c r="C119" s="622"/>
      <c r="D119" s="622"/>
      <c r="E119" s="625"/>
      <c r="F119" s="601"/>
      <c r="G119" s="608"/>
      <c r="H119" s="609"/>
      <c r="I119" s="608"/>
      <c r="J119" s="608"/>
      <c r="K119" s="608"/>
      <c r="L119" s="608"/>
      <c r="M119" s="608"/>
      <c r="N119" s="608"/>
    </row>
    <row r="120" ht="22.5" customHeight="1">
      <c r="A120" s="622"/>
      <c r="B120" s="622"/>
      <c r="C120" s="622"/>
      <c r="D120" s="622"/>
      <c r="E120" s="625"/>
      <c r="F120" s="601"/>
      <c r="G120" s="608"/>
      <c r="H120" s="609"/>
      <c r="I120" s="608"/>
      <c r="J120" s="608"/>
      <c r="K120" s="608"/>
      <c r="L120" s="608"/>
      <c r="M120" s="608"/>
      <c r="N120" s="608"/>
    </row>
    <row r="121" ht="22.5" customHeight="1">
      <c r="A121" s="622"/>
      <c r="B121" s="622"/>
      <c r="C121" s="622"/>
      <c r="D121" s="622"/>
      <c r="E121" s="625"/>
      <c r="F121" s="601"/>
      <c r="G121" s="608"/>
      <c r="H121" s="609"/>
      <c r="I121" s="608"/>
      <c r="J121" s="608"/>
      <c r="K121" s="608"/>
      <c r="L121" s="608"/>
      <c r="M121" s="608"/>
      <c r="N121" s="608"/>
    </row>
    <row r="122" ht="22.5" customHeight="1">
      <c r="A122" s="622"/>
      <c r="B122" s="622"/>
      <c r="C122" s="622"/>
      <c r="D122" s="622"/>
      <c r="E122" s="625"/>
      <c r="F122" s="601"/>
      <c r="G122" s="608"/>
      <c r="H122" s="609"/>
      <c r="I122" s="608"/>
      <c r="J122" s="608"/>
      <c r="K122" s="608"/>
      <c r="L122" s="608"/>
      <c r="M122" s="608"/>
      <c r="N122" s="608"/>
    </row>
    <row r="123" ht="22.5" customHeight="1">
      <c r="A123" s="622"/>
      <c r="B123" s="622"/>
      <c r="C123" s="622"/>
      <c r="D123" s="622"/>
      <c r="E123" s="625"/>
      <c r="F123" s="601"/>
      <c r="G123" s="608"/>
      <c r="H123" s="609"/>
      <c r="I123" s="608"/>
      <c r="J123" s="608"/>
      <c r="K123" s="608"/>
      <c r="L123" s="608"/>
      <c r="M123" s="608"/>
      <c r="N123" s="608"/>
    </row>
    <row r="124" ht="22.5" customHeight="1">
      <c r="A124" s="622"/>
      <c r="B124" s="622"/>
      <c r="C124" s="622"/>
      <c r="D124" s="622"/>
      <c r="E124" s="625"/>
      <c r="F124" s="601"/>
      <c r="G124" s="608"/>
      <c r="H124" s="609"/>
      <c r="I124" s="608"/>
      <c r="J124" s="608"/>
      <c r="K124" s="608"/>
      <c r="L124" s="608"/>
      <c r="M124" s="608"/>
      <c r="N124" s="608"/>
    </row>
    <row r="125" ht="22.5" customHeight="1">
      <c r="A125" s="622"/>
      <c r="B125" s="622"/>
      <c r="C125" s="622"/>
      <c r="D125" s="622"/>
      <c r="E125" s="625"/>
      <c r="F125" s="601"/>
      <c r="G125" s="608"/>
      <c r="H125" s="609"/>
      <c r="I125" s="608"/>
      <c r="J125" s="608"/>
      <c r="K125" s="608"/>
      <c r="L125" s="608"/>
      <c r="M125" s="608"/>
      <c r="N125" s="608"/>
    </row>
    <row r="126" ht="22.5" customHeight="1">
      <c r="A126" s="622"/>
      <c r="B126" s="622"/>
      <c r="C126" s="622"/>
      <c r="D126" s="622"/>
      <c r="E126" s="625"/>
      <c r="F126" s="601"/>
      <c r="G126" s="608"/>
      <c r="H126" s="609"/>
      <c r="I126" s="608"/>
      <c r="J126" s="608"/>
      <c r="K126" s="608"/>
      <c r="L126" s="608"/>
      <c r="M126" s="608"/>
      <c r="N126" s="608"/>
    </row>
    <row r="127" ht="22.5" customHeight="1">
      <c r="A127" s="622"/>
      <c r="B127" s="622"/>
      <c r="C127" s="622"/>
      <c r="D127" s="622"/>
      <c r="E127" s="625"/>
      <c r="F127" s="601"/>
      <c r="G127" s="608"/>
      <c r="H127" s="609"/>
      <c r="I127" s="608"/>
      <c r="J127" s="608"/>
      <c r="K127" s="608"/>
      <c r="L127" s="608"/>
      <c r="M127" s="608"/>
      <c r="N127" s="608"/>
    </row>
    <row r="128" ht="22.5" customHeight="1">
      <c r="A128" s="622"/>
      <c r="B128" s="622"/>
      <c r="C128" s="622"/>
      <c r="D128" s="622"/>
      <c r="E128" s="625"/>
      <c r="F128" s="601"/>
      <c r="G128" s="608"/>
      <c r="H128" s="609"/>
      <c r="I128" s="608"/>
      <c r="J128" s="608"/>
      <c r="K128" s="608"/>
      <c r="L128" s="608"/>
      <c r="M128" s="608"/>
      <c r="N128" s="608"/>
    </row>
    <row r="129" ht="22.5" customHeight="1">
      <c r="A129" s="622"/>
      <c r="B129" s="622"/>
      <c r="C129" s="622"/>
      <c r="D129" s="622"/>
      <c r="E129" s="625"/>
      <c r="F129" s="601"/>
      <c r="G129" s="608"/>
      <c r="H129" s="609"/>
      <c r="I129" s="608"/>
      <c r="J129" s="608"/>
      <c r="K129" s="608"/>
      <c r="L129" s="608"/>
      <c r="M129" s="608"/>
      <c r="N129" s="608"/>
    </row>
    <row r="130" ht="22.5" customHeight="1">
      <c r="A130" s="622"/>
      <c r="B130" s="622"/>
      <c r="C130" s="622"/>
      <c r="D130" s="622"/>
      <c r="E130" s="625"/>
      <c r="F130" s="601"/>
      <c r="G130" s="608"/>
      <c r="H130" s="609"/>
      <c r="I130" s="608"/>
      <c r="J130" s="608"/>
      <c r="K130" s="608"/>
      <c r="L130" s="608"/>
      <c r="M130" s="608"/>
      <c r="N130" s="608"/>
    </row>
    <row r="131" ht="22.5" customHeight="1">
      <c r="A131" s="622"/>
      <c r="B131" s="622"/>
      <c r="C131" s="622"/>
      <c r="D131" s="622"/>
      <c r="E131" s="625"/>
      <c r="F131" s="601"/>
      <c r="G131" s="608"/>
      <c r="H131" s="609"/>
      <c r="I131" s="608"/>
      <c r="J131" s="608"/>
      <c r="K131" s="608"/>
      <c r="L131" s="608"/>
      <c r="M131" s="608"/>
      <c r="N131" s="608"/>
    </row>
    <row r="132" ht="22.5" customHeight="1">
      <c r="A132" s="622"/>
      <c r="B132" s="622"/>
      <c r="C132" s="622"/>
      <c r="D132" s="622"/>
      <c r="E132" s="625"/>
      <c r="F132" s="601"/>
      <c r="G132" s="608"/>
      <c r="H132" s="609"/>
      <c r="I132" s="608"/>
      <c r="J132" s="608"/>
      <c r="K132" s="608"/>
      <c r="L132" s="608"/>
      <c r="M132" s="608"/>
      <c r="N132" s="608"/>
    </row>
    <row r="133" ht="22.5" customHeight="1">
      <c r="A133" s="622"/>
      <c r="B133" s="622"/>
      <c r="C133" s="622"/>
      <c r="D133" s="622"/>
      <c r="E133" s="625"/>
      <c r="F133" s="601"/>
      <c r="G133" s="608"/>
      <c r="H133" s="609"/>
      <c r="I133" s="608"/>
      <c r="J133" s="608"/>
      <c r="K133" s="608"/>
      <c r="L133" s="608"/>
      <c r="M133" s="608"/>
      <c r="N133" s="608"/>
    </row>
    <row r="134" ht="22.5" customHeight="1">
      <c r="A134" s="622"/>
      <c r="B134" s="622"/>
      <c r="C134" s="622"/>
      <c r="D134" s="622"/>
      <c r="E134" s="625"/>
      <c r="F134" s="601"/>
      <c r="G134" s="608"/>
      <c r="H134" s="609"/>
      <c r="I134" s="608"/>
      <c r="J134" s="608"/>
      <c r="K134" s="608"/>
      <c r="L134" s="608"/>
      <c r="M134" s="608"/>
      <c r="N134" s="608"/>
    </row>
    <row r="135" ht="22.5" customHeight="1">
      <c r="A135" s="622"/>
      <c r="B135" s="622"/>
      <c r="C135" s="622"/>
      <c r="D135" s="622"/>
      <c r="E135" s="625"/>
      <c r="F135" s="601"/>
      <c r="G135" s="608"/>
      <c r="H135" s="609"/>
      <c r="I135" s="608"/>
      <c r="J135" s="608"/>
      <c r="K135" s="608"/>
      <c r="L135" s="608"/>
      <c r="M135" s="608"/>
      <c r="N135" s="608"/>
    </row>
    <row r="136" ht="22.5" customHeight="1">
      <c r="A136" s="622"/>
      <c r="B136" s="622"/>
      <c r="C136" s="622"/>
      <c r="D136" s="622"/>
      <c r="E136" s="625"/>
      <c r="F136" s="601"/>
      <c r="G136" s="608"/>
      <c r="H136" s="609"/>
      <c r="I136" s="608"/>
      <c r="J136" s="608"/>
      <c r="K136" s="608"/>
      <c r="L136" s="608"/>
      <c r="M136" s="608"/>
      <c r="N136" s="608"/>
    </row>
    <row r="137" ht="22.5" customHeight="1">
      <c r="A137" s="622"/>
      <c r="B137" s="622"/>
      <c r="C137" s="622"/>
      <c r="D137" s="622"/>
      <c r="E137" s="625"/>
      <c r="F137" s="601"/>
      <c r="G137" s="608"/>
      <c r="H137" s="609"/>
      <c r="I137" s="608"/>
      <c r="J137" s="608"/>
      <c r="K137" s="608"/>
      <c r="L137" s="608"/>
      <c r="M137" s="608"/>
      <c r="N137" s="608"/>
    </row>
    <row r="138" ht="22.5" customHeight="1">
      <c r="A138" s="622"/>
      <c r="B138" s="622"/>
      <c r="C138" s="622"/>
      <c r="D138" s="622"/>
      <c r="E138" s="625"/>
      <c r="F138" s="601"/>
      <c r="G138" s="608"/>
      <c r="H138" s="609"/>
      <c r="I138" s="608"/>
      <c r="J138" s="608"/>
      <c r="K138" s="608"/>
      <c r="L138" s="608"/>
      <c r="M138" s="608"/>
      <c r="N138" s="608"/>
    </row>
    <row r="139" ht="22.5" customHeight="1">
      <c r="A139" s="622"/>
      <c r="B139" s="622"/>
      <c r="C139" s="622"/>
      <c r="D139" s="622"/>
      <c r="E139" s="625"/>
      <c r="F139" s="601"/>
      <c r="G139" s="608"/>
      <c r="H139" s="609"/>
      <c r="I139" s="608"/>
      <c r="J139" s="608"/>
      <c r="K139" s="608"/>
      <c r="L139" s="608"/>
      <c r="M139" s="608"/>
      <c r="N139" s="608"/>
    </row>
    <row r="140" ht="22.5" customHeight="1">
      <c r="A140" s="622"/>
      <c r="B140" s="622"/>
      <c r="C140" s="622"/>
      <c r="D140" s="622"/>
      <c r="E140" s="625"/>
      <c r="F140" s="601"/>
      <c r="G140" s="608"/>
      <c r="H140" s="609"/>
      <c r="I140" s="608"/>
      <c r="J140" s="608"/>
      <c r="K140" s="608"/>
      <c r="L140" s="608"/>
      <c r="M140" s="608"/>
      <c r="N140" s="608"/>
    </row>
    <row r="141" ht="22.5" customHeight="1">
      <c r="A141" s="622"/>
      <c r="B141" s="622"/>
      <c r="C141" s="622"/>
      <c r="D141" s="622"/>
      <c r="E141" s="625"/>
      <c r="F141" s="601"/>
      <c r="G141" s="608"/>
      <c r="H141" s="609"/>
      <c r="I141" s="608"/>
      <c r="J141" s="608"/>
      <c r="K141" s="608"/>
      <c r="L141" s="608"/>
      <c r="M141" s="608"/>
      <c r="N141" s="608"/>
    </row>
    <row r="142" ht="22.5" customHeight="1">
      <c r="A142" s="622"/>
      <c r="B142" s="622"/>
      <c r="C142" s="622"/>
      <c r="D142" s="622"/>
      <c r="E142" s="625"/>
      <c r="F142" s="601"/>
      <c r="G142" s="608"/>
      <c r="H142" s="609"/>
      <c r="I142" s="608"/>
      <c r="J142" s="608"/>
      <c r="K142" s="608"/>
      <c r="L142" s="608"/>
      <c r="M142" s="608"/>
      <c r="N142" s="608"/>
    </row>
    <row r="143" ht="22.5" customHeight="1">
      <c r="A143" s="622"/>
      <c r="B143" s="622"/>
      <c r="C143" s="622"/>
      <c r="D143" s="622"/>
      <c r="E143" s="625"/>
      <c r="F143" s="601"/>
      <c r="G143" s="608"/>
      <c r="H143" s="609"/>
      <c r="I143" s="608"/>
      <c r="J143" s="608"/>
      <c r="K143" s="608"/>
      <c r="L143" s="608"/>
      <c r="M143" s="608"/>
      <c r="N143" s="608"/>
    </row>
    <row r="144" ht="22.5" customHeight="1">
      <c r="A144" s="622"/>
      <c r="B144" s="622"/>
      <c r="C144" s="622"/>
      <c r="D144" s="622"/>
      <c r="E144" s="625"/>
      <c r="F144" s="601"/>
      <c r="G144" s="608"/>
      <c r="H144" s="609"/>
      <c r="I144" s="608"/>
      <c r="J144" s="608"/>
      <c r="K144" s="608"/>
      <c r="L144" s="608"/>
      <c r="M144" s="608"/>
      <c r="N144" s="608"/>
    </row>
    <row r="145" ht="22.5" customHeight="1">
      <c r="A145" s="622"/>
      <c r="B145" s="622"/>
      <c r="C145" s="622"/>
      <c r="D145" s="622"/>
      <c r="E145" s="625"/>
      <c r="F145" s="601"/>
      <c r="G145" s="608"/>
      <c r="H145" s="609"/>
      <c r="I145" s="608"/>
      <c r="J145" s="608"/>
      <c r="K145" s="608"/>
      <c r="L145" s="608"/>
      <c r="M145" s="608"/>
      <c r="N145" s="608"/>
    </row>
    <row r="146" ht="22.5" customHeight="1">
      <c r="A146" s="622"/>
      <c r="B146" s="622"/>
      <c r="C146" s="622"/>
      <c r="D146" s="622"/>
      <c r="E146" s="625"/>
      <c r="F146" s="601"/>
      <c r="G146" s="608"/>
      <c r="H146" s="609"/>
      <c r="I146" s="608"/>
      <c r="J146" s="608"/>
      <c r="K146" s="608"/>
      <c r="L146" s="608"/>
      <c r="M146" s="608"/>
      <c r="N146" s="608"/>
    </row>
    <row r="147" ht="22.5" customHeight="1">
      <c r="A147" s="622"/>
      <c r="B147" s="622"/>
      <c r="C147" s="622"/>
      <c r="D147" s="622"/>
      <c r="E147" s="625"/>
      <c r="F147" s="601"/>
      <c r="G147" s="608"/>
      <c r="H147" s="609"/>
      <c r="I147" s="608"/>
      <c r="J147" s="608"/>
      <c r="K147" s="608"/>
      <c r="L147" s="608"/>
      <c r="M147" s="608"/>
      <c r="N147" s="608"/>
    </row>
    <row r="148" ht="22.5" customHeight="1">
      <c r="A148" s="622"/>
      <c r="B148" s="622"/>
      <c r="C148" s="622"/>
      <c r="D148" s="622"/>
      <c r="E148" s="625"/>
      <c r="F148" s="601"/>
      <c r="G148" s="608"/>
      <c r="H148" s="609"/>
      <c r="I148" s="608"/>
      <c r="J148" s="608"/>
      <c r="K148" s="608"/>
      <c r="L148" s="608"/>
      <c r="M148" s="608"/>
      <c r="N148" s="608"/>
    </row>
    <row r="149" ht="22.5" customHeight="1">
      <c r="A149" s="622"/>
      <c r="B149" s="622"/>
      <c r="C149" s="622"/>
      <c r="D149" s="622"/>
      <c r="E149" s="625"/>
      <c r="F149" s="601"/>
      <c r="G149" s="608"/>
      <c r="H149" s="609"/>
      <c r="I149" s="608"/>
      <c r="J149" s="608"/>
      <c r="K149" s="608"/>
      <c r="L149" s="608"/>
      <c r="M149" s="608"/>
      <c r="N149" s="608"/>
    </row>
    <row r="150" ht="22.5" customHeight="1">
      <c r="A150" s="622"/>
      <c r="B150" s="622"/>
      <c r="C150" s="622"/>
      <c r="D150" s="622"/>
      <c r="E150" s="625"/>
      <c r="F150" s="601"/>
      <c r="G150" s="608"/>
      <c r="H150" s="609"/>
      <c r="I150" s="608"/>
      <c r="J150" s="608"/>
      <c r="K150" s="608"/>
      <c r="L150" s="608"/>
      <c r="M150" s="608"/>
      <c r="N150" s="608"/>
    </row>
    <row r="151" ht="22.5" customHeight="1">
      <c r="A151" s="622"/>
      <c r="B151" s="622"/>
      <c r="C151" s="622"/>
      <c r="D151" s="622"/>
      <c r="E151" s="625"/>
      <c r="F151" s="601"/>
      <c r="G151" s="608"/>
      <c r="H151" s="609"/>
      <c r="I151" s="608"/>
      <c r="J151" s="608"/>
      <c r="K151" s="608"/>
      <c r="L151" s="608"/>
      <c r="M151" s="608"/>
      <c r="N151" s="608"/>
    </row>
    <row r="152" ht="22.5" customHeight="1">
      <c r="A152" s="622"/>
      <c r="B152" s="622"/>
      <c r="C152" s="622"/>
      <c r="D152" s="622"/>
      <c r="E152" s="625"/>
      <c r="F152" s="601"/>
      <c r="G152" s="608"/>
      <c r="H152" s="609"/>
      <c r="I152" s="608"/>
      <c r="J152" s="608"/>
      <c r="K152" s="608"/>
      <c r="L152" s="608"/>
      <c r="M152" s="608"/>
      <c r="N152" s="608"/>
    </row>
    <row r="153" ht="22.5" customHeight="1">
      <c r="A153" s="622"/>
      <c r="B153" s="622"/>
      <c r="C153" s="622"/>
      <c r="D153" s="622"/>
      <c r="E153" s="625"/>
      <c r="F153" s="601"/>
      <c r="G153" s="608"/>
      <c r="H153" s="609"/>
      <c r="I153" s="608"/>
      <c r="J153" s="608"/>
      <c r="K153" s="608"/>
      <c r="L153" s="608"/>
      <c r="M153" s="608"/>
      <c r="N153" s="608"/>
    </row>
    <row r="154" ht="22.5" customHeight="1">
      <c r="A154" s="622"/>
      <c r="B154" s="622"/>
      <c r="C154" s="622"/>
      <c r="D154" s="622"/>
      <c r="E154" s="625"/>
      <c r="F154" s="601"/>
      <c r="G154" s="608"/>
      <c r="H154" s="609"/>
      <c r="I154" s="608"/>
      <c r="J154" s="608"/>
      <c r="K154" s="608"/>
      <c r="L154" s="608"/>
      <c r="M154" s="608"/>
      <c r="N154" s="608"/>
    </row>
    <row r="155" ht="22.5" customHeight="1">
      <c r="A155" s="622"/>
      <c r="B155" s="622"/>
      <c r="C155" s="622"/>
      <c r="D155" s="622"/>
      <c r="E155" s="625"/>
      <c r="F155" s="601"/>
      <c r="G155" s="608"/>
      <c r="H155" s="609"/>
      <c r="I155" s="608"/>
      <c r="J155" s="608"/>
      <c r="K155" s="608"/>
      <c r="L155" s="608"/>
      <c r="M155" s="608"/>
      <c r="N155" s="608"/>
    </row>
    <row r="156" ht="22.5" customHeight="1">
      <c r="A156" s="622"/>
      <c r="B156" s="622"/>
      <c r="C156" s="622"/>
      <c r="D156" s="622"/>
      <c r="E156" s="625"/>
      <c r="F156" s="601"/>
      <c r="G156" s="608"/>
      <c r="H156" s="609"/>
      <c r="I156" s="608"/>
      <c r="J156" s="608"/>
      <c r="K156" s="608"/>
      <c r="L156" s="608"/>
      <c r="M156" s="608"/>
      <c r="N156" s="608"/>
    </row>
    <row r="157" ht="22.5" customHeight="1">
      <c r="A157" s="622"/>
      <c r="B157" s="622"/>
      <c r="C157" s="622"/>
      <c r="D157" s="622"/>
      <c r="E157" s="625"/>
      <c r="F157" s="601"/>
      <c r="G157" s="608"/>
      <c r="H157" s="609"/>
      <c r="I157" s="608"/>
      <c r="J157" s="608"/>
      <c r="K157" s="608"/>
      <c r="L157" s="608"/>
      <c r="M157" s="608"/>
      <c r="N157" s="608"/>
    </row>
    <row r="158" ht="22.5" customHeight="1">
      <c r="A158" s="622"/>
      <c r="B158" s="622"/>
      <c r="C158" s="622"/>
      <c r="D158" s="622"/>
      <c r="E158" s="625"/>
      <c r="F158" s="601"/>
      <c r="G158" s="608"/>
      <c r="H158" s="609"/>
      <c r="I158" s="608"/>
      <c r="J158" s="608"/>
      <c r="K158" s="608"/>
      <c r="L158" s="608"/>
      <c r="M158" s="608"/>
      <c r="N158" s="608"/>
    </row>
    <row r="159" ht="22.5" customHeight="1">
      <c r="A159" s="622"/>
      <c r="B159" s="622"/>
      <c r="C159" s="622"/>
      <c r="D159" s="622"/>
      <c r="E159" s="625"/>
      <c r="F159" s="601"/>
      <c r="G159" s="608"/>
      <c r="H159" s="609"/>
      <c r="I159" s="608"/>
      <c r="J159" s="608"/>
      <c r="K159" s="608"/>
      <c r="L159" s="608"/>
      <c r="M159" s="608"/>
      <c r="N159" s="608"/>
    </row>
    <row r="160" ht="22.5" customHeight="1">
      <c r="A160" s="622"/>
      <c r="B160" s="622"/>
      <c r="C160" s="622"/>
      <c r="D160" s="622"/>
      <c r="E160" s="625"/>
      <c r="F160" s="601"/>
      <c r="G160" s="608"/>
      <c r="H160" s="609"/>
      <c r="I160" s="608"/>
      <c r="J160" s="608"/>
      <c r="K160" s="608"/>
      <c r="L160" s="608"/>
      <c r="M160" s="608"/>
      <c r="N160" s="608"/>
    </row>
    <row r="161" ht="22.5" customHeight="1">
      <c r="A161" s="622"/>
      <c r="B161" s="622"/>
      <c r="C161" s="622"/>
      <c r="D161" s="622"/>
      <c r="E161" s="625"/>
      <c r="F161" s="601"/>
      <c r="G161" s="608"/>
      <c r="H161" s="609"/>
      <c r="I161" s="608"/>
      <c r="J161" s="608"/>
      <c r="K161" s="608"/>
      <c r="L161" s="608"/>
      <c r="M161" s="608"/>
      <c r="N161" s="608"/>
    </row>
    <row r="162" ht="22.5" customHeight="1">
      <c r="A162" s="622"/>
      <c r="B162" s="622"/>
      <c r="C162" s="622"/>
      <c r="D162" s="622"/>
      <c r="E162" s="625"/>
      <c r="F162" s="601"/>
      <c r="G162" s="608"/>
      <c r="H162" s="609"/>
      <c r="I162" s="608"/>
      <c r="J162" s="608"/>
      <c r="K162" s="608"/>
      <c r="L162" s="608"/>
      <c r="M162" s="608"/>
      <c r="N162" s="608"/>
    </row>
    <row r="163" ht="22.5" customHeight="1">
      <c r="A163" s="622"/>
      <c r="B163" s="622"/>
      <c r="C163" s="622"/>
      <c r="D163" s="622"/>
      <c r="E163" s="625"/>
      <c r="F163" s="601"/>
      <c r="G163" s="608"/>
      <c r="H163" s="609"/>
      <c r="I163" s="608"/>
      <c r="J163" s="608"/>
      <c r="K163" s="608"/>
      <c r="L163" s="608"/>
      <c r="M163" s="608"/>
      <c r="N163" s="608"/>
    </row>
    <row r="164" ht="22.5" customHeight="1">
      <c r="A164" s="622"/>
      <c r="B164" s="622"/>
      <c r="C164" s="622"/>
      <c r="D164" s="622"/>
      <c r="E164" s="625"/>
      <c r="F164" s="601"/>
      <c r="G164" s="608"/>
      <c r="H164" s="609"/>
      <c r="I164" s="608"/>
      <c r="J164" s="608"/>
      <c r="K164" s="608"/>
      <c r="L164" s="608"/>
      <c r="M164" s="608"/>
      <c r="N164" s="608"/>
    </row>
    <row r="165" ht="22.5" customHeight="1">
      <c r="A165" s="622"/>
      <c r="B165" s="622"/>
      <c r="C165" s="622"/>
      <c r="D165" s="622"/>
      <c r="E165" s="625"/>
      <c r="F165" s="601"/>
      <c r="G165" s="608"/>
      <c r="H165" s="609"/>
      <c r="I165" s="608"/>
      <c r="J165" s="608"/>
      <c r="K165" s="608"/>
      <c r="L165" s="608"/>
      <c r="M165" s="608"/>
      <c r="N165" s="608"/>
    </row>
    <row r="166" ht="22.5" customHeight="1">
      <c r="A166" s="622"/>
      <c r="B166" s="622"/>
      <c r="C166" s="622"/>
      <c r="D166" s="622"/>
      <c r="E166" s="625"/>
      <c r="F166" s="601"/>
      <c r="G166" s="608"/>
      <c r="H166" s="609"/>
      <c r="I166" s="608"/>
      <c r="J166" s="608"/>
      <c r="K166" s="608"/>
      <c r="L166" s="608"/>
      <c r="M166" s="608"/>
      <c r="N166" s="608"/>
    </row>
    <row r="167" ht="22.5" customHeight="1">
      <c r="A167" s="622"/>
      <c r="B167" s="622"/>
      <c r="C167" s="622"/>
      <c r="D167" s="622"/>
      <c r="E167" s="625"/>
      <c r="F167" s="601"/>
      <c r="G167" s="608"/>
      <c r="H167" s="609"/>
      <c r="I167" s="608"/>
      <c r="J167" s="608"/>
      <c r="K167" s="608"/>
      <c r="L167" s="608"/>
      <c r="M167" s="608"/>
      <c r="N167" s="608"/>
    </row>
    <row r="168" ht="22.5" customHeight="1">
      <c r="A168" s="622"/>
      <c r="B168" s="622"/>
      <c r="C168" s="622"/>
      <c r="D168" s="622"/>
      <c r="E168" s="625"/>
      <c r="F168" s="601"/>
      <c r="G168" s="608"/>
      <c r="H168" s="609"/>
      <c r="I168" s="608"/>
      <c r="J168" s="608"/>
      <c r="K168" s="608"/>
      <c r="L168" s="608"/>
      <c r="M168" s="608"/>
      <c r="N168" s="608"/>
    </row>
    <row r="169" ht="22.5" customHeight="1">
      <c r="A169" s="622"/>
      <c r="B169" s="622"/>
      <c r="C169" s="622"/>
      <c r="D169" s="622"/>
      <c r="E169" s="625"/>
      <c r="F169" s="601"/>
      <c r="G169" s="608"/>
      <c r="H169" s="609"/>
      <c r="I169" s="608"/>
      <c r="J169" s="608"/>
      <c r="K169" s="608"/>
      <c r="L169" s="608"/>
      <c r="M169" s="608"/>
      <c r="N169" s="608"/>
    </row>
    <row r="170" ht="22.5" customHeight="1">
      <c r="A170" s="622"/>
      <c r="B170" s="622"/>
      <c r="C170" s="622"/>
      <c r="D170" s="622"/>
      <c r="E170" s="625"/>
      <c r="F170" s="601"/>
      <c r="G170" s="608"/>
      <c r="H170" s="609"/>
      <c r="I170" s="608"/>
      <c r="J170" s="608"/>
      <c r="K170" s="608"/>
      <c r="L170" s="608"/>
      <c r="M170" s="608"/>
      <c r="N170" s="608"/>
    </row>
    <row r="171" ht="22.5" customHeight="1">
      <c r="A171" s="622"/>
      <c r="B171" s="622"/>
      <c r="C171" s="622"/>
      <c r="D171" s="622"/>
      <c r="E171" s="625"/>
      <c r="F171" s="601"/>
      <c r="G171" s="608"/>
      <c r="H171" s="609"/>
      <c r="I171" s="608"/>
      <c r="J171" s="608"/>
      <c r="K171" s="608"/>
      <c r="L171" s="608"/>
      <c r="M171" s="608"/>
      <c r="N171" s="608"/>
    </row>
    <row r="172" ht="22.5" customHeight="1">
      <c r="A172" s="622"/>
      <c r="B172" s="622"/>
      <c r="C172" s="622"/>
      <c r="D172" s="622"/>
      <c r="E172" s="625"/>
      <c r="F172" s="601"/>
      <c r="G172" s="608"/>
      <c r="H172" s="609"/>
      <c r="I172" s="608"/>
      <c r="J172" s="608"/>
      <c r="K172" s="608"/>
      <c r="L172" s="608"/>
      <c r="M172" s="608"/>
      <c r="N172" s="608"/>
    </row>
    <row r="173" ht="22.5" customHeight="1">
      <c r="A173" s="622"/>
      <c r="B173" s="622"/>
      <c r="C173" s="622"/>
      <c r="D173" s="622"/>
      <c r="E173" s="625"/>
      <c r="F173" s="601"/>
      <c r="G173" s="608"/>
      <c r="H173" s="609"/>
      <c r="I173" s="608"/>
      <c r="J173" s="608"/>
      <c r="K173" s="608"/>
      <c r="L173" s="608"/>
      <c r="M173" s="608"/>
      <c r="N173" s="608"/>
    </row>
    <row r="174" ht="22.5" customHeight="1">
      <c r="A174" s="622"/>
      <c r="B174" s="622"/>
      <c r="C174" s="622"/>
      <c r="D174" s="622"/>
      <c r="E174" s="625"/>
      <c r="F174" s="601"/>
      <c r="G174" s="608"/>
      <c r="H174" s="609"/>
      <c r="I174" s="608"/>
      <c r="J174" s="608"/>
      <c r="K174" s="608"/>
      <c r="L174" s="608"/>
      <c r="M174" s="608"/>
      <c r="N174" s="608"/>
    </row>
    <row r="175" ht="22.5" customHeight="1">
      <c r="A175" s="622"/>
      <c r="B175" s="622"/>
      <c r="C175" s="622"/>
      <c r="D175" s="622"/>
      <c r="E175" s="625"/>
      <c r="F175" s="601"/>
      <c r="G175" s="608"/>
      <c r="H175" s="609"/>
      <c r="I175" s="608"/>
      <c r="J175" s="608"/>
      <c r="K175" s="608"/>
      <c r="L175" s="608"/>
      <c r="M175" s="608"/>
      <c r="N175" s="608"/>
    </row>
    <row r="176" ht="22.5" customHeight="1">
      <c r="A176" s="622"/>
      <c r="B176" s="622"/>
      <c r="C176" s="622"/>
      <c r="D176" s="622"/>
      <c r="E176" s="625"/>
      <c r="F176" s="601"/>
      <c r="G176" s="608"/>
      <c r="H176" s="609"/>
      <c r="I176" s="608"/>
      <c r="J176" s="608"/>
      <c r="K176" s="608"/>
      <c r="L176" s="608"/>
      <c r="M176" s="608"/>
      <c r="N176" s="608"/>
    </row>
    <row r="177" ht="22.5" customHeight="1">
      <c r="A177" s="622"/>
      <c r="B177" s="622"/>
      <c r="C177" s="622"/>
      <c r="D177" s="622"/>
      <c r="E177" s="625"/>
      <c r="F177" s="601"/>
      <c r="G177" s="608"/>
      <c r="H177" s="609"/>
      <c r="I177" s="608"/>
      <c r="J177" s="608"/>
      <c r="K177" s="608"/>
      <c r="L177" s="608"/>
      <c r="M177" s="608"/>
      <c r="N177" s="608"/>
    </row>
    <row r="178" ht="22.5" customHeight="1">
      <c r="A178" s="622"/>
      <c r="B178" s="622"/>
      <c r="C178" s="622"/>
      <c r="D178" s="622"/>
      <c r="E178" s="625"/>
      <c r="F178" s="601"/>
      <c r="G178" s="608"/>
      <c r="H178" s="609"/>
      <c r="I178" s="608"/>
      <c r="J178" s="608"/>
      <c r="K178" s="608"/>
      <c r="L178" s="608"/>
      <c r="M178" s="608"/>
      <c r="N178" s="608"/>
    </row>
    <row r="179" ht="22.5" customHeight="1">
      <c r="A179" s="622"/>
      <c r="B179" s="622"/>
      <c r="C179" s="622"/>
      <c r="D179" s="622"/>
      <c r="E179" s="625"/>
      <c r="F179" s="601"/>
      <c r="G179" s="608"/>
      <c r="H179" s="609"/>
      <c r="I179" s="608"/>
      <c r="J179" s="608"/>
      <c r="K179" s="608"/>
      <c r="L179" s="608"/>
      <c r="M179" s="608"/>
      <c r="N179" s="608"/>
    </row>
    <row r="180" ht="22.5" customHeight="1">
      <c r="A180" s="622"/>
      <c r="B180" s="622"/>
      <c r="C180" s="622"/>
      <c r="D180" s="622"/>
      <c r="E180" s="625"/>
      <c r="F180" s="601"/>
      <c r="G180" s="608"/>
      <c r="H180" s="609"/>
      <c r="I180" s="608"/>
      <c r="J180" s="608"/>
      <c r="K180" s="608"/>
      <c r="L180" s="608"/>
      <c r="M180" s="608"/>
      <c r="N180" s="608"/>
    </row>
    <row r="181" ht="22.5" customHeight="1">
      <c r="A181" s="622"/>
      <c r="B181" s="622"/>
      <c r="C181" s="622"/>
      <c r="D181" s="622"/>
      <c r="E181" s="625"/>
      <c r="F181" s="601"/>
      <c r="G181" s="608"/>
      <c r="H181" s="609"/>
      <c r="I181" s="608"/>
      <c r="J181" s="608"/>
      <c r="K181" s="608"/>
      <c r="L181" s="608"/>
      <c r="M181" s="608"/>
      <c r="N181" s="608"/>
    </row>
    <row r="182" ht="22.5" customHeight="1">
      <c r="A182" s="622"/>
      <c r="B182" s="622"/>
      <c r="C182" s="622"/>
      <c r="D182" s="622"/>
      <c r="E182" s="625"/>
      <c r="F182" s="601"/>
      <c r="G182" s="608"/>
      <c r="H182" s="609"/>
      <c r="I182" s="608"/>
      <c r="J182" s="608"/>
      <c r="K182" s="608"/>
      <c r="L182" s="608"/>
      <c r="M182" s="608"/>
      <c r="N182" s="608"/>
    </row>
    <row r="183" ht="22.5" customHeight="1">
      <c r="A183" s="622"/>
      <c r="B183" s="622"/>
      <c r="C183" s="622"/>
      <c r="D183" s="622"/>
      <c r="E183" s="625"/>
      <c r="F183" s="601"/>
      <c r="G183" s="608"/>
      <c r="H183" s="609"/>
      <c r="I183" s="608"/>
      <c r="J183" s="608"/>
      <c r="K183" s="608"/>
      <c r="L183" s="608"/>
      <c r="M183" s="608"/>
      <c r="N183" s="608"/>
    </row>
    <row r="184" ht="22.5" customHeight="1">
      <c r="A184" s="622"/>
      <c r="B184" s="622"/>
      <c r="C184" s="622"/>
      <c r="D184" s="622"/>
      <c r="E184" s="625"/>
      <c r="F184" s="601"/>
      <c r="G184" s="608"/>
      <c r="H184" s="609"/>
      <c r="I184" s="608"/>
      <c r="J184" s="608"/>
      <c r="K184" s="608"/>
      <c r="L184" s="608"/>
      <c r="M184" s="608"/>
      <c r="N184" s="608"/>
    </row>
    <row r="185" ht="22.5" customHeight="1">
      <c r="A185" s="622"/>
      <c r="B185" s="622"/>
      <c r="C185" s="622"/>
      <c r="D185" s="622"/>
      <c r="E185" s="625"/>
      <c r="F185" s="601"/>
      <c r="G185" s="608"/>
      <c r="H185" s="609"/>
      <c r="I185" s="608"/>
      <c r="J185" s="608"/>
      <c r="K185" s="608"/>
      <c r="L185" s="608"/>
      <c r="M185" s="608"/>
      <c r="N185" s="608"/>
    </row>
    <row r="186" ht="22.5" customHeight="1">
      <c r="A186" s="622"/>
      <c r="B186" s="622"/>
      <c r="C186" s="622"/>
      <c r="D186" s="622"/>
      <c r="E186" s="625"/>
      <c r="F186" s="601"/>
      <c r="G186" s="608"/>
      <c r="H186" s="609"/>
      <c r="I186" s="608"/>
      <c r="J186" s="608"/>
      <c r="K186" s="608"/>
      <c r="L186" s="608"/>
      <c r="M186" s="608"/>
      <c r="N186" s="608"/>
    </row>
    <row r="187" ht="22.5" customHeight="1">
      <c r="A187" s="622"/>
      <c r="B187" s="622"/>
      <c r="C187" s="622"/>
      <c r="D187" s="622"/>
      <c r="E187" s="625"/>
      <c r="F187" s="601"/>
      <c r="G187" s="608"/>
      <c r="H187" s="609"/>
      <c r="I187" s="608"/>
      <c r="J187" s="608"/>
      <c r="K187" s="608"/>
      <c r="L187" s="608"/>
      <c r="M187" s="608"/>
      <c r="N187" s="608"/>
    </row>
    <row r="188" ht="22.5" customHeight="1">
      <c r="A188" s="622"/>
      <c r="B188" s="622"/>
      <c r="C188" s="622"/>
      <c r="D188" s="622"/>
      <c r="E188" s="625"/>
      <c r="F188" s="601"/>
      <c r="G188" s="608"/>
      <c r="H188" s="609"/>
      <c r="I188" s="608"/>
      <c r="J188" s="608"/>
      <c r="K188" s="608"/>
      <c r="L188" s="608"/>
      <c r="M188" s="608"/>
      <c r="N188" s="608"/>
    </row>
    <row r="189" ht="22.5" customHeight="1">
      <c r="A189" s="622"/>
      <c r="B189" s="622"/>
      <c r="C189" s="622"/>
      <c r="D189" s="622"/>
      <c r="E189" s="625"/>
      <c r="F189" s="601"/>
      <c r="G189" s="608"/>
      <c r="H189" s="609"/>
      <c r="I189" s="608"/>
      <c r="J189" s="608"/>
      <c r="K189" s="608"/>
      <c r="L189" s="608"/>
      <c r="M189" s="608"/>
      <c r="N189" s="608"/>
    </row>
    <row r="190" ht="22.5" customHeight="1">
      <c r="A190" s="622"/>
      <c r="B190" s="622"/>
      <c r="C190" s="622"/>
      <c r="D190" s="622"/>
      <c r="E190" s="625"/>
      <c r="F190" s="601"/>
      <c r="G190" s="608"/>
      <c r="H190" s="609"/>
      <c r="I190" s="608"/>
      <c r="J190" s="608"/>
      <c r="K190" s="608"/>
      <c r="L190" s="608"/>
      <c r="M190" s="608"/>
      <c r="N190" s="608"/>
    </row>
    <row r="191" ht="22.5" customHeight="1">
      <c r="A191" s="622"/>
      <c r="B191" s="622"/>
      <c r="C191" s="622"/>
      <c r="D191" s="622"/>
      <c r="E191" s="625"/>
      <c r="F191" s="601"/>
      <c r="G191" s="608"/>
      <c r="H191" s="609"/>
      <c r="I191" s="608"/>
      <c r="J191" s="608"/>
      <c r="K191" s="608"/>
      <c r="L191" s="608"/>
      <c r="M191" s="608"/>
      <c r="N191" s="608"/>
    </row>
    <row r="192" ht="22.5" customHeight="1">
      <c r="A192" s="622"/>
      <c r="B192" s="622"/>
      <c r="C192" s="622"/>
      <c r="D192" s="622"/>
      <c r="E192" s="625"/>
      <c r="F192" s="601"/>
      <c r="G192" s="608"/>
      <c r="H192" s="609"/>
      <c r="I192" s="608"/>
      <c r="J192" s="608"/>
      <c r="K192" s="608"/>
      <c r="L192" s="608"/>
      <c r="M192" s="608"/>
      <c r="N192" s="608"/>
    </row>
    <row r="193" ht="22.5" customHeight="1">
      <c r="A193" s="622"/>
      <c r="B193" s="622"/>
      <c r="C193" s="622"/>
      <c r="D193" s="622"/>
      <c r="E193" s="625"/>
      <c r="F193" s="601"/>
      <c r="G193" s="608"/>
      <c r="H193" s="609"/>
      <c r="I193" s="608"/>
      <c r="J193" s="608"/>
      <c r="K193" s="608"/>
      <c r="L193" s="608"/>
      <c r="M193" s="608"/>
      <c r="N193" s="608"/>
    </row>
    <row r="194" ht="22.5" customHeight="1">
      <c r="A194" s="622"/>
      <c r="B194" s="622"/>
      <c r="C194" s="622"/>
      <c r="D194" s="622"/>
      <c r="E194" s="625"/>
      <c r="F194" s="601"/>
      <c r="G194" s="608"/>
      <c r="H194" s="609"/>
      <c r="I194" s="608"/>
      <c r="J194" s="608"/>
      <c r="K194" s="608"/>
      <c r="L194" s="608"/>
      <c r="M194" s="608"/>
      <c r="N194" s="608"/>
    </row>
    <row r="195" ht="22.5" customHeight="1">
      <c r="A195" s="622"/>
      <c r="B195" s="622"/>
      <c r="C195" s="622"/>
      <c r="D195" s="622"/>
      <c r="E195" s="625"/>
      <c r="F195" s="601"/>
      <c r="G195" s="608"/>
      <c r="H195" s="609"/>
      <c r="I195" s="608"/>
      <c r="J195" s="608"/>
      <c r="K195" s="608"/>
      <c r="L195" s="608"/>
      <c r="M195" s="608"/>
      <c r="N195" s="608"/>
    </row>
    <row r="196" ht="22.5" customHeight="1">
      <c r="A196" s="622"/>
      <c r="B196" s="622"/>
      <c r="C196" s="622"/>
      <c r="D196" s="622"/>
      <c r="E196" s="625"/>
      <c r="F196" s="601"/>
      <c r="G196" s="608"/>
      <c r="H196" s="609"/>
      <c r="I196" s="608"/>
      <c r="J196" s="608"/>
      <c r="K196" s="608"/>
      <c r="L196" s="608"/>
      <c r="M196" s="608"/>
      <c r="N196" s="608"/>
    </row>
    <row r="197" ht="22.5" customHeight="1">
      <c r="A197" s="622"/>
      <c r="B197" s="622"/>
      <c r="C197" s="622"/>
      <c r="D197" s="622"/>
      <c r="E197" s="625"/>
      <c r="F197" s="601"/>
      <c r="G197" s="608"/>
      <c r="H197" s="609"/>
      <c r="I197" s="608"/>
      <c r="J197" s="608"/>
      <c r="K197" s="608"/>
      <c r="L197" s="608"/>
      <c r="M197" s="608"/>
      <c r="N197" s="608"/>
    </row>
    <row r="198" ht="22.5" customHeight="1">
      <c r="A198" s="622"/>
      <c r="B198" s="622"/>
      <c r="C198" s="622"/>
      <c r="D198" s="622"/>
      <c r="E198" s="625"/>
      <c r="F198" s="601"/>
      <c r="G198" s="608"/>
      <c r="H198" s="609"/>
      <c r="I198" s="608"/>
      <c r="J198" s="608"/>
      <c r="K198" s="608"/>
      <c r="L198" s="608"/>
      <c r="M198" s="608"/>
      <c r="N198" s="608"/>
    </row>
    <row r="199" ht="22.5" customHeight="1">
      <c r="A199" s="622"/>
      <c r="B199" s="622"/>
      <c r="C199" s="622"/>
      <c r="D199" s="622"/>
      <c r="E199" s="625"/>
      <c r="F199" s="601"/>
      <c r="G199" s="608"/>
      <c r="H199" s="609"/>
      <c r="I199" s="608"/>
      <c r="J199" s="608"/>
      <c r="K199" s="608"/>
      <c r="L199" s="608"/>
      <c r="M199" s="608"/>
      <c r="N199" s="608"/>
    </row>
    <row r="200" ht="22.5" customHeight="1">
      <c r="A200" s="622"/>
      <c r="B200" s="622"/>
      <c r="C200" s="622"/>
      <c r="D200" s="622"/>
      <c r="E200" s="625"/>
      <c r="F200" s="601"/>
      <c r="G200" s="608"/>
      <c r="H200" s="609"/>
      <c r="I200" s="608"/>
      <c r="J200" s="608"/>
      <c r="K200" s="608"/>
      <c r="L200" s="608"/>
      <c r="M200" s="608"/>
      <c r="N200" s="608"/>
    </row>
    <row r="201" ht="22.5" customHeight="1">
      <c r="A201" s="622"/>
      <c r="B201" s="622"/>
      <c r="C201" s="622"/>
      <c r="D201" s="622"/>
      <c r="E201" s="625"/>
      <c r="F201" s="601"/>
      <c r="G201" s="608"/>
      <c r="H201" s="609"/>
      <c r="I201" s="608"/>
      <c r="J201" s="608"/>
      <c r="K201" s="608"/>
      <c r="L201" s="608"/>
      <c r="M201" s="608"/>
      <c r="N201" s="608"/>
    </row>
    <row r="202" ht="22.5" customHeight="1">
      <c r="A202" s="622"/>
      <c r="B202" s="622"/>
      <c r="C202" s="622"/>
      <c r="D202" s="622"/>
      <c r="E202" s="625"/>
      <c r="F202" s="601"/>
      <c r="G202" s="608"/>
      <c r="H202" s="609"/>
      <c r="I202" s="608"/>
      <c r="J202" s="608"/>
      <c r="K202" s="608"/>
      <c r="L202" s="608"/>
      <c r="M202" s="608"/>
      <c r="N202" s="608"/>
    </row>
    <row r="203" ht="22.5" customHeight="1">
      <c r="A203" s="622"/>
      <c r="B203" s="622"/>
      <c r="C203" s="622"/>
      <c r="D203" s="622"/>
      <c r="E203" s="625"/>
      <c r="F203" s="601"/>
      <c r="G203" s="608"/>
      <c r="H203" s="609"/>
      <c r="I203" s="608"/>
      <c r="J203" s="608"/>
      <c r="K203" s="608"/>
      <c r="L203" s="608"/>
      <c r="M203" s="608"/>
      <c r="N203" s="608"/>
    </row>
    <row r="204" ht="22.5" customHeight="1">
      <c r="A204" s="622"/>
      <c r="B204" s="622"/>
      <c r="C204" s="622"/>
      <c r="D204" s="622"/>
      <c r="E204" s="625"/>
      <c r="F204" s="601"/>
      <c r="G204" s="608"/>
      <c r="H204" s="609"/>
      <c r="I204" s="608"/>
      <c r="J204" s="608"/>
      <c r="K204" s="608"/>
      <c r="L204" s="608"/>
      <c r="M204" s="608"/>
      <c r="N204" s="608"/>
    </row>
    <row r="205" ht="22.5" customHeight="1">
      <c r="A205" s="622"/>
      <c r="B205" s="622"/>
      <c r="C205" s="622"/>
      <c r="D205" s="622"/>
      <c r="E205" s="625"/>
      <c r="F205" s="601"/>
      <c r="G205" s="608"/>
      <c r="H205" s="609"/>
      <c r="I205" s="608"/>
      <c r="J205" s="608"/>
      <c r="K205" s="608"/>
      <c r="L205" s="608"/>
      <c r="M205" s="608"/>
      <c r="N205" s="608"/>
    </row>
    <row r="206" ht="22.5" customHeight="1">
      <c r="A206" s="622"/>
      <c r="B206" s="622"/>
      <c r="C206" s="622"/>
      <c r="D206" s="622"/>
      <c r="E206" s="625"/>
      <c r="F206" s="601"/>
      <c r="G206" s="608"/>
      <c r="H206" s="609"/>
      <c r="I206" s="608"/>
      <c r="J206" s="608"/>
      <c r="K206" s="608"/>
      <c r="L206" s="608"/>
      <c r="M206" s="608"/>
      <c r="N206" s="608"/>
    </row>
    <row r="207" ht="22.5" customHeight="1">
      <c r="A207" s="622"/>
      <c r="B207" s="622"/>
      <c r="C207" s="622"/>
      <c r="D207" s="622"/>
      <c r="E207" s="625"/>
      <c r="F207" s="601"/>
      <c r="G207" s="608"/>
      <c r="H207" s="609"/>
      <c r="I207" s="608"/>
      <c r="J207" s="608"/>
      <c r="K207" s="608"/>
      <c r="L207" s="608"/>
      <c r="M207" s="608"/>
      <c r="N207" s="608"/>
    </row>
    <row r="208" ht="22.5" customHeight="1">
      <c r="A208" s="622"/>
      <c r="B208" s="622"/>
      <c r="C208" s="622"/>
      <c r="D208" s="622"/>
      <c r="E208" s="625"/>
      <c r="F208" s="601"/>
      <c r="G208" s="608"/>
      <c r="H208" s="609"/>
      <c r="I208" s="608"/>
      <c r="J208" s="608"/>
      <c r="K208" s="608"/>
      <c r="L208" s="608"/>
      <c r="M208" s="608"/>
      <c r="N208" s="608"/>
    </row>
    <row r="209" ht="22.5" customHeight="1">
      <c r="A209" s="622"/>
      <c r="B209" s="622"/>
      <c r="C209" s="622"/>
      <c r="D209" s="622"/>
      <c r="E209" s="625"/>
      <c r="F209" s="601"/>
      <c r="G209" s="608"/>
      <c r="H209" s="609"/>
      <c r="I209" s="608"/>
      <c r="J209" s="608"/>
      <c r="K209" s="608"/>
      <c r="L209" s="608"/>
      <c r="M209" s="608"/>
      <c r="N209" s="608"/>
    </row>
    <row r="210" ht="22.5" customHeight="1">
      <c r="A210" s="622"/>
      <c r="B210" s="622"/>
      <c r="C210" s="622"/>
      <c r="D210" s="622"/>
      <c r="E210" s="625"/>
      <c r="F210" s="601"/>
      <c r="G210" s="608"/>
      <c r="H210" s="609"/>
      <c r="I210" s="608"/>
      <c r="J210" s="608"/>
      <c r="K210" s="608"/>
      <c r="L210" s="608"/>
      <c r="M210" s="608"/>
      <c r="N210" s="608"/>
    </row>
    <row r="211" ht="22.5" customHeight="1">
      <c r="A211" s="622"/>
      <c r="B211" s="622"/>
      <c r="C211" s="622"/>
      <c r="D211" s="622"/>
      <c r="E211" s="625"/>
      <c r="F211" s="601"/>
      <c r="G211" s="608"/>
      <c r="H211" s="609"/>
      <c r="I211" s="608"/>
      <c r="J211" s="608"/>
      <c r="K211" s="608"/>
      <c r="L211" s="608"/>
      <c r="M211" s="608"/>
      <c r="N211" s="608"/>
    </row>
    <row r="212" ht="22.5" customHeight="1">
      <c r="A212" s="622"/>
      <c r="B212" s="622"/>
      <c r="C212" s="622"/>
      <c r="D212" s="622"/>
      <c r="E212" s="625"/>
      <c r="F212" s="601"/>
      <c r="G212" s="608"/>
      <c r="H212" s="609"/>
      <c r="I212" s="608"/>
      <c r="J212" s="608"/>
      <c r="K212" s="608"/>
      <c r="L212" s="608"/>
      <c r="M212" s="608"/>
      <c r="N212" s="608"/>
    </row>
    <row r="213" ht="22.5" customHeight="1">
      <c r="A213" s="622"/>
      <c r="B213" s="622"/>
      <c r="C213" s="622"/>
      <c r="D213" s="622"/>
      <c r="E213" s="625"/>
      <c r="F213" s="601"/>
      <c r="G213" s="608"/>
      <c r="H213" s="609"/>
      <c r="I213" s="608"/>
      <c r="J213" s="608"/>
      <c r="K213" s="608"/>
      <c r="L213" s="608"/>
      <c r="M213" s="608"/>
      <c r="N213" s="608"/>
    </row>
    <row r="214" ht="22.5" customHeight="1">
      <c r="A214" s="622"/>
      <c r="B214" s="622"/>
      <c r="C214" s="622"/>
      <c r="D214" s="622"/>
      <c r="E214" s="625"/>
      <c r="F214" s="601"/>
      <c r="G214" s="608"/>
      <c r="H214" s="609"/>
      <c r="I214" s="608"/>
      <c r="J214" s="608"/>
      <c r="K214" s="608"/>
      <c r="L214" s="608"/>
      <c r="M214" s="608"/>
      <c r="N214" s="608"/>
    </row>
    <row r="215" ht="22.5" customHeight="1">
      <c r="A215" s="622"/>
      <c r="B215" s="622"/>
      <c r="C215" s="622"/>
      <c r="D215" s="622"/>
      <c r="E215" s="625"/>
      <c r="F215" s="601"/>
      <c r="G215" s="608"/>
      <c r="H215" s="609"/>
      <c r="I215" s="608"/>
      <c r="J215" s="608"/>
      <c r="K215" s="608"/>
      <c r="L215" s="608"/>
      <c r="M215" s="608"/>
      <c r="N215" s="608"/>
    </row>
    <row r="216" ht="22.5" customHeight="1">
      <c r="A216" s="622"/>
      <c r="B216" s="622"/>
      <c r="C216" s="622"/>
      <c r="D216" s="622"/>
      <c r="E216" s="625"/>
      <c r="F216" s="601"/>
      <c r="G216" s="608"/>
      <c r="H216" s="609"/>
      <c r="I216" s="608"/>
      <c r="J216" s="608"/>
      <c r="K216" s="608"/>
      <c r="L216" s="608"/>
      <c r="M216" s="608"/>
      <c r="N216" s="608"/>
    </row>
    <row r="217" ht="22.5" customHeight="1">
      <c r="A217" s="622"/>
      <c r="B217" s="622"/>
      <c r="C217" s="622"/>
      <c r="D217" s="622"/>
      <c r="E217" s="625"/>
      <c r="F217" s="601"/>
      <c r="G217" s="608"/>
      <c r="H217" s="609"/>
      <c r="I217" s="608"/>
      <c r="J217" s="608"/>
      <c r="K217" s="608"/>
      <c r="L217" s="608"/>
      <c r="M217" s="608"/>
      <c r="N217" s="608"/>
    </row>
    <row r="218" ht="22.5" customHeight="1">
      <c r="A218" s="622"/>
      <c r="B218" s="622"/>
      <c r="C218" s="622"/>
      <c r="D218" s="622"/>
      <c r="E218" s="625"/>
      <c r="F218" s="601"/>
      <c r="G218" s="608"/>
      <c r="H218" s="609"/>
      <c r="I218" s="608"/>
      <c r="J218" s="608"/>
      <c r="K218" s="608"/>
      <c r="L218" s="608"/>
      <c r="M218" s="608"/>
      <c r="N218" s="608"/>
    </row>
    <row r="219" ht="22.5" customHeight="1">
      <c r="A219" s="622"/>
      <c r="B219" s="622"/>
      <c r="C219" s="622"/>
      <c r="D219" s="622"/>
      <c r="E219" s="625"/>
      <c r="F219" s="601"/>
      <c r="G219" s="608"/>
      <c r="H219" s="609"/>
      <c r="I219" s="608"/>
      <c r="J219" s="608"/>
      <c r="K219" s="608"/>
      <c r="L219" s="608"/>
      <c r="M219" s="608"/>
      <c r="N219" s="608"/>
    </row>
    <row r="220" ht="22.5" customHeight="1">
      <c r="A220" s="622"/>
      <c r="B220" s="622"/>
      <c r="C220" s="622"/>
      <c r="D220" s="622"/>
      <c r="E220" s="625"/>
      <c r="F220" s="601"/>
      <c r="G220" s="608"/>
      <c r="H220" s="609"/>
      <c r="I220" s="608"/>
      <c r="J220" s="608"/>
      <c r="K220" s="608"/>
      <c r="L220" s="608"/>
      <c r="M220" s="608"/>
      <c r="N220" s="608"/>
    </row>
    <row r="221" ht="22.5" customHeight="1">
      <c r="A221" s="622"/>
      <c r="B221" s="622"/>
      <c r="C221" s="622"/>
      <c r="D221" s="622"/>
      <c r="E221" s="625"/>
      <c r="F221" s="601"/>
      <c r="G221" s="608"/>
      <c r="H221" s="609"/>
      <c r="I221" s="608"/>
      <c r="J221" s="608"/>
      <c r="K221" s="608"/>
      <c r="L221" s="608"/>
      <c r="M221" s="608"/>
      <c r="N221" s="608"/>
    </row>
    <row r="222" ht="22.5" customHeight="1">
      <c r="A222" s="622"/>
      <c r="B222" s="622"/>
      <c r="C222" s="622"/>
      <c r="D222" s="622"/>
      <c r="E222" s="625"/>
      <c r="F222" s="601"/>
      <c r="G222" s="608"/>
      <c r="H222" s="609"/>
      <c r="I222" s="608"/>
      <c r="J222" s="608"/>
      <c r="K222" s="608"/>
      <c r="L222" s="608"/>
      <c r="M222" s="608"/>
      <c r="N222" s="608"/>
    </row>
    <row r="223" ht="22.5" customHeight="1">
      <c r="A223" s="622"/>
      <c r="B223" s="622"/>
      <c r="C223" s="622"/>
      <c r="D223" s="622"/>
      <c r="E223" s="625"/>
      <c r="F223" s="601"/>
      <c r="G223" s="608"/>
      <c r="H223" s="609"/>
      <c r="I223" s="608"/>
      <c r="J223" s="608"/>
      <c r="K223" s="608"/>
      <c r="L223" s="608"/>
      <c r="M223" s="608"/>
      <c r="N223" s="608"/>
    </row>
    <row r="224" ht="22.5" customHeight="1">
      <c r="A224" s="622"/>
      <c r="B224" s="622"/>
      <c r="C224" s="622"/>
      <c r="D224" s="622"/>
      <c r="E224" s="625"/>
      <c r="F224" s="601"/>
      <c r="G224" s="608"/>
      <c r="H224" s="609"/>
      <c r="I224" s="608"/>
      <c r="J224" s="608"/>
      <c r="K224" s="608"/>
      <c r="L224" s="608"/>
      <c r="M224" s="608"/>
      <c r="N224" s="608"/>
    </row>
    <row r="225" ht="22.5" customHeight="1">
      <c r="A225" s="622"/>
      <c r="B225" s="622"/>
      <c r="C225" s="622"/>
      <c r="D225" s="622"/>
      <c r="E225" s="625"/>
      <c r="F225" s="601"/>
      <c r="G225" s="608"/>
      <c r="H225" s="609"/>
      <c r="I225" s="608"/>
      <c r="J225" s="608"/>
      <c r="K225" s="608"/>
      <c r="L225" s="608"/>
      <c r="M225" s="608"/>
      <c r="N225" s="608"/>
    </row>
    <row r="226" ht="22.5" customHeight="1">
      <c r="A226" s="622"/>
      <c r="B226" s="622"/>
      <c r="C226" s="622"/>
      <c r="D226" s="622"/>
      <c r="E226" s="625"/>
      <c r="F226" s="601"/>
      <c r="G226" s="608"/>
      <c r="H226" s="609"/>
      <c r="I226" s="608"/>
      <c r="J226" s="608"/>
      <c r="K226" s="608"/>
      <c r="L226" s="608"/>
      <c r="M226" s="608"/>
      <c r="N226" s="608"/>
    </row>
    <row r="227" ht="22.5" customHeight="1">
      <c r="A227" s="622"/>
      <c r="B227" s="622"/>
      <c r="C227" s="622"/>
      <c r="D227" s="622"/>
      <c r="E227" s="625"/>
      <c r="F227" s="601"/>
      <c r="G227" s="608"/>
      <c r="H227" s="609"/>
      <c r="I227" s="608"/>
      <c r="J227" s="608"/>
      <c r="K227" s="608"/>
      <c r="L227" s="608"/>
      <c r="M227" s="608"/>
      <c r="N227" s="608"/>
    </row>
    <row r="228" ht="22.5" customHeight="1">
      <c r="A228" s="622"/>
      <c r="B228" s="622"/>
      <c r="C228" s="622"/>
      <c r="D228" s="622"/>
      <c r="E228" s="625"/>
      <c r="F228" s="601"/>
      <c r="G228" s="608"/>
      <c r="H228" s="609"/>
      <c r="I228" s="608"/>
      <c r="J228" s="608"/>
      <c r="K228" s="608"/>
      <c r="L228" s="608"/>
      <c r="M228" s="608"/>
      <c r="N228" s="608"/>
    </row>
    <row r="229" ht="22.5" customHeight="1">
      <c r="A229" s="622"/>
      <c r="B229" s="622"/>
      <c r="C229" s="622"/>
      <c r="D229" s="622"/>
      <c r="E229" s="625"/>
      <c r="F229" s="601"/>
      <c r="G229" s="608"/>
      <c r="H229" s="609"/>
      <c r="I229" s="608"/>
      <c r="J229" s="608"/>
      <c r="K229" s="608"/>
      <c r="L229" s="608"/>
      <c r="M229" s="608"/>
      <c r="N229" s="608"/>
    </row>
    <row r="230" ht="22.5" customHeight="1">
      <c r="A230" s="622"/>
      <c r="B230" s="622"/>
      <c r="C230" s="622"/>
      <c r="D230" s="622"/>
      <c r="E230" s="625"/>
      <c r="F230" s="601"/>
      <c r="G230" s="608"/>
      <c r="H230" s="609"/>
      <c r="I230" s="608"/>
      <c r="J230" s="608"/>
      <c r="K230" s="608"/>
      <c r="L230" s="608"/>
      <c r="M230" s="608"/>
      <c r="N230" s="608"/>
    </row>
    <row r="231" ht="22.5" customHeight="1">
      <c r="A231" s="622"/>
      <c r="B231" s="622"/>
      <c r="C231" s="622"/>
      <c r="D231" s="622"/>
      <c r="E231" s="625"/>
      <c r="F231" s="601"/>
      <c r="G231" s="608"/>
      <c r="H231" s="609"/>
      <c r="I231" s="608"/>
      <c r="J231" s="608"/>
      <c r="K231" s="608"/>
      <c r="L231" s="608"/>
      <c r="M231" s="608"/>
      <c r="N231" s="608"/>
    </row>
    <row r="232" ht="22.5" customHeight="1">
      <c r="A232" s="622"/>
      <c r="B232" s="622"/>
      <c r="C232" s="622"/>
      <c r="D232" s="622"/>
      <c r="E232" s="625"/>
      <c r="F232" s="601"/>
      <c r="G232" s="608"/>
      <c r="H232" s="609"/>
      <c r="I232" s="608"/>
      <c r="J232" s="608"/>
      <c r="K232" s="608"/>
      <c r="L232" s="608"/>
      <c r="M232" s="608"/>
      <c r="N232" s="608"/>
    </row>
    <row r="233" ht="22.5" customHeight="1">
      <c r="A233" s="622"/>
      <c r="B233" s="622"/>
      <c r="C233" s="622"/>
      <c r="D233" s="622"/>
      <c r="E233" s="625"/>
      <c r="F233" s="601"/>
      <c r="G233" s="608"/>
      <c r="H233" s="609"/>
      <c r="I233" s="608"/>
      <c r="J233" s="608"/>
      <c r="K233" s="608"/>
      <c r="L233" s="608"/>
      <c r="M233" s="608"/>
      <c r="N233" s="608"/>
    </row>
    <row r="234" ht="22.5" customHeight="1">
      <c r="A234" s="622"/>
      <c r="B234" s="622"/>
      <c r="C234" s="622"/>
      <c r="D234" s="622"/>
      <c r="E234" s="625"/>
      <c r="F234" s="601"/>
      <c r="G234" s="608"/>
      <c r="H234" s="609"/>
      <c r="I234" s="608"/>
      <c r="J234" s="608"/>
      <c r="K234" s="608"/>
      <c r="L234" s="608"/>
      <c r="M234" s="608"/>
      <c r="N234" s="608"/>
    </row>
    <row r="235" ht="22.5" customHeight="1">
      <c r="A235" s="622"/>
      <c r="B235" s="622"/>
      <c r="C235" s="622"/>
      <c r="D235" s="622"/>
      <c r="E235" s="625"/>
      <c r="F235" s="601"/>
      <c r="G235" s="608"/>
      <c r="H235" s="609"/>
      <c r="I235" s="608"/>
      <c r="J235" s="608"/>
      <c r="K235" s="608"/>
      <c r="L235" s="608"/>
      <c r="M235" s="608"/>
      <c r="N235" s="608"/>
    </row>
    <row r="236" ht="22.5" customHeight="1">
      <c r="A236" s="622"/>
      <c r="B236" s="622"/>
      <c r="C236" s="622"/>
      <c r="D236" s="622"/>
      <c r="E236" s="625"/>
      <c r="F236" s="601"/>
      <c r="G236" s="608"/>
      <c r="H236" s="609"/>
      <c r="I236" s="608"/>
      <c r="J236" s="608"/>
      <c r="K236" s="608"/>
      <c r="L236" s="608"/>
      <c r="M236" s="608"/>
      <c r="N236" s="608"/>
    </row>
    <row r="237" ht="22.5" customHeight="1">
      <c r="A237" s="622"/>
      <c r="B237" s="622"/>
      <c r="C237" s="622"/>
      <c r="D237" s="622"/>
      <c r="E237" s="625"/>
      <c r="F237" s="601"/>
      <c r="G237" s="608"/>
      <c r="H237" s="609"/>
      <c r="I237" s="608"/>
      <c r="J237" s="608"/>
      <c r="K237" s="608"/>
      <c r="L237" s="608"/>
      <c r="M237" s="608"/>
      <c r="N237" s="608"/>
    </row>
    <row r="238" ht="22.5" customHeight="1">
      <c r="A238" s="622"/>
      <c r="B238" s="622"/>
      <c r="C238" s="622"/>
      <c r="D238" s="622"/>
      <c r="E238" s="625"/>
      <c r="F238" s="601"/>
      <c r="G238" s="608"/>
      <c r="H238" s="609"/>
      <c r="I238" s="608"/>
      <c r="J238" s="608"/>
      <c r="K238" s="608"/>
      <c r="L238" s="608"/>
      <c r="M238" s="608"/>
      <c r="N238" s="608"/>
    </row>
    <row r="239" ht="22.5" customHeight="1">
      <c r="A239" s="622"/>
      <c r="B239" s="622"/>
      <c r="C239" s="622"/>
      <c r="D239" s="622"/>
      <c r="E239" s="625"/>
      <c r="F239" s="601"/>
      <c r="G239" s="608"/>
      <c r="H239" s="609"/>
      <c r="I239" s="608"/>
      <c r="J239" s="608"/>
      <c r="K239" s="608"/>
      <c r="L239" s="608"/>
      <c r="M239" s="608"/>
      <c r="N239" s="608"/>
    </row>
    <row r="240" ht="22.5" customHeight="1">
      <c r="A240" s="622"/>
      <c r="B240" s="622"/>
      <c r="C240" s="622"/>
      <c r="D240" s="622"/>
      <c r="E240" s="625"/>
      <c r="F240" s="601"/>
      <c r="G240" s="608"/>
      <c r="H240" s="609"/>
      <c r="I240" s="608"/>
      <c r="J240" s="608"/>
      <c r="K240" s="608"/>
      <c r="L240" s="608"/>
      <c r="M240" s="608"/>
      <c r="N240" s="608"/>
    </row>
    <row r="241" ht="22.5" customHeight="1">
      <c r="A241" s="622"/>
      <c r="B241" s="622"/>
      <c r="C241" s="622"/>
      <c r="D241" s="622"/>
      <c r="E241" s="625"/>
      <c r="F241" s="601"/>
      <c r="G241" s="608"/>
      <c r="H241" s="609"/>
      <c r="I241" s="608"/>
      <c r="J241" s="608"/>
      <c r="K241" s="608"/>
      <c r="L241" s="608"/>
      <c r="M241" s="608"/>
      <c r="N241" s="608"/>
    </row>
    <row r="242" ht="22.5" customHeight="1">
      <c r="A242" s="622"/>
      <c r="B242" s="622"/>
      <c r="C242" s="622"/>
      <c r="D242" s="622"/>
      <c r="E242" s="625"/>
      <c r="F242" s="601"/>
      <c r="G242" s="608"/>
      <c r="H242" s="609"/>
      <c r="I242" s="608"/>
      <c r="J242" s="608"/>
      <c r="K242" s="608"/>
      <c r="L242" s="608"/>
      <c r="M242" s="608"/>
      <c r="N242" s="608"/>
    </row>
    <row r="243" ht="22.5" customHeight="1">
      <c r="A243" s="622"/>
      <c r="B243" s="622"/>
      <c r="C243" s="622"/>
      <c r="D243" s="622"/>
      <c r="E243" s="625"/>
      <c r="F243" s="601"/>
      <c r="G243" s="608"/>
      <c r="H243" s="609"/>
      <c r="I243" s="608"/>
      <c r="J243" s="608"/>
      <c r="K243" s="608"/>
      <c r="L243" s="608"/>
      <c r="M243" s="608"/>
      <c r="N243" s="608"/>
    </row>
    <row r="244" ht="22.5" customHeight="1">
      <c r="A244" s="622"/>
      <c r="B244" s="622"/>
      <c r="C244" s="622"/>
      <c r="D244" s="622"/>
      <c r="E244" s="625"/>
      <c r="F244" s="601"/>
      <c r="G244" s="608"/>
      <c r="H244" s="609"/>
      <c r="I244" s="608"/>
      <c r="J244" s="608"/>
      <c r="K244" s="608"/>
      <c r="L244" s="608"/>
      <c r="M244" s="608"/>
      <c r="N244" s="608"/>
    </row>
    <row r="245" ht="22.5" customHeight="1">
      <c r="A245" s="622"/>
      <c r="B245" s="622"/>
      <c r="C245" s="622"/>
      <c r="D245" s="622"/>
      <c r="E245" s="625"/>
      <c r="F245" s="601"/>
      <c r="G245" s="608"/>
      <c r="H245" s="609"/>
      <c r="I245" s="608"/>
      <c r="J245" s="608"/>
      <c r="K245" s="608"/>
      <c r="L245" s="608"/>
      <c r="M245" s="608"/>
      <c r="N245" s="608"/>
    </row>
    <row r="246" ht="22.5" customHeight="1">
      <c r="A246" s="622"/>
      <c r="B246" s="622"/>
      <c r="C246" s="622"/>
      <c r="D246" s="622"/>
      <c r="E246" s="625"/>
      <c r="F246" s="601"/>
      <c r="G246" s="608"/>
      <c r="H246" s="609"/>
      <c r="I246" s="608"/>
      <c r="J246" s="608"/>
      <c r="K246" s="608"/>
      <c r="L246" s="608"/>
      <c r="M246" s="608"/>
      <c r="N246" s="608"/>
    </row>
    <row r="247" ht="22.5" customHeight="1">
      <c r="A247" s="622"/>
      <c r="B247" s="622"/>
      <c r="C247" s="622"/>
      <c r="D247" s="622"/>
      <c r="E247" s="625"/>
      <c r="F247" s="601"/>
      <c r="G247" s="608"/>
      <c r="H247" s="609"/>
      <c r="I247" s="608"/>
      <c r="J247" s="608"/>
      <c r="K247" s="608"/>
      <c r="L247" s="608"/>
      <c r="M247" s="608"/>
      <c r="N247" s="608"/>
    </row>
    <row r="248" ht="22.5" customHeight="1">
      <c r="A248" s="622"/>
      <c r="B248" s="622"/>
      <c r="C248" s="622"/>
      <c r="D248" s="622"/>
      <c r="E248" s="625"/>
      <c r="F248" s="601"/>
      <c r="G248" s="608"/>
      <c r="H248" s="609"/>
      <c r="I248" s="608"/>
      <c r="J248" s="608"/>
      <c r="K248" s="608"/>
      <c r="L248" s="608"/>
      <c r="M248" s="608"/>
      <c r="N248" s="608"/>
    </row>
    <row r="249" ht="22.5" customHeight="1">
      <c r="A249" s="622"/>
      <c r="B249" s="622"/>
      <c r="C249" s="622"/>
      <c r="D249" s="622"/>
      <c r="E249" s="625"/>
      <c r="F249" s="601"/>
      <c r="G249" s="608"/>
      <c r="H249" s="609"/>
      <c r="I249" s="608"/>
      <c r="J249" s="608"/>
      <c r="K249" s="608"/>
      <c r="L249" s="608"/>
      <c r="M249" s="608"/>
      <c r="N249" s="608"/>
    </row>
    <row r="250" ht="22.5" customHeight="1">
      <c r="A250" s="622"/>
      <c r="B250" s="622"/>
      <c r="C250" s="622"/>
      <c r="D250" s="622"/>
      <c r="E250" s="625"/>
      <c r="F250" s="601"/>
      <c r="G250" s="608"/>
      <c r="H250" s="609"/>
      <c r="I250" s="608"/>
      <c r="J250" s="608"/>
      <c r="K250" s="608"/>
      <c r="L250" s="608"/>
      <c r="M250" s="608"/>
      <c r="N250" s="608"/>
    </row>
    <row r="251" ht="22.5" customHeight="1">
      <c r="A251" s="622"/>
      <c r="B251" s="622"/>
      <c r="C251" s="622"/>
      <c r="D251" s="622"/>
      <c r="E251" s="625"/>
      <c r="F251" s="601"/>
      <c r="G251" s="608"/>
      <c r="H251" s="609"/>
      <c r="I251" s="608"/>
      <c r="J251" s="608"/>
      <c r="K251" s="608"/>
      <c r="L251" s="608"/>
      <c r="M251" s="608"/>
      <c r="N251" s="608"/>
    </row>
    <row r="252" ht="22.5" customHeight="1">
      <c r="A252" s="622"/>
      <c r="B252" s="622"/>
      <c r="C252" s="622"/>
      <c r="D252" s="622"/>
      <c r="E252" s="625"/>
      <c r="F252" s="601"/>
      <c r="G252" s="608"/>
      <c r="H252" s="609"/>
      <c r="I252" s="608"/>
      <c r="J252" s="608"/>
      <c r="K252" s="608"/>
      <c r="L252" s="608"/>
      <c r="M252" s="608"/>
      <c r="N252" s="608"/>
    </row>
    <row r="253" ht="22.5" customHeight="1">
      <c r="A253" s="622"/>
      <c r="B253" s="622"/>
      <c r="C253" s="622"/>
      <c r="D253" s="622"/>
      <c r="E253" s="625"/>
      <c r="F253" s="601"/>
      <c r="G253" s="608"/>
      <c r="H253" s="609"/>
      <c r="I253" s="608"/>
      <c r="J253" s="608"/>
      <c r="K253" s="608"/>
      <c r="L253" s="608"/>
      <c r="M253" s="608"/>
      <c r="N253" s="608"/>
    </row>
    <row r="254" ht="22.5" customHeight="1">
      <c r="A254" s="622"/>
      <c r="B254" s="622"/>
      <c r="C254" s="622"/>
      <c r="D254" s="622"/>
      <c r="E254" s="625"/>
      <c r="F254" s="601"/>
      <c r="G254" s="608"/>
      <c r="H254" s="609"/>
      <c r="I254" s="608"/>
      <c r="J254" s="608"/>
      <c r="K254" s="608"/>
      <c r="L254" s="608"/>
      <c r="M254" s="608"/>
      <c r="N254" s="608"/>
    </row>
    <row r="255" ht="22.5" customHeight="1">
      <c r="A255" s="622"/>
      <c r="B255" s="622"/>
      <c r="C255" s="622"/>
      <c r="D255" s="622"/>
      <c r="E255" s="625"/>
      <c r="F255" s="601"/>
      <c r="G255" s="608"/>
      <c r="H255" s="609"/>
      <c r="I255" s="608"/>
      <c r="J255" s="608"/>
      <c r="K255" s="608"/>
      <c r="L255" s="608"/>
      <c r="M255" s="608"/>
      <c r="N255" s="608"/>
    </row>
    <row r="256" ht="22.5" customHeight="1">
      <c r="A256" s="622"/>
      <c r="B256" s="622"/>
      <c r="C256" s="622"/>
      <c r="D256" s="622"/>
      <c r="E256" s="625"/>
      <c r="F256" s="601"/>
      <c r="G256" s="608"/>
      <c r="H256" s="609"/>
      <c r="I256" s="608"/>
      <c r="J256" s="608"/>
      <c r="K256" s="608"/>
      <c r="L256" s="608"/>
      <c r="M256" s="608"/>
      <c r="N256" s="608"/>
    </row>
    <row r="257" ht="22.5" customHeight="1">
      <c r="A257" s="622"/>
      <c r="B257" s="622"/>
      <c r="C257" s="622"/>
      <c r="D257" s="622"/>
      <c r="E257" s="625"/>
      <c r="F257" s="601"/>
      <c r="G257" s="608"/>
      <c r="H257" s="609"/>
      <c r="I257" s="608"/>
      <c r="J257" s="608"/>
      <c r="K257" s="608"/>
      <c r="L257" s="608"/>
      <c r="M257" s="608"/>
      <c r="N257" s="608"/>
    </row>
    <row r="258" ht="22.5" customHeight="1">
      <c r="A258" s="622"/>
      <c r="B258" s="622"/>
      <c r="C258" s="622"/>
      <c r="D258" s="622"/>
      <c r="E258" s="625"/>
      <c r="F258" s="601"/>
      <c r="G258" s="608"/>
      <c r="H258" s="609"/>
      <c r="I258" s="608"/>
      <c r="J258" s="608"/>
      <c r="K258" s="608"/>
      <c r="L258" s="608"/>
      <c r="M258" s="608"/>
      <c r="N258" s="608"/>
    </row>
    <row r="259" ht="22.5" customHeight="1">
      <c r="A259" s="622"/>
      <c r="B259" s="622"/>
      <c r="C259" s="622"/>
      <c r="D259" s="622"/>
      <c r="E259" s="625"/>
      <c r="F259" s="601"/>
      <c r="G259" s="608"/>
      <c r="H259" s="609"/>
      <c r="I259" s="608"/>
      <c r="J259" s="608"/>
      <c r="K259" s="608"/>
      <c r="L259" s="608"/>
      <c r="M259" s="608"/>
      <c r="N259" s="608"/>
    </row>
    <row r="260" ht="22.5" customHeight="1">
      <c r="A260" s="622"/>
      <c r="B260" s="622"/>
      <c r="C260" s="622"/>
      <c r="D260" s="622"/>
      <c r="E260" s="625"/>
      <c r="F260" s="601"/>
      <c r="G260" s="608"/>
      <c r="H260" s="609"/>
      <c r="I260" s="608"/>
      <c r="J260" s="608"/>
      <c r="K260" s="608"/>
      <c r="L260" s="608"/>
      <c r="M260" s="608"/>
      <c r="N260" s="608"/>
    </row>
    <row r="261" ht="22.5" customHeight="1">
      <c r="A261" s="622"/>
      <c r="B261" s="622"/>
      <c r="C261" s="622"/>
      <c r="D261" s="622"/>
      <c r="E261" s="625"/>
      <c r="F261" s="601"/>
      <c r="G261" s="608"/>
      <c r="H261" s="609"/>
      <c r="I261" s="608"/>
      <c r="J261" s="608"/>
      <c r="K261" s="608"/>
      <c r="L261" s="608"/>
      <c r="M261" s="608"/>
      <c r="N261" s="608"/>
    </row>
    <row r="262" ht="22.5" customHeight="1">
      <c r="A262" s="622"/>
      <c r="B262" s="622"/>
      <c r="C262" s="622"/>
      <c r="D262" s="622"/>
      <c r="E262" s="625"/>
      <c r="F262" s="601"/>
      <c r="G262" s="608"/>
      <c r="H262" s="609"/>
      <c r="I262" s="608"/>
      <c r="J262" s="608"/>
      <c r="K262" s="608"/>
      <c r="L262" s="608"/>
      <c r="M262" s="608"/>
      <c r="N262" s="608"/>
    </row>
    <row r="263" ht="22.5" customHeight="1">
      <c r="A263" s="622"/>
      <c r="B263" s="622"/>
      <c r="C263" s="622"/>
      <c r="D263" s="622"/>
      <c r="E263" s="625"/>
      <c r="F263" s="601"/>
      <c r="G263" s="608"/>
      <c r="H263" s="609"/>
      <c r="I263" s="608"/>
      <c r="J263" s="608"/>
      <c r="K263" s="608"/>
      <c r="L263" s="608"/>
      <c r="M263" s="608"/>
      <c r="N263" s="608"/>
    </row>
    <row r="264" ht="22.5" customHeight="1">
      <c r="A264" s="622"/>
      <c r="B264" s="622"/>
      <c r="C264" s="622"/>
      <c r="D264" s="622"/>
      <c r="E264" s="625"/>
      <c r="F264" s="601"/>
      <c r="G264" s="608"/>
      <c r="H264" s="609"/>
      <c r="I264" s="608"/>
      <c r="J264" s="608"/>
      <c r="K264" s="608"/>
      <c r="L264" s="608"/>
      <c r="M264" s="608"/>
      <c r="N264" s="608"/>
    </row>
    <row r="265" ht="22.5" customHeight="1">
      <c r="A265" s="622"/>
      <c r="B265" s="622"/>
      <c r="C265" s="622"/>
      <c r="D265" s="622"/>
      <c r="E265" s="625"/>
      <c r="F265" s="601"/>
      <c r="G265" s="608"/>
      <c r="H265" s="609"/>
      <c r="I265" s="608"/>
      <c r="J265" s="608"/>
      <c r="K265" s="608"/>
      <c r="L265" s="608"/>
      <c r="M265" s="608"/>
      <c r="N265" s="608"/>
    </row>
    <row r="266" ht="22.5" customHeight="1">
      <c r="A266" s="622"/>
      <c r="B266" s="622"/>
      <c r="C266" s="622"/>
      <c r="D266" s="622"/>
      <c r="E266" s="625"/>
      <c r="F266" s="601"/>
      <c r="G266" s="608"/>
      <c r="H266" s="609"/>
      <c r="I266" s="608"/>
      <c r="J266" s="608"/>
      <c r="K266" s="608"/>
      <c r="L266" s="608"/>
      <c r="M266" s="608"/>
      <c r="N266" s="608"/>
    </row>
    <row r="267" ht="22.5" customHeight="1">
      <c r="A267" s="622"/>
      <c r="B267" s="622"/>
      <c r="C267" s="622"/>
      <c r="D267" s="622"/>
      <c r="E267" s="625"/>
      <c r="F267" s="601"/>
      <c r="G267" s="608"/>
      <c r="H267" s="609"/>
      <c r="I267" s="608"/>
      <c r="J267" s="608"/>
      <c r="K267" s="608"/>
      <c r="L267" s="608"/>
      <c r="M267" s="608"/>
      <c r="N267" s="608"/>
    </row>
    <row r="268" ht="22.5" customHeight="1">
      <c r="A268" s="622"/>
      <c r="B268" s="622"/>
      <c r="C268" s="622"/>
      <c r="D268" s="622"/>
      <c r="E268" s="625"/>
      <c r="F268" s="601"/>
      <c r="G268" s="608"/>
      <c r="H268" s="609"/>
      <c r="I268" s="608"/>
      <c r="J268" s="608"/>
      <c r="K268" s="608"/>
      <c r="L268" s="608"/>
      <c r="M268" s="608"/>
      <c r="N268" s="608"/>
    </row>
    <row r="269" ht="22.5" customHeight="1">
      <c r="A269" s="622"/>
      <c r="B269" s="622"/>
      <c r="C269" s="622"/>
      <c r="D269" s="622"/>
      <c r="E269" s="625"/>
      <c r="F269" s="601"/>
      <c r="G269" s="608"/>
      <c r="H269" s="609"/>
      <c r="I269" s="608"/>
      <c r="J269" s="608"/>
      <c r="K269" s="608"/>
      <c r="L269" s="608"/>
      <c r="M269" s="608"/>
      <c r="N269" s="608"/>
    </row>
    <row r="270" ht="22.5" customHeight="1">
      <c r="A270" s="622"/>
      <c r="B270" s="622"/>
      <c r="C270" s="622"/>
      <c r="D270" s="622"/>
      <c r="E270" s="625"/>
      <c r="F270" s="601"/>
      <c r="G270" s="608"/>
      <c r="H270" s="609"/>
      <c r="I270" s="608"/>
      <c r="J270" s="608"/>
      <c r="K270" s="608"/>
      <c r="L270" s="608"/>
      <c r="M270" s="608"/>
      <c r="N270" s="608"/>
    </row>
    <row r="271" ht="22.5" customHeight="1">
      <c r="A271" s="622"/>
      <c r="B271" s="622"/>
      <c r="C271" s="622"/>
      <c r="D271" s="622"/>
      <c r="E271" s="625"/>
      <c r="F271" s="601"/>
      <c r="G271" s="608"/>
      <c r="H271" s="609"/>
      <c r="I271" s="608"/>
      <c r="J271" s="608"/>
      <c r="K271" s="608"/>
      <c r="L271" s="608"/>
      <c r="M271" s="608"/>
      <c r="N271" s="608"/>
    </row>
    <row r="272" ht="22.5" customHeight="1">
      <c r="A272" s="622"/>
      <c r="B272" s="622"/>
      <c r="C272" s="622"/>
      <c r="D272" s="622"/>
      <c r="E272" s="625"/>
      <c r="F272" s="601"/>
      <c r="G272" s="608"/>
      <c r="H272" s="609"/>
      <c r="I272" s="608"/>
      <c r="J272" s="608"/>
      <c r="K272" s="608"/>
      <c r="L272" s="608"/>
      <c r="M272" s="608"/>
      <c r="N272" s="608"/>
    </row>
    <row r="273" ht="22.5" customHeight="1">
      <c r="A273" s="622"/>
      <c r="B273" s="622"/>
      <c r="C273" s="622"/>
      <c r="D273" s="622"/>
      <c r="E273" s="625"/>
      <c r="F273" s="601"/>
      <c r="G273" s="608"/>
      <c r="H273" s="609"/>
      <c r="I273" s="608"/>
      <c r="J273" s="608"/>
      <c r="K273" s="608"/>
      <c r="L273" s="608"/>
      <c r="M273" s="608"/>
      <c r="N273" s="608"/>
    </row>
    <row r="274" ht="22.5" customHeight="1">
      <c r="A274" s="622"/>
      <c r="B274" s="622"/>
      <c r="C274" s="622"/>
      <c r="D274" s="622"/>
      <c r="E274" s="625"/>
      <c r="F274" s="601"/>
      <c r="G274" s="608"/>
      <c r="H274" s="609"/>
      <c r="I274" s="608"/>
      <c r="J274" s="608"/>
      <c r="K274" s="608"/>
      <c r="L274" s="608"/>
      <c r="M274" s="608"/>
      <c r="N274" s="608"/>
    </row>
    <row r="275" ht="22.5" customHeight="1">
      <c r="A275" s="622"/>
      <c r="B275" s="622"/>
      <c r="C275" s="622"/>
      <c r="D275" s="622"/>
      <c r="E275" s="625"/>
      <c r="F275" s="601"/>
      <c r="G275" s="608"/>
      <c r="H275" s="609"/>
      <c r="I275" s="608"/>
      <c r="J275" s="608"/>
      <c r="K275" s="608"/>
      <c r="L275" s="608"/>
      <c r="M275" s="608"/>
      <c r="N275" s="608"/>
    </row>
    <row r="276" ht="22.5" customHeight="1">
      <c r="A276" s="622"/>
      <c r="B276" s="622"/>
      <c r="C276" s="622"/>
      <c r="D276" s="622"/>
      <c r="E276" s="625"/>
      <c r="F276" s="601"/>
      <c r="G276" s="608"/>
      <c r="H276" s="609"/>
      <c r="I276" s="608"/>
      <c r="J276" s="608"/>
      <c r="K276" s="608"/>
      <c r="L276" s="608"/>
      <c r="M276" s="608"/>
      <c r="N276" s="608"/>
    </row>
    <row r="277" ht="22.5" customHeight="1">
      <c r="A277" s="622"/>
      <c r="B277" s="622"/>
      <c r="C277" s="622"/>
      <c r="D277" s="622"/>
      <c r="E277" s="625"/>
      <c r="F277" s="601"/>
      <c r="G277" s="608"/>
      <c r="H277" s="609"/>
      <c r="I277" s="608"/>
      <c r="J277" s="608"/>
      <c r="K277" s="608"/>
      <c r="L277" s="608"/>
      <c r="M277" s="608"/>
      <c r="N277" s="608"/>
    </row>
    <row r="278" ht="22.5" customHeight="1">
      <c r="A278" s="622"/>
      <c r="B278" s="622"/>
      <c r="C278" s="622"/>
      <c r="D278" s="622"/>
      <c r="E278" s="625"/>
      <c r="F278" s="601"/>
      <c r="G278" s="608"/>
      <c r="H278" s="609"/>
      <c r="I278" s="608"/>
      <c r="J278" s="608"/>
      <c r="K278" s="608"/>
      <c r="L278" s="608"/>
      <c r="M278" s="608"/>
      <c r="N278" s="608"/>
    </row>
    <row r="279" ht="22.5" customHeight="1">
      <c r="A279" s="622"/>
      <c r="B279" s="622"/>
      <c r="C279" s="622"/>
      <c r="D279" s="622"/>
      <c r="E279" s="625"/>
      <c r="F279" s="601"/>
      <c r="G279" s="608"/>
      <c r="H279" s="609"/>
      <c r="I279" s="608"/>
      <c r="J279" s="608"/>
      <c r="K279" s="608"/>
      <c r="L279" s="608"/>
      <c r="M279" s="608"/>
      <c r="N279" s="608"/>
    </row>
    <row r="280" ht="22.5" customHeight="1">
      <c r="A280" s="622"/>
      <c r="B280" s="622"/>
      <c r="C280" s="622"/>
      <c r="D280" s="622"/>
      <c r="E280" s="625"/>
      <c r="F280" s="601"/>
      <c r="G280" s="608"/>
      <c r="H280" s="609"/>
      <c r="I280" s="608"/>
      <c r="J280" s="608"/>
      <c r="K280" s="608"/>
      <c r="L280" s="608"/>
      <c r="M280" s="608"/>
      <c r="N280" s="608"/>
    </row>
    <row r="281" ht="22.5" customHeight="1">
      <c r="A281" s="622"/>
      <c r="B281" s="622"/>
      <c r="C281" s="622"/>
      <c r="D281" s="622"/>
      <c r="E281" s="625"/>
      <c r="F281" s="601"/>
      <c r="G281" s="608"/>
      <c r="H281" s="609"/>
      <c r="I281" s="608"/>
      <c r="J281" s="608"/>
      <c r="K281" s="608"/>
      <c r="L281" s="608"/>
      <c r="M281" s="608"/>
      <c r="N281" s="608"/>
    </row>
    <row r="282" ht="22.5" customHeight="1">
      <c r="A282" s="622"/>
      <c r="B282" s="622"/>
      <c r="C282" s="622"/>
      <c r="D282" s="622"/>
      <c r="E282" s="625"/>
      <c r="F282" s="601"/>
      <c r="G282" s="608"/>
      <c r="H282" s="609"/>
      <c r="I282" s="608"/>
      <c r="J282" s="608"/>
      <c r="K282" s="608"/>
      <c r="L282" s="608"/>
      <c r="M282" s="608"/>
      <c r="N282" s="608"/>
    </row>
    <row r="283" ht="22.5" customHeight="1">
      <c r="A283" s="622"/>
      <c r="B283" s="622"/>
      <c r="C283" s="622"/>
      <c r="D283" s="622"/>
      <c r="E283" s="625"/>
      <c r="F283" s="601"/>
      <c r="G283" s="608"/>
      <c r="H283" s="609"/>
      <c r="I283" s="608"/>
      <c r="J283" s="608"/>
      <c r="K283" s="608"/>
      <c r="L283" s="608"/>
      <c r="M283" s="608"/>
      <c r="N283" s="608"/>
    </row>
    <row r="284" ht="22.5" customHeight="1">
      <c r="A284" s="622"/>
      <c r="B284" s="622"/>
      <c r="C284" s="622"/>
      <c r="D284" s="622"/>
      <c r="E284" s="625"/>
      <c r="F284" s="601"/>
      <c r="G284" s="608"/>
      <c r="H284" s="609"/>
      <c r="I284" s="608"/>
      <c r="J284" s="608"/>
      <c r="K284" s="608"/>
      <c r="L284" s="608"/>
      <c r="M284" s="608"/>
      <c r="N284" s="608"/>
    </row>
    <row r="285" ht="22.5" customHeight="1">
      <c r="A285" s="622"/>
      <c r="B285" s="622"/>
      <c r="C285" s="622"/>
      <c r="D285" s="622"/>
      <c r="E285" s="625"/>
      <c r="F285" s="601"/>
      <c r="G285" s="608"/>
      <c r="H285" s="609"/>
      <c r="I285" s="608"/>
      <c r="J285" s="608"/>
      <c r="K285" s="608"/>
      <c r="L285" s="608"/>
      <c r="M285" s="608"/>
      <c r="N285" s="608"/>
    </row>
    <row r="286" ht="22.5" customHeight="1">
      <c r="A286" s="622"/>
      <c r="B286" s="622"/>
      <c r="C286" s="622"/>
      <c r="D286" s="622"/>
      <c r="E286" s="625"/>
      <c r="F286" s="601"/>
      <c r="G286" s="608"/>
      <c r="H286" s="609"/>
      <c r="I286" s="608"/>
      <c r="J286" s="608"/>
      <c r="K286" s="608"/>
      <c r="L286" s="608"/>
      <c r="M286" s="608"/>
      <c r="N286" s="608"/>
    </row>
    <row r="287" ht="22.5" customHeight="1">
      <c r="A287" s="622"/>
      <c r="B287" s="622"/>
      <c r="C287" s="622"/>
      <c r="D287" s="622"/>
      <c r="E287" s="625"/>
      <c r="F287" s="601"/>
      <c r="G287" s="608"/>
      <c r="H287" s="609"/>
      <c r="I287" s="608"/>
      <c r="J287" s="608"/>
      <c r="K287" s="608"/>
      <c r="L287" s="608"/>
      <c r="M287" s="608"/>
      <c r="N287" s="608"/>
    </row>
    <row r="288" ht="22.5" customHeight="1">
      <c r="A288" s="622"/>
      <c r="B288" s="622"/>
      <c r="C288" s="622"/>
      <c r="D288" s="622"/>
      <c r="E288" s="625"/>
      <c r="F288" s="601"/>
      <c r="G288" s="608"/>
      <c r="H288" s="609"/>
      <c r="I288" s="608"/>
      <c r="J288" s="608"/>
      <c r="K288" s="608"/>
      <c r="L288" s="608"/>
      <c r="M288" s="608"/>
      <c r="N288" s="608"/>
    </row>
    <row r="289" ht="22.5" customHeight="1">
      <c r="A289" s="622"/>
      <c r="B289" s="622"/>
      <c r="C289" s="622"/>
      <c r="D289" s="622"/>
      <c r="E289" s="625"/>
      <c r="F289" s="601"/>
      <c r="G289" s="608"/>
      <c r="H289" s="609"/>
      <c r="I289" s="608"/>
      <c r="J289" s="608"/>
      <c r="K289" s="608"/>
      <c r="L289" s="608"/>
      <c r="M289" s="608"/>
      <c r="N289" s="608"/>
    </row>
    <row r="290" ht="22.5" customHeight="1">
      <c r="A290" s="622"/>
      <c r="B290" s="622"/>
      <c r="C290" s="622"/>
      <c r="D290" s="622"/>
      <c r="E290" s="625"/>
      <c r="F290" s="601"/>
      <c r="G290" s="608"/>
      <c r="H290" s="609"/>
      <c r="I290" s="608"/>
      <c r="J290" s="608"/>
      <c r="K290" s="608"/>
      <c r="L290" s="608"/>
      <c r="M290" s="608"/>
      <c r="N290" s="608"/>
    </row>
    <row r="291" ht="22.5" customHeight="1">
      <c r="A291" s="622"/>
      <c r="B291" s="622"/>
      <c r="C291" s="622"/>
      <c r="D291" s="622"/>
      <c r="E291" s="625"/>
      <c r="F291" s="601"/>
      <c r="G291" s="608"/>
      <c r="H291" s="609"/>
      <c r="I291" s="608"/>
      <c r="J291" s="608"/>
      <c r="K291" s="608"/>
      <c r="L291" s="608"/>
      <c r="M291" s="608"/>
      <c r="N291" s="608"/>
    </row>
    <row r="292" ht="22.5" customHeight="1">
      <c r="A292" s="622"/>
      <c r="B292" s="622"/>
      <c r="C292" s="622"/>
      <c r="D292" s="622"/>
      <c r="E292" s="625"/>
      <c r="F292" s="601"/>
      <c r="G292" s="608"/>
      <c r="H292" s="609"/>
      <c r="I292" s="608"/>
      <c r="J292" s="608"/>
      <c r="K292" s="608"/>
      <c r="L292" s="608"/>
      <c r="M292" s="608"/>
      <c r="N292" s="608"/>
    </row>
    <row r="293" ht="22.5" customHeight="1">
      <c r="A293" s="622"/>
      <c r="B293" s="622"/>
      <c r="C293" s="622"/>
      <c r="D293" s="622"/>
      <c r="E293" s="625"/>
      <c r="F293" s="601"/>
      <c r="G293" s="608"/>
      <c r="H293" s="609"/>
      <c r="I293" s="608"/>
      <c r="J293" s="608"/>
      <c r="K293" s="608"/>
      <c r="L293" s="608"/>
      <c r="M293" s="608"/>
      <c r="N293" s="608"/>
    </row>
    <row r="294" ht="22.5" customHeight="1">
      <c r="A294" s="622"/>
      <c r="B294" s="622"/>
      <c r="C294" s="622"/>
      <c r="D294" s="622"/>
      <c r="E294" s="625"/>
      <c r="F294" s="601"/>
      <c r="G294" s="608"/>
      <c r="H294" s="609"/>
      <c r="I294" s="608"/>
      <c r="J294" s="608"/>
      <c r="K294" s="608"/>
      <c r="L294" s="608"/>
      <c r="M294" s="608"/>
      <c r="N294" s="608"/>
    </row>
    <row r="295" ht="22.5" customHeight="1">
      <c r="A295" s="622"/>
      <c r="B295" s="622"/>
      <c r="C295" s="622"/>
      <c r="D295" s="622"/>
      <c r="E295" s="625"/>
      <c r="F295" s="601"/>
      <c r="G295" s="608"/>
      <c r="H295" s="609"/>
      <c r="I295" s="608"/>
      <c r="J295" s="608"/>
      <c r="K295" s="608"/>
      <c r="L295" s="608"/>
      <c r="M295" s="608"/>
      <c r="N295" s="608"/>
    </row>
    <row r="296" ht="22.5" customHeight="1">
      <c r="A296" s="622"/>
      <c r="B296" s="622"/>
      <c r="C296" s="622"/>
      <c r="D296" s="622"/>
      <c r="E296" s="625"/>
      <c r="F296" s="601"/>
      <c r="G296" s="608"/>
      <c r="H296" s="609"/>
      <c r="I296" s="608"/>
      <c r="J296" s="608"/>
      <c r="K296" s="608"/>
      <c r="L296" s="608"/>
      <c r="M296" s="608"/>
      <c r="N296" s="608"/>
    </row>
    <row r="297" ht="22.5" customHeight="1">
      <c r="A297" s="622"/>
      <c r="B297" s="622"/>
      <c r="C297" s="622"/>
      <c r="D297" s="622"/>
      <c r="E297" s="625"/>
      <c r="F297" s="601"/>
      <c r="G297" s="608"/>
      <c r="H297" s="609"/>
      <c r="I297" s="608"/>
      <c r="J297" s="608"/>
      <c r="K297" s="608"/>
      <c r="L297" s="608"/>
      <c r="M297" s="608"/>
      <c r="N297" s="608"/>
    </row>
    <row r="298" ht="22.5" customHeight="1">
      <c r="A298" s="622"/>
      <c r="B298" s="622"/>
      <c r="C298" s="622"/>
      <c r="D298" s="622"/>
      <c r="E298" s="625"/>
      <c r="F298" s="601"/>
      <c r="G298" s="608"/>
      <c r="H298" s="609"/>
      <c r="I298" s="608"/>
      <c r="J298" s="608"/>
      <c r="K298" s="608"/>
      <c r="L298" s="608"/>
      <c r="M298" s="608"/>
      <c r="N298" s="608"/>
    </row>
    <row r="299" ht="22.5" customHeight="1">
      <c r="A299" s="622"/>
      <c r="B299" s="622"/>
      <c r="C299" s="622"/>
      <c r="D299" s="622"/>
      <c r="E299" s="625"/>
      <c r="F299" s="601"/>
      <c r="G299" s="608"/>
      <c r="H299" s="609"/>
      <c r="I299" s="608"/>
      <c r="J299" s="608"/>
      <c r="K299" s="608"/>
      <c r="L299" s="608"/>
      <c r="M299" s="608"/>
      <c r="N299" s="608"/>
    </row>
    <row r="300" ht="22.5" customHeight="1">
      <c r="A300" s="622"/>
      <c r="B300" s="622"/>
      <c r="C300" s="622"/>
      <c r="D300" s="622"/>
      <c r="E300" s="625"/>
      <c r="F300" s="601"/>
      <c r="G300" s="608"/>
      <c r="H300" s="609"/>
      <c r="I300" s="608"/>
      <c r="J300" s="608"/>
      <c r="K300" s="608"/>
      <c r="L300" s="608"/>
      <c r="M300" s="608"/>
      <c r="N300" s="608"/>
    </row>
    <row r="301" ht="22.5" customHeight="1">
      <c r="A301" s="622"/>
      <c r="B301" s="622"/>
      <c r="C301" s="622"/>
      <c r="D301" s="622"/>
      <c r="E301" s="625"/>
      <c r="F301" s="601"/>
      <c r="G301" s="608"/>
      <c r="H301" s="609"/>
      <c r="I301" s="608"/>
      <c r="J301" s="608"/>
      <c r="K301" s="608"/>
      <c r="L301" s="608"/>
      <c r="M301" s="608"/>
      <c r="N301" s="608"/>
    </row>
    <row r="302" ht="22.5" customHeight="1">
      <c r="A302" s="622"/>
      <c r="B302" s="622"/>
      <c r="C302" s="622"/>
      <c r="D302" s="622"/>
      <c r="E302" s="625"/>
      <c r="F302" s="601"/>
      <c r="G302" s="608"/>
      <c r="H302" s="609"/>
      <c r="I302" s="608"/>
      <c r="J302" s="608"/>
      <c r="K302" s="608"/>
      <c r="L302" s="608"/>
      <c r="M302" s="608"/>
      <c r="N302" s="608"/>
    </row>
    <row r="303" ht="22.5" customHeight="1">
      <c r="A303" s="622"/>
      <c r="B303" s="622"/>
      <c r="C303" s="622"/>
      <c r="D303" s="622"/>
      <c r="E303" s="625"/>
      <c r="F303" s="601"/>
      <c r="G303" s="608"/>
      <c r="H303" s="609"/>
      <c r="I303" s="608"/>
      <c r="J303" s="608"/>
      <c r="K303" s="608"/>
      <c r="L303" s="608"/>
      <c r="M303" s="608"/>
      <c r="N303" s="608"/>
    </row>
    <row r="304" ht="22.5" customHeight="1">
      <c r="A304" s="622"/>
      <c r="B304" s="622"/>
      <c r="C304" s="622"/>
      <c r="D304" s="622"/>
      <c r="E304" s="625"/>
      <c r="F304" s="601"/>
      <c r="G304" s="608"/>
      <c r="H304" s="609"/>
      <c r="I304" s="608"/>
      <c r="J304" s="608"/>
      <c r="K304" s="608"/>
      <c r="L304" s="608"/>
      <c r="M304" s="608"/>
      <c r="N304" s="608"/>
    </row>
    <row r="305" ht="22.5" customHeight="1">
      <c r="A305" s="622"/>
      <c r="B305" s="622"/>
      <c r="C305" s="622"/>
      <c r="D305" s="622"/>
      <c r="E305" s="625"/>
      <c r="F305" s="601"/>
      <c r="G305" s="608"/>
      <c r="H305" s="609"/>
      <c r="I305" s="608"/>
      <c r="J305" s="608"/>
      <c r="K305" s="608"/>
      <c r="L305" s="608"/>
      <c r="M305" s="608"/>
      <c r="N305" s="608"/>
    </row>
    <row r="306" ht="22.5" customHeight="1">
      <c r="A306" s="622"/>
      <c r="B306" s="622"/>
      <c r="C306" s="622"/>
      <c r="D306" s="622"/>
      <c r="E306" s="625"/>
      <c r="F306" s="601"/>
      <c r="G306" s="608"/>
      <c r="H306" s="609"/>
      <c r="I306" s="608"/>
      <c r="J306" s="608"/>
      <c r="K306" s="608"/>
      <c r="L306" s="608"/>
      <c r="M306" s="608"/>
      <c r="N306" s="608"/>
    </row>
    <row r="307" ht="22.5" customHeight="1">
      <c r="A307" s="622"/>
      <c r="B307" s="622"/>
      <c r="C307" s="622"/>
      <c r="D307" s="622"/>
      <c r="E307" s="625"/>
      <c r="F307" s="601"/>
      <c r="G307" s="608"/>
      <c r="H307" s="609"/>
      <c r="I307" s="608"/>
      <c r="J307" s="608"/>
      <c r="K307" s="608"/>
      <c r="L307" s="608"/>
      <c r="M307" s="608"/>
      <c r="N307" s="608"/>
    </row>
    <row r="308" ht="22.5" customHeight="1">
      <c r="A308" s="622"/>
      <c r="B308" s="622"/>
      <c r="C308" s="622"/>
      <c r="D308" s="622"/>
      <c r="E308" s="625"/>
      <c r="F308" s="601"/>
      <c r="G308" s="608"/>
      <c r="H308" s="609"/>
      <c r="I308" s="608"/>
      <c r="J308" s="608"/>
      <c r="K308" s="608"/>
      <c r="L308" s="608"/>
      <c r="M308" s="608"/>
      <c r="N308" s="608"/>
    </row>
    <row r="309" ht="22.5" customHeight="1">
      <c r="A309" s="622"/>
      <c r="B309" s="622"/>
      <c r="C309" s="622"/>
      <c r="D309" s="622"/>
      <c r="E309" s="625"/>
      <c r="F309" s="601"/>
      <c r="G309" s="608"/>
      <c r="H309" s="609"/>
      <c r="I309" s="608"/>
      <c r="J309" s="608"/>
      <c r="K309" s="608"/>
      <c r="L309" s="608"/>
      <c r="M309" s="608"/>
      <c r="N309" s="608"/>
    </row>
    <row r="310" ht="22.5" customHeight="1">
      <c r="A310" s="622"/>
      <c r="B310" s="622"/>
      <c r="C310" s="622"/>
      <c r="D310" s="622"/>
      <c r="E310" s="625"/>
      <c r="F310" s="601"/>
      <c r="G310" s="608"/>
      <c r="H310" s="609"/>
      <c r="I310" s="608"/>
      <c r="J310" s="608"/>
      <c r="K310" s="608"/>
      <c r="L310" s="608"/>
      <c r="M310" s="608"/>
      <c r="N310" s="608"/>
    </row>
    <row r="311" ht="22.5" customHeight="1">
      <c r="A311" s="622"/>
      <c r="B311" s="622"/>
      <c r="C311" s="622"/>
      <c r="D311" s="622"/>
      <c r="E311" s="625"/>
      <c r="F311" s="601"/>
      <c r="G311" s="608"/>
      <c r="H311" s="609"/>
      <c r="I311" s="608"/>
      <c r="J311" s="608"/>
      <c r="K311" s="608"/>
      <c r="L311" s="608"/>
      <c r="M311" s="608"/>
      <c r="N311" s="608"/>
    </row>
    <row r="312" ht="22.5" customHeight="1">
      <c r="A312" s="622"/>
      <c r="B312" s="622"/>
      <c r="C312" s="622"/>
      <c r="D312" s="622"/>
      <c r="E312" s="625"/>
      <c r="F312" s="601"/>
      <c r="G312" s="608"/>
      <c r="H312" s="609"/>
      <c r="I312" s="608"/>
      <c r="J312" s="608"/>
      <c r="K312" s="608"/>
      <c r="L312" s="608"/>
      <c r="M312" s="608"/>
      <c r="N312" s="608"/>
    </row>
    <row r="313" ht="22.5" customHeight="1">
      <c r="A313" s="622"/>
      <c r="B313" s="622"/>
      <c r="C313" s="622"/>
      <c r="D313" s="622"/>
      <c r="E313" s="625"/>
      <c r="F313" s="601"/>
      <c r="G313" s="608"/>
      <c r="H313" s="609"/>
      <c r="I313" s="608"/>
      <c r="J313" s="608"/>
      <c r="K313" s="608"/>
      <c r="L313" s="608"/>
      <c r="M313" s="608"/>
      <c r="N313" s="608"/>
    </row>
    <row r="314" ht="22.5" customHeight="1">
      <c r="A314" s="622"/>
      <c r="B314" s="622"/>
      <c r="C314" s="622"/>
      <c r="D314" s="622"/>
      <c r="E314" s="625"/>
      <c r="F314" s="601"/>
      <c r="G314" s="608"/>
      <c r="H314" s="609"/>
      <c r="I314" s="608"/>
      <c r="J314" s="608"/>
      <c r="K314" s="608"/>
      <c r="L314" s="608"/>
      <c r="M314" s="608"/>
      <c r="N314" s="608"/>
    </row>
    <row r="315" ht="22.5" customHeight="1">
      <c r="A315" s="622"/>
      <c r="B315" s="622"/>
      <c r="C315" s="622"/>
      <c r="D315" s="622"/>
      <c r="E315" s="625"/>
      <c r="F315" s="601"/>
      <c r="G315" s="608"/>
      <c r="H315" s="609"/>
      <c r="I315" s="608"/>
      <c r="J315" s="608"/>
      <c r="K315" s="608"/>
      <c r="L315" s="608"/>
      <c r="M315" s="608"/>
      <c r="N315" s="608"/>
    </row>
    <row r="316" ht="22.5" customHeight="1">
      <c r="A316" s="622"/>
      <c r="B316" s="622"/>
      <c r="C316" s="622"/>
      <c r="D316" s="622"/>
      <c r="E316" s="625"/>
      <c r="F316" s="601"/>
      <c r="G316" s="608"/>
      <c r="H316" s="609"/>
      <c r="I316" s="608"/>
      <c r="J316" s="608"/>
      <c r="K316" s="608"/>
      <c r="L316" s="608"/>
      <c r="M316" s="608"/>
      <c r="N316" s="608"/>
    </row>
    <row r="317" ht="22.5" customHeight="1">
      <c r="A317" s="622"/>
      <c r="B317" s="622"/>
      <c r="C317" s="622"/>
      <c r="D317" s="622"/>
      <c r="E317" s="625"/>
      <c r="F317" s="601"/>
      <c r="G317" s="608"/>
      <c r="H317" s="609"/>
      <c r="I317" s="608"/>
      <c r="J317" s="608"/>
      <c r="K317" s="608"/>
      <c r="L317" s="608"/>
      <c r="M317" s="608"/>
      <c r="N317" s="608"/>
    </row>
    <row r="318" ht="22.5" customHeight="1">
      <c r="A318" s="622"/>
      <c r="B318" s="622"/>
      <c r="C318" s="622"/>
      <c r="D318" s="622"/>
      <c r="E318" s="625"/>
      <c r="F318" s="601"/>
      <c r="G318" s="608"/>
      <c r="H318" s="609"/>
      <c r="I318" s="608"/>
      <c r="J318" s="608"/>
      <c r="K318" s="608"/>
      <c r="L318" s="608"/>
      <c r="M318" s="608"/>
      <c r="N318" s="608"/>
    </row>
    <row r="319" ht="22.5" customHeight="1">
      <c r="A319" s="622"/>
      <c r="B319" s="622"/>
      <c r="C319" s="622"/>
      <c r="D319" s="622"/>
      <c r="E319" s="625"/>
      <c r="F319" s="601"/>
      <c r="G319" s="608"/>
      <c r="H319" s="609"/>
      <c r="I319" s="608"/>
      <c r="J319" s="608"/>
      <c r="K319" s="608"/>
      <c r="L319" s="608"/>
      <c r="M319" s="608"/>
      <c r="N319" s="608"/>
    </row>
    <row r="320" ht="22.5" customHeight="1">
      <c r="A320" s="622"/>
      <c r="B320" s="622"/>
      <c r="C320" s="622"/>
      <c r="D320" s="622"/>
      <c r="E320" s="625"/>
      <c r="F320" s="601"/>
      <c r="G320" s="608"/>
      <c r="H320" s="609"/>
      <c r="I320" s="608"/>
      <c r="J320" s="608"/>
      <c r="K320" s="608"/>
      <c r="L320" s="608"/>
      <c r="M320" s="608"/>
      <c r="N320" s="608"/>
    </row>
    <row r="321" ht="22.5" customHeight="1">
      <c r="A321" s="622"/>
      <c r="B321" s="622"/>
      <c r="C321" s="622"/>
      <c r="D321" s="622"/>
      <c r="E321" s="625"/>
      <c r="F321" s="601"/>
      <c r="G321" s="608"/>
      <c r="H321" s="609"/>
      <c r="I321" s="608"/>
      <c r="J321" s="608"/>
      <c r="K321" s="608"/>
      <c r="L321" s="608"/>
      <c r="M321" s="608"/>
      <c r="N321" s="608"/>
    </row>
    <row r="322" ht="22.5" customHeight="1">
      <c r="A322" s="622"/>
      <c r="B322" s="622"/>
      <c r="C322" s="622"/>
      <c r="D322" s="622"/>
      <c r="E322" s="625"/>
      <c r="F322" s="601"/>
      <c r="G322" s="608"/>
      <c r="H322" s="609"/>
      <c r="I322" s="608"/>
      <c r="J322" s="608"/>
      <c r="K322" s="608"/>
      <c r="L322" s="608"/>
      <c r="M322" s="608"/>
      <c r="N322" s="608"/>
    </row>
    <row r="323" ht="22.5" customHeight="1">
      <c r="A323" s="622"/>
      <c r="B323" s="622"/>
      <c r="C323" s="622"/>
      <c r="D323" s="622"/>
      <c r="E323" s="625"/>
      <c r="F323" s="601"/>
      <c r="G323" s="608"/>
      <c r="H323" s="609"/>
      <c r="I323" s="608"/>
      <c r="J323" s="608"/>
      <c r="K323" s="608"/>
      <c r="L323" s="608"/>
      <c r="M323" s="608"/>
      <c r="N323" s="608"/>
    </row>
    <row r="324" ht="22.5" customHeight="1">
      <c r="A324" s="622"/>
      <c r="B324" s="622"/>
      <c r="C324" s="622"/>
      <c r="D324" s="622"/>
      <c r="E324" s="625"/>
      <c r="F324" s="601"/>
      <c r="G324" s="608"/>
      <c r="H324" s="609"/>
      <c r="I324" s="608"/>
      <c r="J324" s="608"/>
      <c r="K324" s="608"/>
      <c r="L324" s="608"/>
      <c r="M324" s="608"/>
      <c r="N324" s="608"/>
    </row>
    <row r="325" ht="22.5" customHeight="1">
      <c r="A325" s="622"/>
      <c r="B325" s="622"/>
      <c r="C325" s="622"/>
      <c r="D325" s="622"/>
      <c r="E325" s="625"/>
      <c r="F325" s="601"/>
      <c r="G325" s="608"/>
      <c r="H325" s="609"/>
      <c r="I325" s="608"/>
      <c r="J325" s="608"/>
      <c r="K325" s="608"/>
      <c r="L325" s="608"/>
      <c r="M325" s="608"/>
      <c r="N325" s="608"/>
    </row>
    <row r="326" ht="22.5" customHeight="1">
      <c r="A326" s="622"/>
      <c r="B326" s="622"/>
      <c r="C326" s="622"/>
      <c r="D326" s="622"/>
      <c r="E326" s="625"/>
      <c r="F326" s="601"/>
      <c r="G326" s="608"/>
      <c r="H326" s="609"/>
      <c r="I326" s="608"/>
      <c r="J326" s="608"/>
      <c r="K326" s="608"/>
      <c r="L326" s="608"/>
      <c r="M326" s="608"/>
      <c r="N326" s="608"/>
    </row>
    <row r="327" ht="22.5" customHeight="1">
      <c r="A327" s="622"/>
      <c r="B327" s="622"/>
      <c r="C327" s="622"/>
      <c r="D327" s="622"/>
      <c r="E327" s="625"/>
      <c r="F327" s="601"/>
      <c r="G327" s="608"/>
      <c r="H327" s="609"/>
      <c r="I327" s="608"/>
      <c r="J327" s="608"/>
      <c r="K327" s="608"/>
      <c r="L327" s="608"/>
      <c r="M327" s="608"/>
      <c r="N327" s="608"/>
    </row>
    <row r="328" ht="22.5" customHeight="1">
      <c r="A328" s="622"/>
      <c r="B328" s="622"/>
      <c r="C328" s="622"/>
      <c r="D328" s="622"/>
      <c r="E328" s="625"/>
      <c r="F328" s="601"/>
      <c r="G328" s="608"/>
      <c r="H328" s="609"/>
      <c r="I328" s="608"/>
      <c r="J328" s="608"/>
      <c r="K328" s="608"/>
      <c r="L328" s="608"/>
      <c r="M328" s="608"/>
      <c r="N328" s="608"/>
    </row>
    <row r="329" ht="22.5" customHeight="1">
      <c r="A329" s="622"/>
      <c r="B329" s="622"/>
      <c r="C329" s="622"/>
      <c r="D329" s="622"/>
      <c r="E329" s="625"/>
      <c r="F329" s="601"/>
      <c r="G329" s="608"/>
      <c r="H329" s="609"/>
      <c r="I329" s="608"/>
      <c r="J329" s="608"/>
      <c r="K329" s="608"/>
      <c r="L329" s="608"/>
      <c r="M329" s="608"/>
      <c r="N329" s="608"/>
    </row>
    <row r="330" ht="22.5" customHeight="1">
      <c r="A330" s="622"/>
      <c r="B330" s="622"/>
      <c r="C330" s="622"/>
      <c r="D330" s="622"/>
      <c r="E330" s="625"/>
      <c r="F330" s="601"/>
      <c r="G330" s="608"/>
      <c r="H330" s="609"/>
      <c r="I330" s="608"/>
      <c r="J330" s="608"/>
      <c r="K330" s="608"/>
      <c r="L330" s="608"/>
      <c r="M330" s="608"/>
      <c r="N330" s="608"/>
    </row>
    <row r="331" ht="22.5" customHeight="1">
      <c r="A331" s="622"/>
      <c r="B331" s="622"/>
      <c r="C331" s="622"/>
      <c r="D331" s="622"/>
      <c r="E331" s="625"/>
      <c r="F331" s="601"/>
      <c r="G331" s="608"/>
      <c r="H331" s="609"/>
      <c r="I331" s="608"/>
      <c r="J331" s="608"/>
      <c r="K331" s="608"/>
      <c r="L331" s="608"/>
      <c r="M331" s="608"/>
      <c r="N331" s="608"/>
    </row>
    <row r="332" ht="22.5" customHeight="1">
      <c r="A332" s="622"/>
      <c r="B332" s="622"/>
      <c r="C332" s="622"/>
      <c r="D332" s="622"/>
      <c r="E332" s="625"/>
      <c r="F332" s="601"/>
      <c r="G332" s="608"/>
      <c r="H332" s="609"/>
      <c r="I332" s="608"/>
      <c r="J332" s="608"/>
      <c r="K332" s="608"/>
      <c r="L332" s="608"/>
      <c r="M332" s="608"/>
      <c r="N332" s="608"/>
    </row>
    <row r="333" ht="22.5" customHeight="1">
      <c r="A333" s="622"/>
      <c r="B333" s="622"/>
      <c r="C333" s="622"/>
      <c r="D333" s="622"/>
      <c r="E333" s="625"/>
      <c r="F333" s="601"/>
      <c r="G333" s="608"/>
      <c r="H333" s="609"/>
      <c r="I333" s="608"/>
      <c r="J333" s="608"/>
      <c r="K333" s="608"/>
      <c r="L333" s="608"/>
      <c r="M333" s="608"/>
      <c r="N333" s="608"/>
    </row>
    <row r="334" ht="22.5" customHeight="1">
      <c r="A334" s="622"/>
      <c r="B334" s="622"/>
      <c r="C334" s="622"/>
      <c r="D334" s="622"/>
      <c r="E334" s="625"/>
      <c r="F334" s="601"/>
      <c r="G334" s="608"/>
      <c r="H334" s="609"/>
      <c r="I334" s="608"/>
      <c r="J334" s="608"/>
      <c r="K334" s="608"/>
      <c r="L334" s="608"/>
      <c r="M334" s="608"/>
      <c r="N334" s="608"/>
    </row>
    <row r="335" ht="22.5" customHeight="1">
      <c r="A335" s="622"/>
      <c r="B335" s="622"/>
      <c r="C335" s="622"/>
      <c r="D335" s="622"/>
      <c r="E335" s="625"/>
      <c r="F335" s="601"/>
      <c r="G335" s="608"/>
      <c r="H335" s="609"/>
      <c r="I335" s="608"/>
      <c r="J335" s="608"/>
      <c r="K335" s="608"/>
      <c r="L335" s="608"/>
      <c r="M335" s="608"/>
      <c r="N335" s="608"/>
    </row>
    <row r="336" ht="22.5" customHeight="1">
      <c r="A336" s="622"/>
      <c r="B336" s="622"/>
      <c r="C336" s="622"/>
      <c r="D336" s="622"/>
      <c r="E336" s="625"/>
      <c r="F336" s="601"/>
      <c r="G336" s="608"/>
      <c r="H336" s="609"/>
      <c r="I336" s="608"/>
      <c r="J336" s="608"/>
      <c r="K336" s="608"/>
      <c r="L336" s="608"/>
      <c r="M336" s="608"/>
      <c r="N336" s="608"/>
    </row>
    <row r="337" ht="22.5" customHeight="1">
      <c r="A337" s="622"/>
      <c r="B337" s="622"/>
      <c r="C337" s="622"/>
      <c r="D337" s="622"/>
      <c r="E337" s="625"/>
      <c r="F337" s="601"/>
      <c r="G337" s="608"/>
      <c r="H337" s="609"/>
      <c r="I337" s="608"/>
      <c r="J337" s="608"/>
      <c r="K337" s="608"/>
      <c r="L337" s="608"/>
      <c r="M337" s="608"/>
      <c r="N337" s="608"/>
    </row>
    <row r="338" ht="22.5" customHeight="1">
      <c r="A338" s="622"/>
      <c r="B338" s="622"/>
      <c r="C338" s="622"/>
      <c r="D338" s="622"/>
      <c r="E338" s="625"/>
      <c r="F338" s="601"/>
      <c r="G338" s="608"/>
      <c r="H338" s="609"/>
      <c r="I338" s="608"/>
      <c r="J338" s="608"/>
      <c r="K338" s="608"/>
      <c r="L338" s="608"/>
      <c r="M338" s="608"/>
      <c r="N338" s="608"/>
    </row>
    <row r="339" ht="22.5" customHeight="1">
      <c r="A339" s="622"/>
      <c r="B339" s="622"/>
      <c r="C339" s="622"/>
      <c r="D339" s="622"/>
      <c r="E339" s="625"/>
      <c r="F339" s="601"/>
      <c r="G339" s="608"/>
      <c r="H339" s="609"/>
      <c r="I339" s="608"/>
      <c r="J339" s="608"/>
      <c r="K339" s="608"/>
      <c r="L339" s="608"/>
      <c r="M339" s="608"/>
      <c r="N339" s="608"/>
    </row>
    <row r="340" ht="22.5" customHeight="1">
      <c r="A340" s="622"/>
      <c r="B340" s="622"/>
      <c r="C340" s="622"/>
      <c r="D340" s="622"/>
      <c r="E340" s="625"/>
      <c r="F340" s="601"/>
      <c r="G340" s="608"/>
      <c r="H340" s="609"/>
      <c r="I340" s="608"/>
      <c r="J340" s="608"/>
      <c r="K340" s="608"/>
      <c r="L340" s="608"/>
      <c r="M340" s="608"/>
      <c r="N340" s="608"/>
    </row>
    <row r="341" ht="22.5" customHeight="1">
      <c r="A341" s="622"/>
      <c r="B341" s="622"/>
      <c r="C341" s="622"/>
      <c r="D341" s="622"/>
      <c r="E341" s="625"/>
      <c r="F341" s="601"/>
      <c r="G341" s="608"/>
      <c r="H341" s="609"/>
      <c r="I341" s="608"/>
      <c r="J341" s="608"/>
      <c r="K341" s="608"/>
      <c r="L341" s="608"/>
      <c r="M341" s="608"/>
      <c r="N341" s="608"/>
    </row>
    <row r="342" ht="22.5" customHeight="1">
      <c r="A342" s="622"/>
      <c r="B342" s="622"/>
      <c r="C342" s="622"/>
      <c r="D342" s="622"/>
      <c r="E342" s="625"/>
      <c r="F342" s="601"/>
      <c r="G342" s="608"/>
      <c r="H342" s="609"/>
      <c r="I342" s="608"/>
      <c r="J342" s="608"/>
      <c r="K342" s="608"/>
      <c r="L342" s="608"/>
      <c r="M342" s="608"/>
      <c r="N342" s="608"/>
    </row>
    <row r="343" ht="22.5" customHeight="1">
      <c r="A343" s="622"/>
      <c r="B343" s="622"/>
      <c r="C343" s="622"/>
      <c r="D343" s="622"/>
      <c r="E343" s="625"/>
      <c r="F343" s="601"/>
      <c r="G343" s="608"/>
      <c r="H343" s="609"/>
      <c r="I343" s="608"/>
      <c r="J343" s="608"/>
      <c r="K343" s="608"/>
      <c r="L343" s="608"/>
      <c r="M343" s="608"/>
      <c r="N343" s="608"/>
    </row>
    <row r="344" ht="22.5" customHeight="1">
      <c r="A344" s="622"/>
      <c r="B344" s="622"/>
      <c r="C344" s="622"/>
      <c r="D344" s="622"/>
      <c r="E344" s="625"/>
      <c r="F344" s="601"/>
      <c r="G344" s="608"/>
      <c r="H344" s="609"/>
      <c r="I344" s="608"/>
      <c r="J344" s="608"/>
      <c r="K344" s="608"/>
      <c r="L344" s="608"/>
      <c r="M344" s="608"/>
      <c r="N344" s="608"/>
    </row>
    <row r="345" ht="22.5" customHeight="1">
      <c r="A345" s="622"/>
      <c r="B345" s="622"/>
      <c r="C345" s="622"/>
      <c r="D345" s="622"/>
      <c r="E345" s="625"/>
      <c r="F345" s="601"/>
      <c r="G345" s="608"/>
      <c r="H345" s="609"/>
      <c r="I345" s="608"/>
      <c r="J345" s="608"/>
      <c r="K345" s="608"/>
      <c r="L345" s="608"/>
      <c r="M345" s="608"/>
      <c r="N345" s="608"/>
    </row>
    <row r="346" ht="22.5" customHeight="1">
      <c r="A346" s="622"/>
      <c r="B346" s="622"/>
      <c r="C346" s="622"/>
      <c r="D346" s="622"/>
      <c r="E346" s="625"/>
      <c r="F346" s="601"/>
      <c r="G346" s="608"/>
      <c r="H346" s="609"/>
      <c r="I346" s="608"/>
      <c r="J346" s="608"/>
      <c r="K346" s="608"/>
      <c r="L346" s="608"/>
      <c r="M346" s="608"/>
      <c r="N346" s="608"/>
    </row>
    <row r="347" ht="22.5" customHeight="1">
      <c r="A347" s="622"/>
      <c r="B347" s="622"/>
      <c r="C347" s="622"/>
      <c r="D347" s="622"/>
      <c r="E347" s="625"/>
      <c r="F347" s="601"/>
      <c r="G347" s="608"/>
      <c r="H347" s="609"/>
      <c r="I347" s="608"/>
      <c r="J347" s="608"/>
      <c r="K347" s="608"/>
      <c r="L347" s="608"/>
      <c r="M347" s="608"/>
      <c r="N347" s="608"/>
    </row>
    <row r="348" ht="22.5" customHeight="1">
      <c r="A348" s="622"/>
      <c r="B348" s="622"/>
      <c r="C348" s="622"/>
      <c r="D348" s="622"/>
      <c r="E348" s="625"/>
      <c r="F348" s="601"/>
      <c r="G348" s="608"/>
      <c r="H348" s="609"/>
      <c r="I348" s="608"/>
      <c r="J348" s="608"/>
      <c r="K348" s="608"/>
      <c r="L348" s="608"/>
      <c r="M348" s="608"/>
      <c r="N348" s="608"/>
    </row>
    <row r="349" ht="22.5" customHeight="1">
      <c r="A349" s="622"/>
      <c r="B349" s="622"/>
      <c r="C349" s="622"/>
      <c r="D349" s="622"/>
      <c r="E349" s="625"/>
      <c r="F349" s="601"/>
      <c r="G349" s="608"/>
      <c r="H349" s="609"/>
      <c r="I349" s="608"/>
      <c r="J349" s="608"/>
      <c r="K349" s="608"/>
      <c r="L349" s="608"/>
      <c r="M349" s="608"/>
      <c r="N349" s="608"/>
    </row>
    <row r="350" ht="22.5" customHeight="1">
      <c r="A350" s="622"/>
      <c r="B350" s="622"/>
      <c r="C350" s="622"/>
      <c r="D350" s="622"/>
      <c r="E350" s="625"/>
      <c r="F350" s="601"/>
      <c r="G350" s="608"/>
      <c r="H350" s="609"/>
      <c r="I350" s="608"/>
      <c r="J350" s="608"/>
      <c r="K350" s="608"/>
      <c r="L350" s="608"/>
      <c r="M350" s="608"/>
      <c r="N350" s="608"/>
    </row>
    <row r="351" ht="22.5" customHeight="1">
      <c r="A351" s="622"/>
      <c r="B351" s="622"/>
      <c r="C351" s="622"/>
      <c r="D351" s="622"/>
      <c r="E351" s="625"/>
      <c r="F351" s="601"/>
      <c r="G351" s="608"/>
      <c r="H351" s="609"/>
      <c r="I351" s="608"/>
      <c r="J351" s="608"/>
      <c r="K351" s="608"/>
      <c r="L351" s="608"/>
      <c r="M351" s="608"/>
      <c r="N351" s="608"/>
    </row>
    <row r="352" ht="22.5" customHeight="1">
      <c r="A352" s="622"/>
      <c r="B352" s="622"/>
      <c r="C352" s="622"/>
      <c r="D352" s="622"/>
      <c r="E352" s="625"/>
      <c r="F352" s="601"/>
      <c r="G352" s="608"/>
      <c r="H352" s="609"/>
      <c r="I352" s="608"/>
      <c r="J352" s="608"/>
      <c r="K352" s="608"/>
      <c r="L352" s="608"/>
      <c r="M352" s="608"/>
      <c r="N352" s="608"/>
    </row>
    <row r="353" ht="22.5" customHeight="1">
      <c r="A353" s="622"/>
      <c r="B353" s="622"/>
      <c r="C353" s="622"/>
      <c r="D353" s="622"/>
      <c r="E353" s="625"/>
      <c r="F353" s="601"/>
      <c r="G353" s="608"/>
      <c r="H353" s="609"/>
      <c r="I353" s="608"/>
      <c r="J353" s="608"/>
      <c r="K353" s="608"/>
      <c r="L353" s="608"/>
      <c r="M353" s="608"/>
      <c r="N353" s="608"/>
    </row>
    <row r="354" ht="22.5" customHeight="1">
      <c r="A354" s="622"/>
      <c r="B354" s="622"/>
      <c r="C354" s="622"/>
      <c r="D354" s="622"/>
      <c r="E354" s="625"/>
      <c r="F354" s="601"/>
      <c r="G354" s="608"/>
      <c r="H354" s="609"/>
      <c r="I354" s="608"/>
      <c r="J354" s="608"/>
      <c r="K354" s="608"/>
      <c r="L354" s="608"/>
      <c r="M354" s="608"/>
      <c r="N354" s="608"/>
    </row>
    <row r="355" ht="22.5" customHeight="1">
      <c r="A355" s="622"/>
      <c r="B355" s="622"/>
      <c r="C355" s="622"/>
      <c r="D355" s="622"/>
      <c r="E355" s="625"/>
      <c r="F355" s="601"/>
      <c r="G355" s="608"/>
      <c r="H355" s="609"/>
      <c r="I355" s="608"/>
      <c r="J355" s="608"/>
      <c r="K355" s="608"/>
      <c r="L355" s="608"/>
      <c r="M355" s="608"/>
      <c r="N355" s="608"/>
    </row>
    <row r="356" ht="22.5" customHeight="1">
      <c r="A356" s="622"/>
      <c r="B356" s="622"/>
      <c r="C356" s="622"/>
      <c r="D356" s="622"/>
      <c r="E356" s="625"/>
      <c r="F356" s="601"/>
      <c r="G356" s="608"/>
      <c r="H356" s="609"/>
      <c r="I356" s="608"/>
      <c r="J356" s="608"/>
      <c r="K356" s="608"/>
      <c r="L356" s="608"/>
      <c r="M356" s="608"/>
      <c r="N356" s="608"/>
    </row>
    <row r="357" ht="22.5" customHeight="1">
      <c r="A357" s="622"/>
      <c r="B357" s="622"/>
      <c r="C357" s="622"/>
      <c r="D357" s="622"/>
      <c r="E357" s="625"/>
      <c r="F357" s="601"/>
      <c r="G357" s="608"/>
      <c r="H357" s="609"/>
      <c r="I357" s="608"/>
      <c r="J357" s="608"/>
      <c r="K357" s="608"/>
      <c r="L357" s="608"/>
      <c r="M357" s="608"/>
      <c r="N357" s="608"/>
    </row>
    <row r="358" ht="22.5" customHeight="1">
      <c r="A358" s="622"/>
      <c r="B358" s="622"/>
      <c r="C358" s="622"/>
      <c r="D358" s="622"/>
      <c r="E358" s="625"/>
      <c r="F358" s="601"/>
      <c r="G358" s="608"/>
      <c r="H358" s="609"/>
      <c r="I358" s="608"/>
      <c r="J358" s="608"/>
      <c r="K358" s="608"/>
      <c r="L358" s="608"/>
      <c r="M358" s="608"/>
      <c r="N358" s="608"/>
    </row>
    <row r="359" ht="22.5" customHeight="1">
      <c r="A359" s="622"/>
      <c r="B359" s="622"/>
      <c r="C359" s="622"/>
      <c r="D359" s="622"/>
      <c r="E359" s="625"/>
      <c r="F359" s="601"/>
      <c r="G359" s="608"/>
      <c r="H359" s="609"/>
      <c r="I359" s="608"/>
      <c r="J359" s="608"/>
      <c r="K359" s="608"/>
      <c r="L359" s="608"/>
      <c r="M359" s="608"/>
      <c r="N359" s="608"/>
    </row>
    <row r="360" ht="22.5" customHeight="1">
      <c r="A360" s="622"/>
      <c r="B360" s="622"/>
      <c r="C360" s="622"/>
      <c r="D360" s="622"/>
      <c r="E360" s="625"/>
      <c r="F360" s="601"/>
      <c r="G360" s="608"/>
      <c r="H360" s="609"/>
      <c r="I360" s="608"/>
      <c r="J360" s="608"/>
      <c r="K360" s="608"/>
      <c r="L360" s="608"/>
      <c r="M360" s="608"/>
      <c r="N360" s="608"/>
    </row>
    <row r="361" ht="22.5" customHeight="1">
      <c r="A361" s="622"/>
      <c r="B361" s="622"/>
      <c r="C361" s="622"/>
      <c r="D361" s="622"/>
      <c r="E361" s="625"/>
      <c r="F361" s="601"/>
      <c r="G361" s="608"/>
      <c r="H361" s="609"/>
      <c r="I361" s="608"/>
      <c r="J361" s="608"/>
      <c r="K361" s="608"/>
      <c r="L361" s="608"/>
      <c r="M361" s="608"/>
      <c r="N361" s="608"/>
    </row>
    <row r="362" ht="22.5" customHeight="1">
      <c r="A362" s="622"/>
      <c r="B362" s="622"/>
      <c r="C362" s="622"/>
      <c r="D362" s="622"/>
      <c r="E362" s="625"/>
      <c r="F362" s="601"/>
      <c r="G362" s="608"/>
      <c r="H362" s="609"/>
      <c r="I362" s="608"/>
      <c r="J362" s="608"/>
      <c r="K362" s="608"/>
      <c r="L362" s="608"/>
      <c r="M362" s="608"/>
      <c r="N362" s="608"/>
    </row>
    <row r="363" ht="22.5" customHeight="1">
      <c r="A363" s="622"/>
      <c r="B363" s="622"/>
      <c r="C363" s="622"/>
      <c r="D363" s="622"/>
      <c r="E363" s="625"/>
      <c r="F363" s="601"/>
      <c r="G363" s="608"/>
      <c r="H363" s="609"/>
      <c r="I363" s="608"/>
      <c r="J363" s="608"/>
      <c r="K363" s="608"/>
      <c r="L363" s="608"/>
      <c r="M363" s="608"/>
      <c r="N363" s="608"/>
    </row>
    <row r="364" ht="22.5" customHeight="1">
      <c r="A364" s="622"/>
      <c r="B364" s="622"/>
      <c r="C364" s="622"/>
      <c r="D364" s="622"/>
      <c r="E364" s="625"/>
      <c r="F364" s="601"/>
      <c r="G364" s="608"/>
      <c r="H364" s="609"/>
      <c r="I364" s="608"/>
      <c r="J364" s="608"/>
      <c r="K364" s="608"/>
      <c r="L364" s="608"/>
      <c r="M364" s="608"/>
      <c r="N364" s="608"/>
    </row>
    <row r="365" ht="22.5" customHeight="1">
      <c r="A365" s="622"/>
      <c r="B365" s="622"/>
      <c r="C365" s="622"/>
      <c r="D365" s="622"/>
      <c r="E365" s="625"/>
      <c r="F365" s="601"/>
      <c r="G365" s="608"/>
      <c r="H365" s="609"/>
      <c r="I365" s="608"/>
      <c r="J365" s="608"/>
      <c r="K365" s="608"/>
      <c r="L365" s="608"/>
      <c r="M365" s="608"/>
      <c r="N365" s="608"/>
    </row>
    <row r="366" ht="22.5" customHeight="1">
      <c r="A366" s="622"/>
      <c r="B366" s="622"/>
      <c r="C366" s="622"/>
      <c r="D366" s="622"/>
      <c r="E366" s="625"/>
      <c r="F366" s="601"/>
      <c r="G366" s="608"/>
      <c r="H366" s="609"/>
      <c r="I366" s="608"/>
      <c r="J366" s="608"/>
      <c r="K366" s="608"/>
      <c r="L366" s="608"/>
      <c r="M366" s="608"/>
      <c r="N366" s="608"/>
    </row>
    <row r="367" ht="22.5" customHeight="1">
      <c r="A367" s="622"/>
      <c r="B367" s="622"/>
      <c r="C367" s="622"/>
      <c r="D367" s="622"/>
      <c r="E367" s="625"/>
      <c r="F367" s="601"/>
      <c r="G367" s="608"/>
      <c r="H367" s="609"/>
      <c r="I367" s="608"/>
      <c r="J367" s="608"/>
      <c r="K367" s="608"/>
      <c r="L367" s="608"/>
      <c r="M367" s="608"/>
      <c r="N367" s="608"/>
    </row>
    <row r="368" ht="22.5" customHeight="1">
      <c r="A368" s="622"/>
      <c r="B368" s="622"/>
      <c r="C368" s="622"/>
      <c r="D368" s="622"/>
      <c r="E368" s="625"/>
      <c r="F368" s="601"/>
      <c r="G368" s="608"/>
      <c r="H368" s="609"/>
      <c r="I368" s="608"/>
      <c r="J368" s="608"/>
      <c r="K368" s="608"/>
      <c r="L368" s="608"/>
      <c r="M368" s="608"/>
      <c r="N368" s="608"/>
    </row>
    <row r="369" ht="22.5" customHeight="1">
      <c r="A369" s="622"/>
      <c r="B369" s="622"/>
      <c r="C369" s="622"/>
      <c r="D369" s="622"/>
      <c r="E369" s="625"/>
      <c r="F369" s="601"/>
      <c r="G369" s="608"/>
      <c r="H369" s="609"/>
      <c r="I369" s="608"/>
      <c r="J369" s="608"/>
      <c r="K369" s="608"/>
      <c r="L369" s="608"/>
      <c r="M369" s="608"/>
      <c r="N369" s="608"/>
    </row>
    <row r="370" ht="22.5" customHeight="1">
      <c r="A370" s="622"/>
      <c r="B370" s="622"/>
      <c r="C370" s="622"/>
      <c r="D370" s="622"/>
      <c r="E370" s="625"/>
      <c r="F370" s="601"/>
      <c r="G370" s="608"/>
      <c r="H370" s="609"/>
      <c r="I370" s="608"/>
      <c r="J370" s="608"/>
      <c r="K370" s="608"/>
      <c r="L370" s="608"/>
      <c r="M370" s="608"/>
      <c r="N370" s="608"/>
    </row>
    <row r="371" ht="22.5" customHeight="1">
      <c r="A371" s="622"/>
      <c r="B371" s="622"/>
      <c r="C371" s="622"/>
      <c r="D371" s="622"/>
      <c r="E371" s="625"/>
      <c r="F371" s="601"/>
      <c r="G371" s="608"/>
      <c r="H371" s="609"/>
      <c r="I371" s="608"/>
      <c r="J371" s="608"/>
      <c r="K371" s="608"/>
      <c r="L371" s="608"/>
      <c r="M371" s="608"/>
      <c r="N371" s="608"/>
    </row>
    <row r="372" ht="22.5" customHeight="1">
      <c r="A372" s="622"/>
      <c r="B372" s="622"/>
      <c r="C372" s="622"/>
      <c r="D372" s="622"/>
      <c r="E372" s="625"/>
      <c r="F372" s="601"/>
      <c r="G372" s="608"/>
      <c r="H372" s="609"/>
      <c r="I372" s="608"/>
      <c r="J372" s="608"/>
      <c r="K372" s="608"/>
      <c r="L372" s="608"/>
      <c r="M372" s="608"/>
      <c r="N372" s="608"/>
    </row>
    <row r="373" ht="22.5" customHeight="1">
      <c r="A373" s="622"/>
      <c r="B373" s="622"/>
      <c r="C373" s="622"/>
      <c r="D373" s="622"/>
      <c r="E373" s="625"/>
      <c r="F373" s="601"/>
      <c r="G373" s="608"/>
      <c r="H373" s="609"/>
      <c r="I373" s="608"/>
      <c r="J373" s="608"/>
      <c r="K373" s="608"/>
      <c r="L373" s="608"/>
      <c r="M373" s="608"/>
      <c r="N373" s="608"/>
    </row>
    <row r="374" ht="22.5" customHeight="1">
      <c r="A374" s="622"/>
      <c r="B374" s="622"/>
      <c r="C374" s="622"/>
      <c r="D374" s="622"/>
      <c r="E374" s="625"/>
      <c r="F374" s="601"/>
      <c r="G374" s="608"/>
      <c r="H374" s="609"/>
      <c r="I374" s="608"/>
      <c r="J374" s="608"/>
      <c r="K374" s="608"/>
      <c r="L374" s="608"/>
      <c r="M374" s="608"/>
      <c r="N374" s="608"/>
    </row>
    <row r="375" ht="22.5" customHeight="1">
      <c r="A375" s="622"/>
      <c r="B375" s="622"/>
      <c r="C375" s="622"/>
      <c r="D375" s="622"/>
      <c r="E375" s="625"/>
      <c r="F375" s="601"/>
      <c r="G375" s="608"/>
      <c r="H375" s="609"/>
      <c r="I375" s="608"/>
      <c r="J375" s="608"/>
      <c r="K375" s="608"/>
      <c r="L375" s="608"/>
      <c r="M375" s="608"/>
      <c r="N375" s="608"/>
    </row>
    <row r="376" ht="22.5" customHeight="1">
      <c r="A376" s="622"/>
      <c r="B376" s="622"/>
      <c r="C376" s="622"/>
      <c r="D376" s="622"/>
      <c r="E376" s="625"/>
      <c r="F376" s="601"/>
      <c r="G376" s="608"/>
      <c r="H376" s="609"/>
      <c r="I376" s="608"/>
      <c r="J376" s="608"/>
      <c r="K376" s="608"/>
      <c r="L376" s="608"/>
      <c r="M376" s="608"/>
      <c r="N376" s="608"/>
    </row>
    <row r="377" ht="22.5" customHeight="1">
      <c r="A377" s="622"/>
      <c r="B377" s="622"/>
      <c r="C377" s="622"/>
      <c r="D377" s="622"/>
      <c r="E377" s="625"/>
      <c r="F377" s="601"/>
      <c r="G377" s="608"/>
      <c r="H377" s="609"/>
      <c r="I377" s="608"/>
      <c r="J377" s="608"/>
      <c r="K377" s="608"/>
      <c r="L377" s="608"/>
      <c r="M377" s="608"/>
      <c r="N377" s="608"/>
    </row>
    <row r="378" ht="22.5" customHeight="1">
      <c r="A378" s="622"/>
      <c r="B378" s="622"/>
      <c r="C378" s="622"/>
      <c r="D378" s="622"/>
      <c r="E378" s="625"/>
      <c r="F378" s="601"/>
      <c r="G378" s="608"/>
      <c r="H378" s="609"/>
      <c r="I378" s="608"/>
      <c r="J378" s="608"/>
      <c r="K378" s="608"/>
      <c r="L378" s="608"/>
      <c r="M378" s="608"/>
      <c r="N378" s="608"/>
    </row>
    <row r="379" ht="22.5" customHeight="1">
      <c r="A379" s="622"/>
      <c r="B379" s="622"/>
      <c r="C379" s="622"/>
      <c r="D379" s="622"/>
      <c r="E379" s="625"/>
      <c r="F379" s="601"/>
      <c r="G379" s="608"/>
      <c r="H379" s="609"/>
      <c r="I379" s="608"/>
      <c r="J379" s="608"/>
      <c r="K379" s="608"/>
      <c r="L379" s="608"/>
      <c r="M379" s="608"/>
      <c r="N379" s="608"/>
    </row>
    <row r="380" ht="22.5" customHeight="1">
      <c r="A380" s="622"/>
      <c r="B380" s="622"/>
      <c r="C380" s="622"/>
      <c r="D380" s="622"/>
      <c r="E380" s="625"/>
      <c r="F380" s="601"/>
      <c r="G380" s="608"/>
      <c r="H380" s="609"/>
      <c r="I380" s="608"/>
      <c r="J380" s="608"/>
      <c r="K380" s="608"/>
      <c r="L380" s="608"/>
      <c r="M380" s="608"/>
      <c r="N380" s="608"/>
    </row>
    <row r="381" ht="22.5" customHeight="1">
      <c r="A381" s="622"/>
      <c r="B381" s="622"/>
      <c r="C381" s="622"/>
      <c r="D381" s="622"/>
      <c r="E381" s="625"/>
      <c r="F381" s="601"/>
      <c r="G381" s="608"/>
      <c r="H381" s="609"/>
      <c r="I381" s="608"/>
      <c r="J381" s="608"/>
      <c r="K381" s="608"/>
      <c r="L381" s="608"/>
      <c r="M381" s="608"/>
      <c r="N381" s="608"/>
    </row>
    <row r="382" ht="22.5" customHeight="1">
      <c r="A382" s="622"/>
      <c r="B382" s="622"/>
      <c r="C382" s="622"/>
      <c r="D382" s="622"/>
      <c r="E382" s="625"/>
      <c r="F382" s="601"/>
      <c r="G382" s="608"/>
      <c r="H382" s="609"/>
      <c r="I382" s="608"/>
      <c r="J382" s="608"/>
      <c r="K382" s="608"/>
      <c r="L382" s="608"/>
      <c r="M382" s="608"/>
      <c r="N382" s="608"/>
    </row>
    <row r="383" ht="22.5" customHeight="1">
      <c r="A383" s="622"/>
      <c r="B383" s="622"/>
      <c r="C383" s="622"/>
      <c r="D383" s="622"/>
      <c r="E383" s="625"/>
      <c r="F383" s="601"/>
      <c r="G383" s="608"/>
      <c r="H383" s="609"/>
      <c r="I383" s="608"/>
      <c r="J383" s="608"/>
      <c r="K383" s="608"/>
      <c r="L383" s="608"/>
      <c r="M383" s="608"/>
      <c r="N383" s="608"/>
    </row>
    <row r="384" ht="22.5" customHeight="1">
      <c r="A384" s="622"/>
      <c r="B384" s="622"/>
      <c r="C384" s="622"/>
      <c r="D384" s="622"/>
      <c r="E384" s="625"/>
      <c r="F384" s="601"/>
      <c r="G384" s="608"/>
      <c r="H384" s="609"/>
      <c r="I384" s="608"/>
      <c r="J384" s="608"/>
      <c r="K384" s="608"/>
      <c r="L384" s="608"/>
      <c r="M384" s="608"/>
      <c r="N384" s="608"/>
    </row>
    <row r="385" ht="22.5" customHeight="1">
      <c r="A385" s="622"/>
      <c r="B385" s="622"/>
      <c r="C385" s="622"/>
      <c r="D385" s="622"/>
      <c r="E385" s="625"/>
      <c r="F385" s="601"/>
      <c r="G385" s="608"/>
      <c r="H385" s="609"/>
      <c r="I385" s="608"/>
      <c r="J385" s="608"/>
      <c r="K385" s="608"/>
      <c r="L385" s="608"/>
      <c r="M385" s="608"/>
      <c r="N385" s="608"/>
    </row>
    <row r="386" ht="22.5" customHeight="1">
      <c r="A386" s="622"/>
      <c r="B386" s="622"/>
      <c r="C386" s="622"/>
      <c r="D386" s="622"/>
      <c r="E386" s="625"/>
      <c r="F386" s="601"/>
      <c r="G386" s="608"/>
      <c r="H386" s="609"/>
      <c r="I386" s="608"/>
      <c r="J386" s="608"/>
      <c r="K386" s="608"/>
      <c r="L386" s="608"/>
      <c r="M386" s="608"/>
      <c r="N386" s="608"/>
    </row>
    <row r="387" ht="22.5" customHeight="1">
      <c r="A387" s="622"/>
      <c r="B387" s="622"/>
      <c r="C387" s="622"/>
      <c r="D387" s="622"/>
      <c r="E387" s="625"/>
      <c r="F387" s="601"/>
      <c r="G387" s="608"/>
      <c r="H387" s="609"/>
      <c r="I387" s="608"/>
      <c r="J387" s="608"/>
      <c r="K387" s="608"/>
      <c r="L387" s="608"/>
      <c r="M387" s="608"/>
      <c r="N387" s="608"/>
    </row>
    <row r="388" ht="22.5" customHeight="1">
      <c r="A388" s="622"/>
      <c r="B388" s="622"/>
      <c r="C388" s="622"/>
      <c r="D388" s="622"/>
      <c r="E388" s="625"/>
      <c r="F388" s="601"/>
      <c r="G388" s="608"/>
      <c r="H388" s="609"/>
      <c r="I388" s="608"/>
      <c r="J388" s="608"/>
      <c r="K388" s="608"/>
      <c r="L388" s="608"/>
      <c r="M388" s="608"/>
      <c r="N388" s="608"/>
    </row>
    <row r="389" ht="22.5" customHeight="1">
      <c r="A389" s="622"/>
      <c r="B389" s="622"/>
      <c r="C389" s="622"/>
      <c r="D389" s="622"/>
      <c r="E389" s="625"/>
      <c r="F389" s="601"/>
      <c r="G389" s="608"/>
      <c r="H389" s="609"/>
      <c r="I389" s="608"/>
      <c r="J389" s="608"/>
      <c r="K389" s="608"/>
      <c r="L389" s="608"/>
      <c r="M389" s="608"/>
      <c r="N389" s="608"/>
    </row>
    <row r="390" ht="22.5" customHeight="1">
      <c r="A390" s="622"/>
      <c r="B390" s="622"/>
      <c r="C390" s="622"/>
      <c r="D390" s="622"/>
      <c r="E390" s="625"/>
      <c r="F390" s="601"/>
      <c r="G390" s="608"/>
      <c r="H390" s="609"/>
      <c r="I390" s="608"/>
      <c r="J390" s="608"/>
      <c r="K390" s="608"/>
      <c r="L390" s="608"/>
      <c r="M390" s="608"/>
      <c r="N390" s="608"/>
    </row>
    <row r="391" ht="22.5" customHeight="1">
      <c r="A391" s="622"/>
      <c r="B391" s="622"/>
      <c r="C391" s="622"/>
      <c r="D391" s="622"/>
      <c r="E391" s="625"/>
      <c r="F391" s="601"/>
      <c r="G391" s="608"/>
      <c r="H391" s="609"/>
      <c r="I391" s="608"/>
      <c r="J391" s="608"/>
      <c r="K391" s="608"/>
      <c r="L391" s="608"/>
      <c r="M391" s="608"/>
      <c r="N391" s="608"/>
    </row>
    <row r="392" ht="22.5" customHeight="1">
      <c r="A392" s="622"/>
      <c r="B392" s="622"/>
      <c r="C392" s="622"/>
      <c r="D392" s="622"/>
      <c r="E392" s="625"/>
      <c r="F392" s="601"/>
      <c r="G392" s="608"/>
      <c r="H392" s="609"/>
      <c r="I392" s="608"/>
      <c r="J392" s="608"/>
      <c r="K392" s="608"/>
      <c r="L392" s="608"/>
      <c r="M392" s="608"/>
      <c r="N392" s="608"/>
    </row>
    <row r="393" ht="22.5" customHeight="1">
      <c r="A393" s="622"/>
      <c r="B393" s="622"/>
      <c r="C393" s="622"/>
      <c r="D393" s="622"/>
      <c r="E393" s="625"/>
      <c r="F393" s="601"/>
      <c r="G393" s="608"/>
      <c r="H393" s="609"/>
      <c r="I393" s="608"/>
      <c r="J393" s="608"/>
      <c r="K393" s="608"/>
      <c r="L393" s="608"/>
      <c r="M393" s="608"/>
      <c r="N393" s="608"/>
    </row>
    <row r="394" ht="22.5" customHeight="1">
      <c r="A394" s="622"/>
      <c r="B394" s="622"/>
      <c r="C394" s="622"/>
      <c r="D394" s="622"/>
      <c r="E394" s="625"/>
      <c r="F394" s="601"/>
      <c r="G394" s="608"/>
      <c r="H394" s="609"/>
      <c r="I394" s="608"/>
      <c r="J394" s="608"/>
      <c r="K394" s="608"/>
      <c r="L394" s="608"/>
      <c r="M394" s="608"/>
      <c r="N394" s="608"/>
    </row>
    <row r="395" ht="22.5" customHeight="1">
      <c r="A395" s="622"/>
      <c r="B395" s="622"/>
      <c r="C395" s="622"/>
      <c r="D395" s="622"/>
      <c r="E395" s="625"/>
      <c r="F395" s="601"/>
      <c r="G395" s="608"/>
      <c r="H395" s="609"/>
      <c r="I395" s="608"/>
      <c r="J395" s="608"/>
      <c r="K395" s="608"/>
      <c r="L395" s="608"/>
      <c r="M395" s="608"/>
      <c r="N395" s="608"/>
    </row>
    <row r="396" ht="22.5" customHeight="1">
      <c r="A396" s="622"/>
      <c r="B396" s="622"/>
      <c r="C396" s="622"/>
      <c r="D396" s="622"/>
      <c r="E396" s="625"/>
      <c r="F396" s="601"/>
      <c r="G396" s="608"/>
      <c r="H396" s="609"/>
      <c r="I396" s="608"/>
      <c r="J396" s="608"/>
      <c r="K396" s="608"/>
      <c r="L396" s="608"/>
      <c r="M396" s="608"/>
      <c r="N396" s="608"/>
    </row>
    <row r="397" ht="22.5" customHeight="1">
      <c r="A397" s="622"/>
      <c r="B397" s="622"/>
      <c r="C397" s="622"/>
      <c r="D397" s="622"/>
      <c r="E397" s="625"/>
      <c r="F397" s="601"/>
      <c r="G397" s="608"/>
      <c r="H397" s="609"/>
      <c r="I397" s="608"/>
      <c r="J397" s="608"/>
      <c r="K397" s="608"/>
      <c r="L397" s="608"/>
      <c r="M397" s="608"/>
      <c r="N397" s="608"/>
    </row>
    <row r="398" ht="22.5" customHeight="1">
      <c r="A398" s="622"/>
      <c r="B398" s="622"/>
      <c r="C398" s="622"/>
      <c r="D398" s="622"/>
      <c r="E398" s="625"/>
      <c r="F398" s="601"/>
      <c r="G398" s="608"/>
      <c r="H398" s="609"/>
      <c r="I398" s="608"/>
      <c r="J398" s="608"/>
      <c r="K398" s="608"/>
      <c r="L398" s="608"/>
      <c r="M398" s="608"/>
      <c r="N398" s="608"/>
    </row>
    <row r="399" ht="22.5" customHeight="1">
      <c r="A399" s="622"/>
      <c r="B399" s="622"/>
      <c r="C399" s="622"/>
      <c r="D399" s="622"/>
      <c r="E399" s="625"/>
      <c r="F399" s="601"/>
      <c r="G399" s="608"/>
      <c r="H399" s="609"/>
      <c r="I399" s="608"/>
      <c r="J399" s="608"/>
      <c r="K399" s="608"/>
      <c r="L399" s="608"/>
      <c r="M399" s="608"/>
      <c r="N399" s="608"/>
    </row>
    <row r="400" ht="22.5" customHeight="1">
      <c r="A400" s="622"/>
      <c r="B400" s="622"/>
      <c r="C400" s="622"/>
      <c r="D400" s="622"/>
      <c r="E400" s="625"/>
      <c r="F400" s="601"/>
      <c r="G400" s="608"/>
      <c r="H400" s="609"/>
      <c r="I400" s="608"/>
      <c r="J400" s="608"/>
      <c r="K400" s="608"/>
      <c r="L400" s="608"/>
      <c r="M400" s="608"/>
      <c r="N400" s="608"/>
    </row>
    <row r="401" ht="22.5" customHeight="1">
      <c r="A401" s="622"/>
      <c r="B401" s="622"/>
      <c r="C401" s="622"/>
      <c r="D401" s="622"/>
      <c r="E401" s="625"/>
      <c r="F401" s="601"/>
      <c r="G401" s="608"/>
      <c r="H401" s="609"/>
      <c r="I401" s="608"/>
      <c r="J401" s="608"/>
      <c r="K401" s="608"/>
      <c r="L401" s="608"/>
      <c r="M401" s="608"/>
      <c r="N401" s="608"/>
    </row>
    <row r="402" ht="22.5" customHeight="1">
      <c r="A402" s="622"/>
      <c r="B402" s="622"/>
      <c r="C402" s="622"/>
      <c r="D402" s="622"/>
      <c r="E402" s="625"/>
      <c r="F402" s="601"/>
      <c r="G402" s="608"/>
      <c r="H402" s="609"/>
      <c r="I402" s="608"/>
      <c r="J402" s="608"/>
      <c r="K402" s="608"/>
      <c r="L402" s="608"/>
      <c r="M402" s="608"/>
      <c r="N402" s="608"/>
    </row>
    <row r="403" ht="22.5" customHeight="1">
      <c r="A403" s="622"/>
      <c r="B403" s="622"/>
      <c r="C403" s="622"/>
      <c r="D403" s="622"/>
      <c r="E403" s="625"/>
      <c r="F403" s="601"/>
      <c r="G403" s="608"/>
      <c r="H403" s="609"/>
      <c r="I403" s="608"/>
      <c r="J403" s="608"/>
      <c r="K403" s="608"/>
      <c r="L403" s="608"/>
      <c r="M403" s="608"/>
      <c r="N403" s="608"/>
    </row>
    <row r="404" ht="22.5" customHeight="1">
      <c r="A404" s="622"/>
      <c r="B404" s="622"/>
      <c r="C404" s="622"/>
      <c r="D404" s="622"/>
      <c r="E404" s="625"/>
      <c r="F404" s="601"/>
      <c r="G404" s="608"/>
      <c r="H404" s="609"/>
      <c r="I404" s="608"/>
      <c r="J404" s="608"/>
      <c r="K404" s="608"/>
      <c r="L404" s="608"/>
      <c r="M404" s="608"/>
      <c r="N404" s="608"/>
    </row>
    <row r="405" ht="22.5" customHeight="1">
      <c r="A405" s="622"/>
      <c r="B405" s="622"/>
      <c r="C405" s="622"/>
      <c r="D405" s="622"/>
      <c r="E405" s="625"/>
      <c r="F405" s="601"/>
      <c r="G405" s="608"/>
      <c r="H405" s="609"/>
      <c r="I405" s="608"/>
      <c r="J405" s="608"/>
      <c r="K405" s="608"/>
      <c r="L405" s="608"/>
      <c r="M405" s="608"/>
      <c r="N405" s="608"/>
    </row>
    <row r="406" ht="22.5" customHeight="1">
      <c r="A406" s="622"/>
      <c r="B406" s="622"/>
      <c r="C406" s="622"/>
      <c r="D406" s="622"/>
      <c r="E406" s="625"/>
      <c r="F406" s="601"/>
      <c r="G406" s="608"/>
      <c r="H406" s="609"/>
      <c r="I406" s="608"/>
      <c r="J406" s="608"/>
      <c r="K406" s="608"/>
      <c r="L406" s="608"/>
      <c r="M406" s="608"/>
      <c r="N406" s="608"/>
    </row>
    <row r="407" ht="22.5" customHeight="1">
      <c r="A407" s="622"/>
      <c r="B407" s="622"/>
      <c r="C407" s="622"/>
      <c r="D407" s="622"/>
      <c r="E407" s="625"/>
      <c r="F407" s="601"/>
      <c r="G407" s="608"/>
      <c r="H407" s="609"/>
      <c r="I407" s="608"/>
      <c r="J407" s="608"/>
      <c r="K407" s="608"/>
      <c r="L407" s="608"/>
      <c r="M407" s="608"/>
      <c r="N407" s="608"/>
    </row>
    <row r="408" ht="22.5" customHeight="1">
      <c r="A408" s="622"/>
      <c r="B408" s="622"/>
      <c r="C408" s="622"/>
      <c r="D408" s="622"/>
      <c r="E408" s="625"/>
      <c r="F408" s="601"/>
      <c r="G408" s="608"/>
      <c r="H408" s="609"/>
      <c r="I408" s="608"/>
      <c r="J408" s="608"/>
      <c r="K408" s="608"/>
      <c r="L408" s="608"/>
      <c r="M408" s="608"/>
      <c r="N408" s="608"/>
    </row>
    <row r="409" ht="22.5" customHeight="1">
      <c r="A409" s="622"/>
      <c r="B409" s="622"/>
      <c r="C409" s="622"/>
      <c r="D409" s="622"/>
      <c r="E409" s="625"/>
      <c r="F409" s="601"/>
      <c r="G409" s="608"/>
      <c r="H409" s="609"/>
      <c r="I409" s="608"/>
      <c r="J409" s="608"/>
      <c r="K409" s="608"/>
      <c r="L409" s="608"/>
      <c r="M409" s="608"/>
      <c r="N409" s="608"/>
    </row>
    <row r="410" ht="22.5" customHeight="1">
      <c r="A410" s="622"/>
      <c r="B410" s="622"/>
      <c r="C410" s="622"/>
      <c r="D410" s="622"/>
      <c r="E410" s="625"/>
      <c r="F410" s="601"/>
      <c r="G410" s="608"/>
      <c r="H410" s="609"/>
      <c r="I410" s="608"/>
      <c r="J410" s="608"/>
      <c r="K410" s="608"/>
      <c r="L410" s="608"/>
      <c r="M410" s="608"/>
      <c r="N410" s="608"/>
    </row>
    <row r="411" ht="22.5" customHeight="1">
      <c r="A411" s="622"/>
      <c r="B411" s="622"/>
      <c r="C411" s="622"/>
      <c r="D411" s="622"/>
      <c r="E411" s="625"/>
      <c r="F411" s="601"/>
      <c r="G411" s="608"/>
      <c r="H411" s="609"/>
      <c r="I411" s="608"/>
      <c r="J411" s="608"/>
      <c r="K411" s="608"/>
      <c r="L411" s="608"/>
      <c r="M411" s="608"/>
      <c r="N411" s="608"/>
    </row>
    <row r="412" ht="22.5" customHeight="1">
      <c r="A412" s="622"/>
      <c r="B412" s="622"/>
      <c r="C412" s="622"/>
      <c r="D412" s="622"/>
      <c r="E412" s="625"/>
      <c r="F412" s="601"/>
      <c r="G412" s="608"/>
      <c r="H412" s="609"/>
      <c r="I412" s="608"/>
      <c r="J412" s="608"/>
      <c r="K412" s="608"/>
      <c r="L412" s="608"/>
      <c r="M412" s="608"/>
      <c r="N412" s="608"/>
    </row>
    <row r="413" ht="22.5" customHeight="1">
      <c r="A413" s="622"/>
      <c r="B413" s="622"/>
      <c r="C413" s="622"/>
      <c r="D413" s="622"/>
      <c r="E413" s="625"/>
      <c r="F413" s="601"/>
      <c r="G413" s="608"/>
      <c r="H413" s="609"/>
      <c r="I413" s="608"/>
      <c r="J413" s="608"/>
      <c r="K413" s="608"/>
      <c r="L413" s="608"/>
      <c r="M413" s="608"/>
      <c r="N413" s="608"/>
    </row>
    <row r="414" ht="22.5" customHeight="1">
      <c r="A414" s="622"/>
      <c r="B414" s="622"/>
      <c r="C414" s="622"/>
      <c r="D414" s="622"/>
      <c r="E414" s="625"/>
      <c r="F414" s="601"/>
      <c r="G414" s="608"/>
      <c r="H414" s="609"/>
      <c r="I414" s="608"/>
      <c r="J414" s="608"/>
      <c r="K414" s="608"/>
      <c r="L414" s="608"/>
      <c r="M414" s="608"/>
      <c r="N414" s="608"/>
    </row>
    <row r="415" ht="22.5" customHeight="1">
      <c r="A415" s="622"/>
      <c r="B415" s="622"/>
      <c r="C415" s="622"/>
      <c r="D415" s="622"/>
      <c r="E415" s="625"/>
      <c r="F415" s="601"/>
      <c r="G415" s="608"/>
      <c r="H415" s="609"/>
      <c r="I415" s="608"/>
      <c r="J415" s="608"/>
      <c r="K415" s="608"/>
      <c r="L415" s="608"/>
      <c r="M415" s="608"/>
      <c r="N415" s="608"/>
    </row>
    <row r="416" ht="22.5" customHeight="1">
      <c r="A416" s="622"/>
      <c r="B416" s="622"/>
      <c r="C416" s="622"/>
      <c r="D416" s="622"/>
      <c r="E416" s="625"/>
      <c r="F416" s="601"/>
      <c r="G416" s="608"/>
      <c r="H416" s="609"/>
      <c r="I416" s="608"/>
      <c r="J416" s="608"/>
      <c r="K416" s="608"/>
      <c r="L416" s="608"/>
      <c r="M416" s="608"/>
      <c r="N416" s="608"/>
    </row>
    <row r="417" ht="22.5" customHeight="1">
      <c r="A417" s="622"/>
      <c r="B417" s="622"/>
      <c r="C417" s="622"/>
      <c r="D417" s="622"/>
      <c r="E417" s="625"/>
      <c r="F417" s="601"/>
      <c r="G417" s="608"/>
      <c r="H417" s="609"/>
      <c r="I417" s="608"/>
      <c r="J417" s="608"/>
      <c r="K417" s="608"/>
      <c r="L417" s="608"/>
      <c r="M417" s="608"/>
      <c r="N417" s="608"/>
    </row>
    <row r="418" ht="22.5" customHeight="1">
      <c r="A418" s="622"/>
      <c r="B418" s="622"/>
      <c r="C418" s="622"/>
      <c r="D418" s="622"/>
      <c r="E418" s="625"/>
      <c r="F418" s="601"/>
      <c r="G418" s="608"/>
      <c r="H418" s="609"/>
      <c r="I418" s="608"/>
      <c r="J418" s="608"/>
      <c r="K418" s="608"/>
      <c r="L418" s="608"/>
      <c r="M418" s="608"/>
      <c r="N418" s="608"/>
    </row>
    <row r="419" ht="22.5" customHeight="1">
      <c r="A419" s="622"/>
      <c r="B419" s="622"/>
      <c r="C419" s="622"/>
      <c r="D419" s="622"/>
      <c r="E419" s="625"/>
      <c r="F419" s="601"/>
      <c r="G419" s="608"/>
      <c r="H419" s="609"/>
      <c r="I419" s="608"/>
      <c r="J419" s="608"/>
      <c r="K419" s="608"/>
      <c r="L419" s="608"/>
      <c r="M419" s="608"/>
      <c r="N419" s="608"/>
    </row>
    <row r="420" ht="22.5" customHeight="1">
      <c r="A420" s="622"/>
      <c r="B420" s="622"/>
      <c r="C420" s="622"/>
      <c r="D420" s="622"/>
      <c r="E420" s="625"/>
      <c r="F420" s="601"/>
      <c r="G420" s="608"/>
      <c r="H420" s="609"/>
      <c r="I420" s="608"/>
      <c r="J420" s="608"/>
      <c r="K420" s="608"/>
      <c r="L420" s="608"/>
      <c r="M420" s="608"/>
      <c r="N420" s="608"/>
    </row>
    <row r="421" ht="22.5" customHeight="1">
      <c r="A421" s="622"/>
      <c r="B421" s="622"/>
      <c r="C421" s="622"/>
      <c r="D421" s="622"/>
      <c r="E421" s="625"/>
      <c r="F421" s="601"/>
      <c r="G421" s="608"/>
      <c r="H421" s="609"/>
      <c r="I421" s="608"/>
      <c r="J421" s="608"/>
      <c r="K421" s="608"/>
      <c r="L421" s="608"/>
      <c r="M421" s="608"/>
      <c r="N421" s="608"/>
    </row>
    <row r="422" ht="22.5" customHeight="1">
      <c r="A422" s="622"/>
      <c r="B422" s="622"/>
      <c r="C422" s="622"/>
      <c r="D422" s="622"/>
      <c r="E422" s="625"/>
      <c r="F422" s="601"/>
      <c r="G422" s="608"/>
      <c r="H422" s="609"/>
      <c r="I422" s="608"/>
      <c r="J422" s="608"/>
      <c r="K422" s="608"/>
      <c r="L422" s="608"/>
      <c r="M422" s="608"/>
      <c r="N422" s="608"/>
    </row>
    <row r="423" ht="22.5" customHeight="1">
      <c r="A423" s="622"/>
      <c r="B423" s="622"/>
      <c r="C423" s="622"/>
      <c r="D423" s="622"/>
      <c r="E423" s="625"/>
      <c r="F423" s="601"/>
      <c r="G423" s="608"/>
      <c r="H423" s="609"/>
      <c r="I423" s="608"/>
      <c r="J423" s="608"/>
      <c r="K423" s="608"/>
      <c r="L423" s="608"/>
      <c r="M423" s="608"/>
      <c r="N423" s="608"/>
    </row>
    <row r="424" ht="22.5" customHeight="1">
      <c r="A424" s="622"/>
      <c r="B424" s="622"/>
      <c r="C424" s="622"/>
      <c r="D424" s="622"/>
      <c r="E424" s="625"/>
      <c r="F424" s="601"/>
      <c r="G424" s="608"/>
      <c r="H424" s="609"/>
      <c r="I424" s="608"/>
      <c r="J424" s="608"/>
      <c r="K424" s="608"/>
      <c r="L424" s="608"/>
      <c r="M424" s="608"/>
      <c r="N424" s="608"/>
    </row>
    <row r="425" ht="22.5" customHeight="1">
      <c r="A425" s="622"/>
      <c r="B425" s="622"/>
      <c r="C425" s="622"/>
      <c r="D425" s="622"/>
      <c r="E425" s="625"/>
      <c r="F425" s="601"/>
      <c r="G425" s="608"/>
      <c r="H425" s="609"/>
      <c r="I425" s="608"/>
      <c r="J425" s="608"/>
      <c r="K425" s="608"/>
      <c r="L425" s="608"/>
      <c r="M425" s="608"/>
      <c r="N425" s="608"/>
    </row>
    <row r="426" ht="22.5" customHeight="1">
      <c r="A426" s="622"/>
      <c r="B426" s="622"/>
      <c r="C426" s="622"/>
      <c r="D426" s="622"/>
      <c r="E426" s="625"/>
      <c r="F426" s="601"/>
      <c r="G426" s="608"/>
      <c r="H426" s="609"/>
      <c r="I426" s="608"/>
      <c r="J426" s="608"/>
      <c r="K426" s="608"/>
      <c r="L426" s="608"/>
      <c r="M426" s="608"/>
      <c r="N426" s="608"/>
    </row>
    <row r="427" ht="22.5" customHeight="1">
      <c r="A427" s="622"/>
      <c r="B427" s="622"/>
      <c r="C427" s="622"/>
      <c r="D427" s="622"/>
      <c r="E427" s="625"/>
      <c r="F427" s="601"/>
      <c r="G427" s="608"/>
      <c r="H427" s="609"/>
      <c r="I427" s="608"/>
      <c r="J427" s="608"/>
      <c r="K427" s="608"/>
      <c r="L427" s="608"/>
      <c r="M427" s="608"/>
      <c r="N427" s="608"/>
    </row>
    <row r="428" ht="22.5" customHeight="1">
      <c r="A428" s="622"/>
      <c r="B428" s="622"/>
      <c r="C428" s="622"/>
      <c r="D428" s="622"/>
      <c r="E428" s="625"/>
      <c r="F428" s="601"/>
      <c r="G428" s="608"/>
      <c r="H428" s="609"/>
      <c r="I428" s="608"/>
      <c r="J428" s="608"/>
      <c r="K428" s="608"/>
      <c r="L428" s="608"/>
      <c r="M428" s="608"/>
      <c r="N428" s="608"/>
    </row>
    <row r="429" ht="22.5" customHeight="1">
      <c r="A429" s="622"/>
      <c r="B429" s="622"/>
      <c r="C429" s="622"/>
      <c r="D429" s="622"/>
      <c r="E429" s="625"/>
      <c r="F429" s="601"/>
      <c r="G429" s="608"/>
      <c r="H429" s="609"/>
      <c r="I429" s="608"/>
      <c r="J429" s="608"/>
      <c r="K429" s="608"/>
      <c r="L429" s="608"/>
      <c r="M429" s="608"/>
      <c r="N429" s="608"/>
    </row>
    <row r="430" ht="22.5" customHeight="1">
      <c r="A430" s="622"/>
      <c r="B430" s="622"/>
      <c r="C430" s="622"/>
      <c r="D430" s="622"/>
      <c r="E430" s="625"/>
      <c r="F430" s="601"/>
      <c r="G430" s="608"/>
      <c r="H430" s="609"/>
      <c r="I430" s="608"/>
      <c r="J430" s="608"/>
      <c r="K430" s="608"/>
      <c r="L430" s="608"/>
      <c r="M430" s="608"/>
      <c r="N430" s="608"/>
    </row>
    <row r="431" ht="22.5" customHeight="1">
      <c r="A431" s="622"/>
      <c r="B431" s="622"/>
      <c r="C431" s="622"/>
      <c r="D431" s="622"/>
      <c r="E431" s="625"/>
      <c r="F431" s="601"/>
      <c r="G431" s="608"/>
      <c r="H431" s="609"/>
      <c r="I431" s="608"/>
      <c r="J431" s="608"/>
      <c r="K431" s="608"/>
      <c r="L431" s="608"/>
      <c r="M431" s="608"/>
      <c r="N431" s="608"/>
    </row>
    <row r="432" ht="22.5" customHeight="1">
      <c r="A432" s="622"/>
      <c r="B432" s="622"/>
      <c r="C432" s="622"/>
      <c r="D432" s="622"/>
      <c r="E432" s="625"/>
      <c r="F432" s="601"/>
      <c r="G432" s="608"/>
      <c r="H432" s="609"/>
      <c r="I432" s="608"/>
      <c r="J432" s="608"/>
      <c r="K432" s="608"/>
      <c r="L432" s="608"/>
      <c r="M432" s="608"/>
      <c r="N432" s="608"/>
    </row>
    <row r="433" ht="22.5" customHeight="1">
      <c r="A433" s="622"/>
      <c r="B433" s="622"/>
      <c r="C433" s="622"/>
      <c r="D433" s="622"/>
      <c r="E433" s="625"/>
      <c r="F433" s="601"/>
      <c r="G433" s="608"/>
      <c r="H433" s="609"/>
      <c r="I433" s="608"/>
      <c r="J433" s="608"/>
      <c r="K433" s="608"/>
      <c r="L433" s="608"/>
      <c r="M433" s="608"/>
      <c r="N433" s="608"/>
    </row>
    <row r="434" ht="22.5" customHeight="1">
      <c r="A434" s="622"/>
      <c r="B434" s="622"/>
      <c r="C434" s="622"/>
      <c r="D434" s="622"/>
      <c r="E434" s="625"/>
      <c r="F434" s="601"/>
      <c r="G434" s="608"/>
      <c r="H434" s="609"/>
      <c r="I434" s="608"/>
      <c r="J434" s="608"/>
      <c r="K434" s="608"/>
      <c r="L434" s="608"/>
      <c r="M434" s="608"/>
      <c r="N434" s="608"/>
    </row>
    <row r="435" ht="22.5" customHeight="1">
      <c r="A435" s="622"/>
      <c r="B435" s="622"/>
      <c r="C435" s="622"/>
      <c r="D435" s="622"/>
      <c r="E435" s="625"/>
      <c r="F435" s="601"/>
      <c r="G435" s="608"/>
      <c r="H435" s="609"/>
      <c r="I435" s="608"/>
      <c r="J435" s="608"/>
      <c r="K435" s="608"/>
      <c r="L435" s="608"/>
      <c r="M435" s="608"/>
      <c r="N435" s="608"/>
    </row>
    <row r="436" ht="22.5" customHeight="1">
      <c r="A436" s="622"/>
      <c r="B436" s="622"/>
      <c r="C436" s="622"/>
      <c r="D436" s="622"/>
      <c r="E436" s="625"/>
      <c r="F436" s="601"/>
      <c r="G436" s="608"/>
      <c r="H436" s="609"/>
      <c r="I436" s="608"/>
      <c r="J436" s="608"/>
      <c r="K436" s="608"/>
      <c r="L436" s="608"/>
      <c r="M436" s="608"/>
      <c r="N436" s="608"/>
    </row>
    <row r="437" ht="22.5" customHeight="1">
      <c r="A437" s="622"/>
      <c r="B437" s="622"/>
      <c r="C437" s="622"/>
      <c r="D437" s="622"/>
      <c r="E437" s="625"/>
      <c r="F437" s="601"/>
      <c r="G437" s="608"/>
      <c r="H437" s="609"/>
      <c r="I437" s="608"/>
      <c r="J437" s="608"/>
      <c r="K437" s="608"/>
      <c r="L437" s="608"/>
      <c r="M437" s="608"/>
      <c r="N437" s="608"/>
    </row>
    <row r="438" ht="22.5" customHeight="1">
      <c r="A438" s="622"/>
      <c r="B438" s="622"/>
      <c r="C438" s="622"/>
      <c r="D438" s="622"/>
      <c r="E438" s="625"/>
      <c r="F438" s="601"/>
      <c r="G438" s="608"/>
      <c r="H438" s="609"/>
      <c r="I438" s="608"/>
      <c r="J438" s="608"/>
      <c r="K438" s="608"/>
      <c r="L438" s="608"/>
      <c r="M438" s="608"/>
      <c r="N438" s="608"/>
    </row>
    <row r="439" ht="22.5" customHeight="1">
      <c r="A439" s="622"/>
      <c r="B439" s="622"/>
      <c r="C439" s="622"/>
      <c r="D439" s="622"/>
      <c r="E439" s="625"/>
      <c r="F439" s="601"/>
      <c r="G439" s="608"/>
      <c r="H439" s="609"/>
      <c r="I439" s="608"/>
      <c r="J439" s="608"/>
      <c r="K439" s="608"/>
      <c r="L439" s="608"/>
      <c r="M439" s="608"/>
      <c r="N439" s="608"/>
    </row>
    <row r="440" ht="22.5" customHeight="1">
      <c r="A440" s="622"/>
      <c r="B440" s="622"/>
      <c r="C440" s="622"/>
      <c r="D440" s="622"/>
      <c r="E440" s="625"/>
      <c r="F440" s="601"/>
      <c r="G440" s="608"/>
      <c r="H440" s="609"/>
      <c r="I440" s="608"/>
      <c r="J440" s="608"/>
      <c r="K440" s="608"/>
      <c r="L440" s="608"/>
      <c r="M440" s="608"/>
      <c r="N440" s="608"/>
    </row>
    <row r="441" ht="22.5" customHeight="1">
      <c r="A441" s="622"/>
      <c r="B441" s="622"/>
      <c r="C441" s="622"/>
      <c r="D441" s="622"/>
      <c r="E441" s="625"/>
      <c r="F441" s="601"/>
      <c r="G441" s="608"/>
      <c r="H441" s="609"/>
      <c r="I441" s="608"/>
      <c r="J441" s="608"/>
      <c r="K441" s="608"/>
      <c r="L441" s="608"/>
      <c r="M441" s="608"/>
      <c r="N441" s="608"/>
    </row>
    <row r="442" ht="22.5" customHeight="1">
      <c r="A442" s="622"/>
      <c r="B442" s="622"/>
      <c r="C442" s="622"/>
      <c r="D442" s="622"/>
      <c r="E442" s="625"/>
      <c r="F442" s="601"/>
      <c r="G442" s="608"/>
      <c r="H442" s="609"/>
      <c r="I442" s="608"/>
      <c r="J442" s="608"/>
      <c r="K442" s="608"/>
      <c r="L442" s="608"/>
      <c r="M442" s="608"/>
      <c r="N442" s="608"/>
    </row>
    <row r="443" ht="22.5" customHeight="1">
      <c r="A443" s="622"/>
      <c r="B443" s="622"/>
      <c r="C443" s="622"/>
      <c r="D443" s="622"/>
      <c r="E443" s="625"/>
      <c r="F443" s="601"/>
      <c r="G443" s="608"/>
      <c r="H443" s="609"/>
      <c r="I443" s="608"/>
      <c r="J443" s="608"/>
      <c r="K443" s="608"/>
      <c r="L443" s="608"/>
      <c r="M443" s="608"/>
      <c r="N443" s="608"/>
    </row>
    <row r="444" ht="22.5" customHeight="1">
      <c r="A444" s="622"/>
      <c r="B444" s="622"/>
      <c r="C444" s="622"/>
      <c r="D444" s="622"/>
      <c r="E444" s="625"/>
      <c r="F444" s="601"/>
      <c r="G444" s="608"/>
      <c r="H444" s="609"/>
      <c r="I444" s="608"/>
      <c r="J444" s="608"/>
      <c r="K444" s="608"/>
      <c r="L444" s="608"/>
      <c r="M444" s="608"/>
      <c r="N444" s="608"/>
    </row>
    <row r="445" ht="22.5" customHeight="1">
      <c r="A445" s="622"/>
      <c r="B445" s="622"/>
      <c r="C445" s="622"/>
      <c r="D445" s="622"/>
      <c r="E445" s="625"/>
      <c r="F445" s="601"/>
      <c r="G445" s="608"/>
      <c r="H445" s="609"/>
      <c r="I445" s="608"/>
      <c r="J445" s="608"/>
      <c r="K445" s="608"/>
      <c r="L445" s="608"/>
      <c r="M445" s="608"/>
      <c r="N445" s="608"/>
    </row>
    <row r="446" ht="22.5" customHeight="1">
      <c r="A446" s="622"/>
      <c r="B446" s="622"/>
      <c r="C446" s="622"/>
      <c r="D446" s="622"/>
      <c r="E446" s="625"/>
      <c r="F446" s="601"/>
      <c r="G446" s="608"/>
      <c r="H446" s="609"/>
      <c r="I446" s="608"/>
      <c r="J446" s="608"/>
      <c r="K446" s="608"/>
      <c r="L446" s="608"/>
      <c r="M446" s="608"/>
      <c r="N446" s="608"/>
    </row>
    <row r="447" ht="22.5" customHeight="1">
      <c r="A447" s="622"/>
      <c r="B447" s="622"/>
      <c r="C447" s="622"/>
      <c r="D447" s="622"/>
      <c r="E447" s="625"/>
      <c r="F447" s="601"/>
      <c r="G447" s="608"/>
      <c r="H447" s="609"/>
      <c r="I447" s="608"/>
      <c r="J447" s="608"/>
      <c r="K447" s="608"/>
      <c r="L447" s="608"/>
      <c r="M447" s="608"/>
      <c r="N447" s="608"/>
    </row>
    <row r="448" ht="22.5" customHeight="1">
      <c r="A448" s="622"/>
      <c r="B448" s="622"/>
      <c r="C448" s="622"/>
      <c r="D448" s="622"/>
      <c r="E448" s="625"/>
      <c r="F448" s="601"/>
      <c r="G448" s="608"/>
      <c r="H448" s="609"/>
      <c r="I448" s="608"/>
      <c r="J448" s="608"/>
      <c r="K448" s="608"/>
      <c r="L448" s="608"/>
      <c r="M448" s="608"/>
      <c r="N448" s="608"/>
    </row>
    <row r="449" ht="22.5" customHeight="1">
      <c r="A449" s="622"/>
      <c r="B449" s="622"/>
      <c r="C449" s="622"/>
      <c r="D449" s="622"/>
      <c r="E449" s="625"/>
      <c r="F449" s="601"/>
      <c r="G449" s="608"/>
      <c r="H449" s="609"/>
      <c r="I449" s="608"/>
      <c r="J449" s="608"/>
      <c r="K449" s="608"/>
      <c r="L449" s="608"/>
      <c r="M449" s="608"/>
      <c r="N449" s="608"/>
    </row>
    <row r="450" ht="22.5" customHeight="1">
      <c r="A450" s="622"/>
      <c r="B450" s="622"/>
      <c r="C450" s="622"/>
      <c r="D450" s="622"/>
      <c r="E450" s="625"/>
      <c r="F450" s="601"/>
      <c r="G450" s="608"/>
      <c r="H450" s="609"/>
      <c r="I450" s="608"/>
      <c r="J450" s="608"/>
      <c r="K450" s="608"/>
      <c r="L450" s="608"/>
      <c r="M450" s="608"/>
      <c r="N450" s="608"/>
    </row>
    <row r="451" ht="22.5" customHeight="1">
      <c r="A451" s="622"/>
      <c r="B451" s="622"/>
      <c r="C451" s="622"/>
      <c r="D451" s="622"/>
      <c r="E451" s="625"/>
      <c r="F451" s="601"/>
      <c r="G451" s="608"/>
      <c r="H451" s="609"/>
      <c r="I451" s="608"/>
      <c r="J451" s="608"/>
      <c r="K451" s="608"/>
      <c r="L451" s="608"/>
      <c r="M451" s="608"/>
      <c r="N451" s="608"/>
    </row>
    <row r="452" ht="22.5" customHeight="1">
      <c r="A452" s="622"/>
      <c r="B452" s="622"/>
      <c r="C452" s="622"/>
      <c r="D452" s="622"/>
      <c r="E452" s="625"/>
      <c r="F452" s="601"/>
      <c r="G452" s="608"/>
      <c r="H452" s="609"/>
      <c r="I452" s="608"/>
      <c r="J452" s="608"/>
      <c r="K452" s="608"/>
      <c r="L452" s="608"/>
      <c r="M452" s="608"/>
      <c r="N452" s="608"/>
    </row>
    <row r="453" ht="22.5" customHeight="1">
      <c r="A453" s="622"/>
      <c r="B453" s="622"/>
      <c r="C453" s="622"/>
      <c r="D453" s="622"/>
      <c r="E453" s="625"/>
      <c r="F453" s="601"/>
      <c r="G453" s="608"/>
      <c r="H453" s="609"/>
      <c r="I453" s="608"/>
      <c r="J453" s="608"/>
      <c r="K453" s="608"/>
      <c r="L453" s="608"/>
      <c r="M453" s="608"/>
      <c r="N453" s="608"/>
    </row>
    <row r="454" ht="22.5" customHeight="1">
      <c r="A454" s="622"/>
      <c r="B454" s="622"/>
      <c r="C454" s="622"/>
      <c r="D454" s="622"/>
      <c r="E454" s="625"/>
      <c r="F454" s="601"/>
      <c r="G454" s="608"/>
      <c r="H454" s="609"/>
      <c r="I454" s="608"/>
      <c r="J454" s="608"/>
      <c r="K454" s="608"/>
      <c r="L454" s="608"/>
      <c r="M454" s="608"/>
      <c r="N454" s="608"/>
    </row>
    <row r="455" ht="22.5" customHeight="1">
      <c r="A455" s="622"/>
      <c r="B455" s="622"/>
      <c r="C455" s="622"/>
      <c r="D455" s="622"/>
      <c r="E455" s="625"/>
      <c r="F455" s="601"/>
      <c r="G455" s="608"/>
      <c r="H455" s="609"/>
      <c r="I455" s="608"/>
      <c r="J455" s="608"/>
      <c r="K455" s="608"/>
      <c r="L455" s="608"/>
      <c r="M455" s="608"/>
      <c r="N455" s="608"/>
    </row>
    <row r="456" ht="22.5" customHeight="1">
      <c r="A456" s="622"/>
      <c r="B456" s="622"/>
      <c r="C456" s="622"/>
      <c r="D456" s="622"/>
      <c r="E456" s="625"/>
      <c r="F456" s="601"/>
      <c r="G456" s="608"/>
      <c r="H456" s="609"/>
      <c r="I456" s="608"/>
      <c r="J456" s="608"/>
      <c r="K456" s="608"/>
      <c r="L456" s="608"/>
      <c r="M456" s="608"/>
      <c r="N456" s="608"/>
    </row>
    <row r="457" ht="22.5" customHeight="1">
      <c r="A457" s="622"/>
      <c r="B457" s="622"/>
      <c r="C457" s="622"/>
      <c r="D457" s="622"/>
      <c r="E457" s="625"/>
      <c r="F457" s="601"/>
      <c r="G457" s="608"/>
      <c r="H457" s="609"/>
      <c r="I457" s="608"/>
      <c r="J457" s="608"/>
      <c r="K457" s="608"/>
      <c r="L457" s="608"/>
      <c r="M457" s="608"/>
      <c r="N457" s="608"/>
    </row>
    <row r="458" ht="22.5" customHeight="1">
      <c r="A458" s="622"/>
      <c r="B458" s="622"/>
      <c r="C458" s="622"/>
      <c r="D458" s="622"/>
      <c r="E458" s="625"/>
      <c r="F458" s="601"/>
      <c r="G458" s="608"/>
      <c r="H458" s="609"/>
      <c r="I458" s="608"/>
      <c r="J458" s="608"/>
      <c r="K458" s="608"/>
      <c r="L458" s="608"/>
      <c r="M458" s="608"/>
      <c r="N458" s="608"/>
    </row>
    <row r="459" ht="22.5" customHeight="1">
      <c r="A459" s="622"/>
      <c r="B459" s="622"/>
      <c r="C459" s="622"/>
      <c r="D459" s="622"/>
      <c r="E459" s="625"/>
      <c r="F459" s="601"/>
      <c r="G459" s="608"/>
      <c r="H459" s="609"/>
      <c r="I459" s="608"/>
      <c r="J459" s="608"/>
      <c r="K459" s="608"/>
      <c r="L459" s="608"/>
      <c r="M459" s="608"/>
      <c r="N459" s="608"/>
    </row>
    <row r="460" ht="22.5" customHeight="1">
      <c r="A460" s="622"/>
      <c r="B460" s="622"/>
      <c r="C460" s="622"/>
      <c r="D460" s="622"/>
      <c r="E460" s="625"/>
      <c r="F460" s="601"/>
      <c r="G460" s="608"/>
      <c r="H460" s="609"/>
      <c r="I460" s="608"/>
      <c r="J460" s="608"/>
      <c r="K460" s="608"/>
      <c r="L460" s="608"/>
      <c r="M460" s="608"/>
      <c r="N460" s="608"/>
    </row>
    <row r="461" ht="22.5" customHeight="1">
      <c r="A461" s="622"/>
      <c r="B461" s="622"/>
      <c r="C461" s="622"/>
      <c r="D461" s="622"/>
      <c r="E461" s="625"/>
      <c r="F461" s="601"/>
      <c r="G461" s="608"/>
      <c r="H461" s="609"/>
      <c r="I461" s="608"/>
      <c r="J461" s="608"/>
      <c r="K461" s="608"/>
      <c r="L461" s="608"/>
      <c r="M461" s="608"/>
      <c r="N461" s="608"/>
    </row>
    <row r="462" ht="22.5" customHeight="1">
      <c r="A462" s="622"/>
      <c r="B462" s="622"/>
      <c r="C462" s="622"/>
      <c r="D462" s="622"/>
      <c r="E462" s="625"/>
      <c r="F462" s="601"/>
      <c r="G462" s="608"/>
      <c r="H462" s="609"/>
      <c r="I462" s="608"/>
      <c r="J462" s="608"/>
      <c r="K462" s="608"/>
      <c r="L462" s="608"/>
      <c r="M462" s="608"/>
      <c r="N462" s="608"/>
    </row>
    <row r="463" ht="22.5" customHeight="1">
      <c r="A463" s="622"/>
      <c r="B463" s="622"/>
      <c r="C463" s="622"/>
      <c r="D463" s="622"/>
      <c r="E463" s="625"/>
      <c r="F463" s="601"/>
      <c r="G463" s="608"/>
      <c r="H463" s="609"/>
      <c r="I463" s="608"/>
      <c r="J463" s="608"/>
      <c r="K463" s="608"/>
      <c r="L463" s="608"/>
      <c r="M463" s="608"/>
      <c r="N463" s="608"/>
    </row>
    <row r="464" ht="22.5" customHeight="1">
      <c r="A464" s="622"/>
      <c r="B464" s="622"/>
      <c r="C464" s="622"/>
      <c r="D464" s="622"/>
      <c r="E464" s="625"/>
      <c r="F464" s="601"/>
      <c r="G464" s="608"/>
      <c r="H464" s="609"/>
      <c r="I464" s="608"/>
      <c r="J464" s="608"/>
      <c r="K464" s="608"/>
      <c r="L464" s="608"/>
      <c r="M464" s="608"/>
      <c r="N464" s="608"/>
    </row>
    <row r="465" ht="22.5" customHeight="1">
      <c r="A465" s="622"/>
      <c r="B465" s="622"/>
      <c r="C465" s="622"/>
      <c r="D465" s="622"/>
      <c r="E465" s="625"/>
      <c r="F465" s="601"/>
      <c r="G465" s="608"/>
      <c r="H465" s="609"/>
      <c r="I465" s="608"/>
      <c r="J465" s="608"/>
      <c r="K465" s="608"/>
      <c r="L465" s="608"/>
      <c r="M465" s="608"/>
      <c r="N465" s="608"/>
    </row>
    <row r="466" ht="22.5" customHeight="1">
      <c r="A466" s="622"/>
      <c r="B466" s="622"/>
      <c r="C466" s="622"/>
      <c r="D466" s="622"/>
      <c r="E466" s="625"/>
      <c r="F466" s="601"/>
      <c r="G466" s="608"/>
      <c r="H466" s="609"/>
      <c r="I466" s="608"/>
      <c r="J466" s="608"/>
      <c r="K466" s="608"/>
      <c r="L466" s="608"/>
      <c r="M466" s="608"/>
      <c r="N466" s="608"/>
    </row>
    <row r="467" ht="22.5" customHeight="1">
      <c r="A467" s="622"/>
      <c r="B467" s="622"/>
      <c r="C467" s="622"/>
      <c r="D467" s="622"/>
      <c r="E467" s="625"/>
      <c r="F467" s="601"/>
      <c r="G467" s="608"/>
      <c r="H467" s="609"/>
      <c r="I467" s="608"/>
      <c r="J467" s="608"/>
      <c r="K467" s="608"/>
      <c r="L467" s="608"/>
      <c r="M467" s="608"/>
      <c r="N467" s="608"/>
    </row>
    <row r="468" ht="22.5" customHeight="1">
      <c r="A468" s="622"/>
      <c r="B468" s="622"/>
      <c r="C468" s="622"/>
      <c r="D468" s="622"/>
      <c r="E468" s="625"/>
      <c r="F468" s="601"/>
      <c r="G468" s="608"/>
      <c r="H468" s="609"/>
      <c r="I468" s="608"/>
      <c r="J468" s="608"/>
      <c r="K468" s="608"/>
      <c r="L468" s="608"/>
      <c r="M468" s="608"/>
      <c r="N468" s="608"/>
    </row>
    <row r="469" ht="22.5" customHeight="1">
      <c r="A469" s="622"/>
      <c r="B469" s="622"/>
      <c r="C469" s="622"/>
      <c r="D469" s="622"/>
      <c r="E469" s="625"/>
      <c r="F469" s="601"/>
      <c r="G469" s="608"/>
      <c r="H469" s="609"/>
      <c r="I469" s="608"/>
      <c r="J469" s="608"/>
      <c r="K469" s="608"/>
      <c r="L469" s="608"/>
      <c r="M469" s="608"/>
      <c r="N469" s="608"/>
    </row>
    <row r="470" ht="22.5" customHeight="1">
      <c r="A470" s="622"/>
      <c r="B470" s="622"/>
      <c r="C470" s="622"/>
      <c r="D470" s="622"/>
      <c r="E470" s="625"/>
      <c r="F470" s="601"/>
      <c r="G470" s="608"/>
      <c r="H470" s="609"/>
      <c r="I470" s="608"/>
      <c r="J470" s="608"/>
      <c r="K470" s="608"/>
      <c r="L470" s="608"/>
      <c r="M470" s="608"/>
      <c r="N470" s="608"/>
    </row>
    <row r="471" ht="22.5" customHeight="1">
      <c r="A471" s="622"/>
      <c r="B471" s="622"/>
      <c r="C471" s="622"/>
      <c r="D471" s="622"/>
      <c r="E471" s="625"/>
      <c r="F471" s="601"/>
      <c r="G471" s="608"/>
      <c r="H471" s="609"/>
      <c r="I471" s="608"/>
      <c r="J471" s="608"/>
      <c r="K471" s="608"/>
      <c r="L471" s="608"/>
      <c r="M471" s="608"/>
      <c r="N471" s="608"/>
    </row>
    <row r="472" ht="22.5" customHeight="1">
      <c r="A472" s="622"/>
      <c r="B472" s="622"/>
      <c r="C472" s="622"/>
      <c r="D472" s="622"/>
      <c r="E472" s="625"/>
      <c r="F472" s="601"/>
      <c r="G472" s="608"/>
      <c r="H472" s="609"/>
      <c r="I472" s="608"/>
      <c r="J472" s="608"/>
      <c r="K472" s="608"/>
      <c r="L472" s="608"/>
      <c r="M472" s="608"/>
      <c r="N472" s="608"/>
    </row>
    <row r="473" ht="22.5" customHeight="1">
      <c r="A473" s="622"/>
      <c r="B473" s="622"/>
      <c r="C473" s="622"/>
      <c r="D473" s="622"/>
      <c r="E473" s="625"/>
      <c r="F473" s="601"/>
      <c r="G473" s="608"/>
      <c r="H473" s="609"/>
      <c r="I473" s="608"/>
      <c r="J473" s="608"/>
      <c r="K473" s="608"/>
      <c r="L473" s="608"/>
      <c r="M473" s="608"/>
      <c r="N473" s="608"/>
    </row>
    <row r="474" ht="22.5" customHeight="1">
      <c r="A474" s="622"/>
      <c r="B474" s="622"/>
      <c r="C474" s="622"/>
      <c r="D474" s="622"/>
      <c r="E474" s="625"/>
      <c r="F474" s="601"/>
      <c r="G474" s="608"/>
      <c r="H474" s="609"/>
      <c r="I474" s="608"/>
      <c r="J474" s="608"/>
      <c r="K474" s="608"/>
      <c r="L474" s="608"/>
      <c r="M474" s="608"/>
      <c r="N474" s="608"/>
    </row>
    <row r="475" ht="22.5" customHeight="1">
      <c r="A475" s="622"/>
      <c r="B475" s="622"/>
      <c r="C475" s="622"/>
      <c r="D475" s="622"/>
      <c r="E475" s="625"/>
      <c r="F475" s="601"/>
      <c r="G475" s="608"/>
      <c r="H475" s="609"/>
      <c r="I475" s="608"/>
      <c r="J475" s="608"/>
      <c r="K475" s="608"/>
      <c r="L475" s="608"/>
      <c r="M475" s="608"/>
      <c r="N475" s="608"/>
    </row>
    <row r="476" ht="22.5" customHeight="1">
      <c r="A476" s="622"/>
      <c r="B476" s="622"/>
      <c r="C476" s="622"/>
      <c r="D476" s="622"/>
      <c r="E476" s="625"/>
      <c r="F476" s="601"/>
      <c r="G476" s="608"/>
      <c r="H476" s="609"/>
      <c r="I476" s="608"/>
      <c r="J476" s="608"/>
      <c r="K476" s="608"/>
      <c r="L476" s="608"/>
      <c r="M476" s="608"/>
      <c r="N476" s="608"/>
    </row>
    <row r="477" ht="22.5" customHeight="1">
      <c r="A477" s="622"/>
      <c r="B477" s="622"/>
      <c r="C477" s="622"/>
      <c r="D477" s="622"/>
      <c r="E477" s="625"/>
      <c r="F477" s="601"/>
      <c r="G477" s="608"/>
      <c r="H477" s="609"/>
      <c r="I477" s="608"/>
      <c r="J477" s="608"/>
      <c r="K477" s="608"/>
      <c r="L477" s="608"/>
      <c r="M477" s="608"/>
      <c r="N477" s="608"/>
    </row>
    <row r="478" ht="22.5" customHeight="1">
      <c r="A478" s="622"/>
      <c r="B478" s="622"/>
      <c r="C478" s="622"/>
      <c r="D478" s="622"/>
      <c r="E478" s="625"/>
      <c r="F478" s="601"/>
      <c r="G478" s="608"/>
      <c r="H478" s="609"/>
      <c r="I478" s="608"/>
      <c r="J478" s="608"/>
      <c r="K478" s="608"/>
      <c r="L478" s="608"/>
      <c r="M478" s="608"/>
      <c r="N478" s="608"/>
    </row>
    <row r="479" ht="22.5" customHeight="1">
      <c r="A479" s="622"/>
      <c r="B479" s="622"/>
      <c r="C479" s="622"/>
      <c r="D479" s="622"/>
      <c r="E479" s="625"/>
      <c r="F479" s="601"/>
      <c r="G479" s="608"/>
      <c r="H479" s="609"/>
      <c r="I479" s="608"/>
      <c r="J479" s="608"/>
      <c r="K479" s="608"/>
      <c r="L479" s="608"/>
      <c r="M479" s="608"/>
      <c r="N479" s="608"/>
    </row>
    <row r="480" ht="22.5" customHeight="1">
      <c r="A480" s="622"/>
      <c r="B480" s="622"/>
      <c r="C480" s="622"/>
      <c r="D480" s="622"/>
      <c r="E480" s="625"/>
      <c r="F480" s="601"/>
      <c r="G480" s="608"/>
      <c r="H480" s="609"/>
      <c r="I480" s="608"/>
      <c r="J480" s="608"/>
      <c r="K480" s="608"/>
      <c r="L480" s="608"/>
      <c r="M480" s="608"/>
      <c r="N480" s="608"/>
    </row>
    <row r="481" ht="22.5" customHeight="1">
      <c r="A481" s="622"/>
      <c r="B481" s="622"/>
      <c r="C481" s="622"/>
      <c r="D481" s="622"/>
      <c r="E481" s="625"/>
      <c r="F481" s="601"/>
      <c r="G481" s="608"/>
      <c r="H481" s="609"/>
      <c r="I481" s="608"/>
      <c r="J481" s="608"/>
      <c r="K481" s="608"/>
      <c r="L481" s="608"/>
      <c r="M481" s="608"/>
      <c r="N481" s="608"/>
    </row>
    <row r="482" ht="22.5" customHeight="1">
      <c r="A482" s="622"/>
      <c r="B482" s="622"/>
      <c r="C482" s="622"/>
      <c r="D482" s="622"/>
      <c r="E482" s="625"/>
      <c r="F482" s="601"/>
      <c r="G482" s="608"/>
      <c r="H482" s="609"/>
      <c r="I482" s="608"/>
      <c r="J482" s="608"/>
      <c r="K482" s="608"/>
      <c r="L482" s="608"/>
      <c r="M482" s="608"/>
      <c r="N482" s="608"/>
    </row>
    <row r="483" ht="22.5" customHeight="1">
      <c r="A483" s="622"/>
      <c r="B483" s="622"/>
      <c r="C483" s="622"/>
      <c r="D483" s="622"/>
      <c r="E483" s="625"/>
      <c r="F483" s="601"/>
      <c r="G483" s="608"/>
      <c r="H483" s="609"/>
      <c r="I483" s="608"/>
      <c r="J483" s="608"/>
      <c r="K483" s="608"/>
      <c r="L483" s="608"/>
      <c r="M483" s="608"/>
      <c r="N483" s="608"/>
    </row>
    <row r="484" ht="22.5" customHeight="1">
      <c r="A484" s="622"/>
      <c r="B484" s="622"/>
      <c r="C484" s="622"/>
      <c r="D484" s="622"/>
      <c r="E484" s="625"/>
      <c r="F484" s="601"/>
      <c r="G484" s="608"/>
      <c r="H484" s="609"/>
      <c r="I484" s="608"/>
      <c r="J484" s="608"/>
      <c r="K484" s="608"/>
      <c r="L484" s="608"/>
      <c r="M484" s="608"/>
      <c r="N484" s="608"/>
    </row>
    <row r="485" ht="22.5" customHeight="1">
      <c r="A485" s="622"/>
      <c r="B485" s="622"/>
      <c r="C485" s="622"/>
      <c r="D485" s="622"/>
      <c r="E485" s="625"/>
      <c r="F485" s="601"/>
      <c r="G485" s="608"/>
      <c r="H485" s="609"/>
      <c r="I485" s="608"/>
      <c r="J485" s="608"/>
      <c r="K485" s="608"/>
      <c r="L485" s="608"/>
      <c r="M485" s="608"/>
      <c r="N485" s="608"/>
    </row>
    <row r="486" ht="22.5" customHeight="1">
      <c r="A486" s="622"/>
      <c r="B486" s="622"/>
      <c r="C486" s="622"/>
      <c r="D486" s="622"/>
      <c r="E486" s="625"/>
      <c r="F486" s="601"/>
      <c r="G486" s="608"/>
      <c r="H486" s="609"/>
      <c r="I486" s="608"/>
      <c r="J486" s="608"/>
      <c r="K486" s="608"/>
      <c r="L486" s="608"/>
      <c r="M486" s="608"/>
      <c r="N486" s="608"/>
    </row>
    <row r="487" ht="22.5" customHeight="1">
      <c r="A487" s="622"/>
      <c r="B487" s="622"/>
      <c r="C487" s="622"/>
      <c r="D487" s="622"/>
      <c r="E487" s="625"/>
      <c r="F487" s="601"/>
      <c r="G487" s="608"/>
      <c r="H487" s="609"/>
      <c r="I487" s="608"/>
      <c r="J487" s="608"/>
      <c r="K487" s="608"/>
      <c r="L487" s="608"/>
      <c r="M487" s="608"/>
      <c r="N487" s="608"/>
    </row>
    <row r="488" ht="22.5" customHeight="1">
      <c r="A488" s="622"/>
      <c r="B488" s="622"/>
      <c r="C488" s="622"/>
      <c r="D488" s="622"/>
      <c r="E488" s="625"/>
      <c r="F488" s="601"/>
      <c r="G488" s="608"/>
      <c r="H488" s="609"/>
      <c r="I488" s="608"/>
      <c r="J488" s="608"/>
      <c r="K488" s="608"/>
      <c r="L488" s="608"/>
      <c r="M488" s="608"/>
      <c r="N488" s="608"/>
    </row>
    <row r="489" ht="22.5" customHeight="1">
      <c r="A489" s="622"/>
      <c r="B489" s="622"/>
      <c r="C489" s="622"/>
      <c r="D489" s="622"/>
      <c r="E489" s="625"/>
      <c r="F489" s="601"/>
      <c r="G489" s="608"/>
      <c r="H489" s="609"/>
      <c r="I489" s="608"/>
      <c r="J489" s="608"/>
      <c r="K489" s="608"/>
      <c r="L489" s="608"/>
      <c r="M489" s="608"/>
      <c r="N489" s="608"/>
    </row>
    <row r="490" ht="22.5" customHeight="1">
      <c r="A490" s="622"/>
      <c r="B490" s="622"/>
      <c r="C490" s="622"/>
      <c r="D490" s="622"/>
      <c r="E490" s="625"/>
      <c r="F490" s="601"/>
      <c r="G490" s="608"/>
      <c r="H490" s="609"/>
      <c r="I490" s="608"/>
      <c r="J490" s="608"/>
      <c r="K490" s="608"/>
      <c r="L490" s="608"/>
      <c r="M490" s="608"/>
      <c r="N490" s="608"/>
    </row>
    <row r="491" ht="22.5" customHeight="1">
      <c r="A491" s="622"/>
      <c r="B491" s="622"/>
      <c r="C491" s="622"/>
      <c r="D491" s="622"/>
      <c r="E491" s="625"/>
      <c r="F491" s="601"/>
      <c r="G491" s="608"/>
      <c r="H491" s="609"/>
      <c r="I491" s="608"/>
      <c r="J491" s="608"/>
      <c r="K491" s="608"/>
      <c r="L491" s="608"/>
      <c r="M491" s="608"/>
      <c r="N491" s="608"/>
    </row>
    <row r="492" ht="22.5" customHeight="1">
      <c r="A492" s="622"/>
      <c r="B492" s="622"/>
      <c r="C492" s="622"/>
      <c r="D492" s="622"/>
      <c r="E492" s="625"/>
      <c r="F492" s="601"/>
      <c r="G492" s="608"/>
      <c r="H492" s="609"/>
      <c r="I492" s="608"/>
      <c r="J492" s="608"/>
      <c r="K492" s="608"/>
      <c r="L492" s="608"/>
      <c r="M492" s="608"/>
      <c r="N492" s="608"/>
    </row>
    <row r="493" ht="22.5" customHeight="1">
      <c r="A493" s="622"/>
      <c r="B493" s="622"/>
      <c r="C493" s="622"/>
      <c r="D493" s="622"/>
      <c r="E493" s="625"/>
      <c r="F493" s="601"/>
      <c r="G493" s="608"/>
      <c r="H493" s="609"/>
      <c r="I493" s="608"/>
      <c r="J493" s="608"/>
      <c r="K493" s="608"/>
      <c r="L493" s="608"/>
      <c r="M493" s="608"/>
      <c r="N493" s="608"/>
    </row>
    <row r="494" ht="22.5" customHeight="1">
      <c r="A494" s="622"/>
      <c r="B494" s="622"/>
      <c r="C494" s="622"/>
      <c r="D494" s="622"/>
      <c r="E494" s="625"/>
      <c r="F494" s="601"/>
      <c r="G494" s="608"/>
      <c r="H494" s="609"/>
      <c r="I494" s="608"/>
      <c r="J494" s="608"/>
      <c r="K494" s="608"/>
      <c r="L494" s="608"/>
      <c r="M494" s="608"/>
      <c r="N494" s="608"/>
    </row>
    <row r="495" ht="22.5" customHeight="1">
      <c r="A495" s="622"/>
      <c r="B495" s="622"/>
      <c r="C495" s="622"/>
      <c r="D495" s="622"/>
      <c r="E495" s="625"/>
      <c r="F495" s="601"/>
      <c r="G495" s="608"/>
      <c r="H495" s="609"/>
      <c r="I495" s="608"/>
      <c r="J495" s="608"/>
      <c r="K495" s="608"/>
      <c r="L495" s="608"/>
      <c r="M495" s="608"/>
      <c r="N495" s="608"/>
    </row>
    <row r="496" ht="22.5" customHeight="1">
      <c r="A496" s="622"/>
      <c r="B496" s="622"/>
      <c r="C496" s="622"/>
      <c r="D496" s="622"/>
      <c r="E496" s="625"/>
      <c r="F496" s="601"/>
      <c r="G496" s="608"/>
      <c r="H496" s="609"/>
      <c r="I496" s="608"/>
      <c r="J496" s="608"/>
      <c r="K496" s="608"/>
      <c r="L496" s="608"/>
      <c r="M496" s="608"/>
      <c r="N496" s="608"/>
    </row>
    <row r="497" ht="22.5" customHeight="1">
      <c r="A497" s="622"/>
      <c r="B497" s="622"/>
      <c r="C497" s="622"/>
      <c r="D497" s="622"/>
      <c r="E497" s="625"/>
      <c r="F497" s="601"/>
      <c r="G497" s="608"/>
      <c r="H497" s="609"/>
      <c r="I497" s="608"/>
      <c r="J497" s="608"/>
      <c r="K497" s="608"/>
      <c r="L497" s="608"/>
      <c r="M497" s="608"/>
      <c r="N497" s="608"/>
    </row>
    <row r="498" ht="22.5" customHeight="1">
      <c r="A498" s="622"/>
      <c r="B498" s="622"/>
      <c r="C498" s="622"/>
      <c r="D498" s="622"/>
      <c r="E498" s="625"/>
      <c r="F498" s="601"/>
      <c r="G498" s="608"/>
      <c r="H498" s="609"/>
      <c r="I498" s="608"/>
      <c r="J498" s="608"/>
      <c r="K498" s="608"/>
      <c r="L498" s="608"/>
      <c r="M498" s="608"/>
      <c r="N498" s="608"/>
    </row>
    <row r="499" ht="22.5" customHeight="1">
      <c r="A499" s="622"/>
      <c r="B499" s="622"/>
      <c r="C499" s="622"/>
      <c r="D499" s="622"/>
      <c r="E499" s="625"/>
      <c r="F499" s="601"/>
      <c r="G499" s="608"/>
      <c r="H499" s="609"/>
      <c r="I499" s="608"/>
      <c r="J499" s="608"/>
      <c r="K499" s="608"/>
      <c r="L499" s="608"/>
      <c r="M499" s="608"/>
      <c r="N499" s="608"/>
    </row>
    <row r="500" ht="22.5" customHeight="1">
      <c r="A500" s="622"/>
      <c r="B500" s="622"/>
      <c r="C500" s="622"/>
      <c r="D500" s="622"/>
      <c r="E500" s="625"/>
      <c r="F500" s="601"/>
      <c r="G500" s="608"/>
      <c r="H500" s="609"/>
      <c r="I500" s="608"/>
      <c r="J500" s="608"/>
      <c r="K500" s="608"/>
      <c r="L500" s="608"/>
      <c r="M500" s="608"/>
      <c r="N500" s="608"/>
    </row>
    <row r="501" ht="22.5" customHeight="1">
      <c r="A501" s="622"/>
      <c r="B501" s="622"/>
      <c r="C501" s="622"/>
      <c r="D501" s="622"/>
      <c r="E501" s="625"/>
      <c r="F501" s="601"/>
      <c r="G501" s="608"/>
      <c r="H501" s="609"/>
      <c r="I501" s="608"/>
      <c r="J501" s="608"/>
      <c r="K501" s="608"/>
      <c r="L501" s="608"/>
      <c r="M501" s="608"/>
      <c r="N501" s="608"/>
    </row>
    <row r="502" ht="22.5" customHeight="1">
      <c r="A502" s="622"/>
      <c r="B502" s="622"/>
      <c r="C502" s="622"/>
      <c r="D502" s="622"/>
      <c r="E502" s="625"/>
      <c r="F502" s="601"/>
      <c r="G502" s="608"/>
      <c r="H502" s="609"/>
      <c r="I502" s="608"/>
      <c r="J502" s="608"/>
      <c r="K502" s="608"/>
      <c r="L502" s="608"/>
      <c r="M502" s="608"/>
      <c r="N502" s="608"/>
    </row>
    <row r="503" ht="22.5" customHeight="1">
      <c r="A503" s="622"/>
      <c r="B503" s="622"/>
      <c r="C503" s="622"/>
      <c r="D503" s="622"/>
      <c r="E503" s="625"/>
      <c r="F503" s="601"/>
      <c r="G503" s="608"/>
      <c r="H503" s="609"/>
      <c r="I503" s="608"/>
      <c r="J503" s="608"/>
      <c r="K503" s="608"/>
      <c r="L503" s="608"/>
      <c r="M503" s="608"/>
      <c r="N503" s="608"/>
    </row>
    <row r="504" ht="22.5" customHeight="1">
      <c r="A504" s="622"/>
      <c r="B504" s="622"/>
      <c r="C504" s="622"/>
      <c r="D504" s="622"/>
      <c r="E504" s="625"/>
      <c r="F504" s="601"/>
      <c r="G504" s="608"/>
      <c r="H504" s="609"/>
      <c r="I504" s="608"/>
      <c r="J504" s="608"/>
      <c r="K504" s="608"/>
      <c r="L504" s="608"/>
      <c r="M504" s="608"/>
      <c r="N504" s="608"/>
    </row>
    <row r="505" ht="22.5" customHeight="1">
      <c r="A505" s="622"/>
      <c r="B505" s="622"/>
      <c r="C505" s="622"/>
      <c r="D505" s="622"/>
      <c r="E505" s="625"/>
      <c r="F505" s="601"/>
      <c r="G505" s="608"/>
      <c r="H505" s="609"/>
      <c r="I505" s="608"/>
      <c r="J505" s="608"/>
      <c r="K505" s="608"/>
      <c r="L505" s="608"/>
      <c r="M505" s="608"/>
      <c r="N505" s="608"/>
    </row>
    <row r="506" ht="22.5" customHeight="1">
      <c r="A506" s="622"/>
      <c r="B506" s="622"/>
      <c r="C506" s="622"/>
      <c r="D506" s="622"/>
      <c r="E506" s="625"/>
      <c r="F506" s="601"/>
      <c r="G506" s="608"/>
      <c r="H506" s="609"/>
      <c r="I506" s="608"/>
      <c r="J506" s="608"/>
      <c r="K506" s="608"/>
      <c r="L506" s="608"/>
      <c r="M506" s="608"/>
      <c r="N506" s="608"/>
    </row>
    <row r="507" ht="22.5" customHeight="1">
      <c r="A507" s="622"/>
      <c r="B507" s="622"/>
      <c r="C507" s="622"/>
      <c r="D507" s="622"/>
      <c r="E507" s="625"/>
      <c r="F507" s="601"/>
      <c r="G507" s="608"/>
      <c r="H507" s="609"/>
      <c r="I507" s="608"/>
      <c r="J507" s="608"/>
      <c r="K507" s="608"/>
      <c r="L507" s="608"/>
      <c r="M507" s="608"/>
      <c r="N507" s="608"/>
    </row>
    <row r="508" ht="22.5" customHeight="1">
      <c r="A508" s="622"/>
      <c r="B508" s="622"/>
      <c r="C508" s="622"/>
      <c r="D508" s="622"/>
      <c r="E508" s="625"/>
      <c r="F508" s="601"/>
      <c r="G508" s="608"/>
      <c r="H508" s="609"/>
      <c r="I508" s="608"/>
      <c r="J508" s="608"/>
      <c r="K508" s="608"/>
      <c r="L508" s="608"/>
      <c r="M508" s="608"/>
      <c r="N508" s="608"/>
    </row>
    <row r="509" ht="22.5" customHeight="1">
      <c r="A509" s="622"/>
      <c r="B509" s="622"/>
      <c r="C509" s="622"/>
      <c r="D509" s="622"/>
      <c r="E509" s="625"/>
      <c r="F509" s="601"/>
      <c r="G509" s="608"/>
      <c r="H509" s="609"/>
      <c r="I509" s="608"/>
      <c r="J509" s="608"/>
      <c r="K509" s="608"/>
      <c r="L509" s="608"/>
      <c r="M509" s="608"/>
      <c r="N509" s="608"/>
    </row>
    <row r="510" ht="22.5" customHeight="1">
      <c r="A510" s="622"/>
      <c r="B510" s="622"/>
      <c r="C510" s="622"/>
      <c r="D510" s="622"/>
      <c r="E510" s="625"/>
      <c r="F510" s="601"/>
      <c r="G510" s="608"/>
      <c r="H510" s="609"/>
      <c r="I510" s="608"/>
      <c r="J510" s="608"/>
      <c r="K510" s="608"/>
      <c r="L510" s="608"/>
      <c r="M510" s="608"/>
      <c r="N510" s="608"/>
    </row>
    <row r="511" ht="22.5" customHeight="1">
      <c r="A511" s="622"/>
      <c r="B511" s="622"/>
      <c r="C511" s="622"/>
      <c r="D511" s="622"/>
      <c r="E511" s="625"/>
      <c r="F511" s="601"/>
      <c r="G511" s="608"/>
      <c r="H511" s="609"/>
      <c r="I511" s="608"/>
      <c r="J511" s="608"/>
      <c r="K511" s="608"/>
      <c r="L511" s="608"/>
      <c r="M511" s="608"/>
      <c r="N511" s="608"/>
    </row>
    <row r="512" ht="22.5" customHeight="1">
      <c r="A512" s="622"/>
      <c r="B512" s="622"/>
      <c r="C512" s="622"/>
      <c r="D512" s="622"/>
      <c r="E512" s="625"/>
      <c r="F512" s="601"/>
      <c r="G512" s="608"/>
      <c r="H512" s="609"/>
      <c r="I512" s="608"/>
      <c r="J512" s="608"/>
      <c r="K512" s="608"/>
      <c r="L512" s="608"/>
      <c r="M512" s="608"/>
      <c r="N512" s="608"/>
    </row>
    <row r="513" ht="22.5" customHeight="1">
      <c r="A513" s="622"/>
      <c r="B513" s="622"/>
      <c r="C513" s="622"/>
      <c r="D513" s="622"/>
      <c r="E513" s="625"/>
      <c r="F513" s="601"/>
      <c r="G513" s="608"/>
      <c r="H513" s="609"/>
      <c r="I513" s="608"/>
      <c r="J513" s="608"/>
      <c r="K513" s="608"/>
      <c r="L513" s="608"/>
      <c r="M513" s="608"/>
      <c r="N513" s="608"/>
    </row>
    <row r="514" ht="22.5" customHeight="1">
      <c r="A514" s="622"/>
      <c r="B514" s="622"/>
      <c r="C514" s="622"/>
      <c r="D514" s="622"/>
      <c r="E514" s="625"/>
      <c r="F514" s="601"/>
      <c r="G514" s="608"/>
      <c r="H514" s="609"/>
      <c r="I514" s="608"/>
      <c r="J514" s="608"/>
      <c r="K514" s="608"/>
      <c r="L514" s="608"/>
      <c r="M514" s="608"/>
      <c r="N514" s="608"/>
    </row>
    <row r="515" ht="22.5" customHeight="1">
      <c r="A515" s="622"/>
      <c r="B515" s="622"/>
      <c r="C515" s="622"/>
      <c r="D515" s="622"/>
      <c r="E515" s="625"/>
      <c r="F515" s="601"/>
      <c r="G515" s="608"/>
      <c r="H515" s="609"/>
      <c r="I515" s="608"/>
      <c r="J515" s="608"/>
      <c r="K515" s="608"/>
      <c r="L515" s="608"/>
      <c r="M515" s="608"/>
      <c r="N515" s="608"/>
    </row>
    <row r="516" ht="22.5" customHeight="1">
      <c r="A516" s="622"/>
      <c r="B516" s="622"/>
      <c r="C516" s="622"/>
      <c r="D516" s="622"/>
      <c r="E516" s="625"/>
      <c r="F516" s="601"/>
      <c r="G516" s="608"/>
      <c r="H516" s="609"/>
      <c r="I516" s="608"/>
      <c r="J516" s="608"/>
      <c r="K516" s="608"/>
      <c r="L516" s="608"/>
      <c r="M516" s="608"/>
      <c r="N516" s="608"/>
    </row>
  </sheetData>
  <mergeCells count="1">
    <mergeCell ref="B1:F3"/>
  </mergeCells>
  <dataValidations>
    <dataValidation type="list" allowBlank="1" showErrorMessage="1" sqref="D5">
      <formula1>'الحضور'!$B$2:$B$1493</formula1>
    </dataValidation>
    <dataValidation type="list" allowBlank="1" showErrorMessage="1" sqref="D6">
      <formula1>"1,2,3,4,5,6,7,8,9,10,11,12"</formula1>
    </dataValidation>
    <dataValidation type="list" allowBlank="1" showErrorMessage="1" sqref="D7">
      <formula1>"2025,2026"</formula1>
    </dataValidation>
  </dataValidations>
  <printOptions horizontalCentered="1" verticalCentered="1"/>
  <pageMargins bottom="0.75" footer="0.0" header="0.0" left="0.25" right="0.25" top="0.75"/>
  <pageSetup paperSize="9" orientation="landscape"/>
  <drawing r:id="rId1"/>
</worksheet>
</file>