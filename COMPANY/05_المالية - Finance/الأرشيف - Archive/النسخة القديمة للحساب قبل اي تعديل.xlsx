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ألمهام السريعة" sheetId="1" r:id="rId5"/>
    <sheet state="hidden" name="الكلف الانشائية للورشة الجديدة" sheetId="2" r:id="rId6"/>
    <sheet state="visible" name="مصروفات المطبعة الجديدة" sheetId="3" r:id="rId7"/>
    <sheet state="visible" name="دخل المطبعة الجديدة " sheetId="4" r:id="rId8"/>
    <sheet state="hidden" name="تايم شيت سراج" sheetId="5" r:id="rId9"/>
    <sheet state="hidden" name="تايم شيت مصطفى" sheetId="6" r:id="rId10"/>
    <sheet state="visible" name="اسعار المواد" sheetId="7" r:id="rId11"/>
    <sheet state="hidden" name="ورقة الحضور" sheetId="8" r:id="rId12"/>
    <sheet state="visible" name="Mars Page" sheetId="9" r:id="rId13"/>
  </sheets>
  <definedNames>
    <definedName hidden="1" localSheetId="0" name="_xlnm._FilterDatabase">'ألمهام السريعة'!$A$3:$C$51</definedName>
    <definedName hidden="1" localSheetId="3" name="_xlnm._FilterDatabase">'دخل المطبعة الجديدة '!$A$1:$E$129</definedName>
  </definedNames>
  <calcPr/>
</workbook>
</file>

<file path=xl/sharedStrings.xml><?xml version="1.0" encoding="utf-8"?>
<sst xmlns="http://schemas.openxmlformats.org/spreadsheetml/2006/main" count="761" uniqueCount="389">
  <si>
    <t xml:space="preserve">
قائمة المهام السريعة</t>
  </si>
  <si>
    <t>✓</t>
  </si>
  <si>
    <t>التاريخ</t>
  </si>
  <si>
    <t xml:space="preserve">المهمة </t>
  </si>
  <si>
    <t xml:space="preserve">اعلان الروضة </t>
  </si>
  <si>
    <t>اعلان داطلي</t>
  </si>
  <si>
    <t xml:space="preserve">اعلان لقيمات </t>
  </si>
  <si>
    <t>اكمال اعلانات الملعب</t>
  </si>
  <si>
    <t xml:space="preserve">صناعة نموذج للمطار </t>
  </si>
  <si>
    <t xml:space="preserve">تسليم nkd </t>
  </si>
  <si>
    <t>لوغو</t>
  </si>
  <si>
    <t>تصميم عيادة</t>
  </si>
  <si>
    <t xml:space="preserve">موافقة تصميم الروضة </t>
  </si>
  <si>
    <t>تصاميم سبيس</t>
  </si>
  <si>
    <t>اعلان مجتبى</t>
  </si>
  <si>
    <t xml:space="preserve">براندنك +  اعلان خارجي </t>
  </si>
  <si>
    <t xml:space="preserve">الصفحات </t>
  </si>
  <si>
    <t xml:space="preserve">مكبس و طابعة </t>
  </si>
  <si>
    <t>حبر طابعه</t>
  </si>
  <si>
    <t>لابتوب</t>
  </si>
  <si>
    <t>شير فولدر</t>
  </si>
  <si>
    <t>البند</t>
  </si>
  <si>
    <t>القيمة</t>
  </si>
  <si>
    <t xml:space="preserve">التفاصيل </t>
  </si>
  <si>
    <t>175000 جلاية كاشي المكتب</t>
  </si>
  <si>
    <t>حساب الساقيه 190 الف</t>
  </si>
  <si>
    <t>اجمالي =</t>
  </si>
  <si>
    <t>حساب عامل للساقيه 30 الف</t>
  </si>
  <si>
    <t>حساب سقف ثانوي 70 الف مع النقل</t>
  </si>
  <si>
    <t>حساب عامل سقف ثانوي 50</t>
  </si>
  <si>
    <t>سكويرة جدار 25 الف</t>
  </si>
  <si>
    <t>شفت سكويرة 15 الف</t>
  </si>
  <si>
    <t>عكس و تقسيم بوري 30 الف</t>
  </si>
  <si>
    <t>اجرة نقل سبلت 10 الاف</t>
  </si>
  <si>
    <t>فلوس السبلت 500 الف</t>
  </si>
  <si>
    <t>حساب شغل الكهرباء و شد السبلت 200 الف</t>
  </si>
  <si>
    <t>حساب صونده سبلت و خرطوم ڤاكيوم و قفايص 25 الف</t>
  </si>
  <si>
    <t>حساب طلبية المودة 112 الف</t>
  </si>
  <si>
    <t>حساب مشتريات لف سبلت لف خراطيم قاعدة سبلت و اكل 21 الف</t>
  </si>
  <si>
    <t>حساب مشتريات تأسيس ماء 100 الف</t>
  </si>
  <si>
    <t>10 الاف حساب تغليف وايرات cnc</t>
  </si>
  <si>
    <t>سراج</t>
  </si>
  <si>
    <t>مصطفى</t>
  </si>
  <si>
    <t>كولبات</t>
  </si>
  <si>
    <t xml:space="preserve">خشب + عمل </t>
  </si>
  <si>
    <t xml:space="preserve">جام </t>
  </si>
  <si>
    <t>صبغ</t>
  </si>
  <si>
    <t>تراي كيبل</t>
  </si>
  <si>
    <t xml:space="preserve">بوري + اجرة </t>
  </si>
  <si>
    <t xml:space="preserve">2 دبة ماي + كاسات </t>
  </si>
  <si>
    <t xml:space="preserve">نقل سابق </t>
  </si>
  <si>
    <t xml:space="preserve">حجر كوسرة + برينة دريل </t>
  </si>
  <si>
    <t>كروه مصطفى + كحول طبي وقطن</t>
  </si>
  <si>
    <t>مسواك + دهن + كلور</t>
  </si>
  <si>
    <t>فطور</t>
  </si>
  <si>
    <t>رولة + لاصق + اكل</t>
  </si>
  <si>
    <t>نايلون + رولات صبغ</t>
  </si>
  <si>
    <t xml:space="preserve">ماسحة </t>
  </si>
  <si>
    <t>اكل</t>
  </si>
  <si>
    <t>جفوف</t>
  </si>
  <si>
    <t xml:space="preserve">ماي </t>
  </si>
  <si>
    <t>فوم 10 قطع ++ سليكون</t>
  </si>
  <si>
    <t xml:space="preserve">اكل </t>
  </si>
  <si>
    <t xml:space="preserve">واشرات </t>
  </si>
  <si>
    <t>كهربائيات</t>
  </si>
  <si>
    <t>سجاد</t>
  </si>
  <si>
    <t xml:space="preserve">كهرباء رشوة </t>
  </si>
  <si>
    <t xml:space="preserve">تكاليف درج + حمام </t>
  </si>
  <si>
    <t>الغربي+قبق تصريف 2+نثرية عمال بناء///ملاحظة سجاد دفعهم</t>
  </si>
  <si>
    <t>تم الدفع الى سجاد</t>
  </si>
  <si>
    <t>دين مخزن قديم الأبرار على سيف</t>
  </si>
  <si>
    <t>دين مطبعة قديم الأبرار على سيف</t>
  </si>
  <si>
    <t>حاسبة</t>
  </si>
  <si>
    <t>بطل</t>
  </si>
  <si>
    <t>كبنگ</t>
  </si>
  <si>
    <t>سكلات</t>
  </si>
  <si>
    <t>ايجار</t>
  </si>
  <si>
    <t>مدفوع</t>
  </si>
  <si>
    <t xml:space="preserve">ألحساب </t>
  </si>
  <si>
    <t>مواد اعلان رم القائمة   13651 محولات عدد 2</t>
  </si>
  <si>
    <t>سجاد وصلهم</t>
  </si>
  <si>
    <t xml:space="preserve">100 ليد </t>
  </si>
  <si>
    <t>محولات عدد 4</t>
  </si>
  <si>
    <t>فوم 6 ملم عدد 8 الواح مواد اعلان قائمة 13692</t>
  </si>
  <si>
    <t>مواد اعلان رقم القائمة 13670</t>
  </si>
  <si>
    <t>طباعة يوفي حكاية</t>
  </si>
  <si>
    <t xml:space="preserve"> سجاد وصلهم</t>
  </si>
  <si>
    <t>خشب +فوم للسي ان سي</t>
  </si>
  <si>
    <t>طباعة ستيكر</t>
  </si>
  <si>
    <t>مجيد المختار</t>
  </si>
  <si>
    <t>لف اسود عدد 3</t>
  </si>
  <si>
    <t xml:space="preserve">قائمة حديد اعلان الروضة </t>
  </si>
  <si>
    <t>طباعة يوفي لقيمات حكاية</t>
  </si>
  <si>
    <t>سحب مبلغ من قبل مصطفى (سلفة)</t>
  </si>
  <si>
    <t xml:space="preserve">توصيل طلبية الحديد </t>
  </si>
  <si>
    <t>نقل اعلانات حكاية بنكو</t>
  </si>
  <si>
    <t>فلوس الانترنت</t>
  </si>
  <si>
    <t>اجرت نقل عدد 2 لحسن اخو مصطفى</t>
  </si>
  <si>
    <t>اكل +ماء+ببسي+خبز+اكياس شاي+اجرة تكسي</t>
  </si>
  <si>
    <t>400 لد ازرق مواد اعلان قائمة 10724</t>
  </si>
  <si>
    <t>باكيت وايرات لحيم</t>
  </si>
  <si>
    <t>كاترج طابعة</t>
  </si>
  <si>
    <t>نقل مشروع الكهرباء</t>
  </si>
  <si>
    <t>دجاجات ذبح</t>
  </si>
  <si>
    <t>قماش و صبغ</t>
  </si>
  <si>
    <t>يوفي لاصق</t>
  </si>
  <si>
    <t xml:space="preserve">شاي خلطة </t>
  </si>
  <si>
    <t>طبقة فوم 10 ملم مواد اعلان رقم القائمة 10199</t>
  </si>
  <si>
    <t xml:space="preserve">ماء </t>
  </si>
  <si>
    <t>نقل اعلان كدي لاند</t>
  </si>
  <si>
    <t>طبع ستيكر مع القطع 2.8 م</t>
  </si>
  <si>
    <t>طباعة يوفي على الفوم + المادة عدد طبقتين</t>
  </si>
  <si>
    <t>بلاستك واحد ملم عدد 2 طبقة مواد اعلان قائمة 10155</t>
  </si>
  <si>
    <t xml:space="preserve">طبقة فوم 10 ملم </t>
  </si>
  <si>
    <t xml:space="preserve">صبغ + ثنر </t>
  </si>
  <si>
    <t>كارتون اميري + اكريلك ابيض حجري + اكريلك تركوازي مواد اعلان رقم قائمة 11923</t>
  </si>
  <si>
    <t>سجاد وصلهم نص كارتون الاميري للملعب 40 الف</t>
  </si>
  <si>
    <t>كراوي نقل بلاستك + باترينات + تكسي</t>
  </si>
  <si>
    <t>طباعة يوفي لوكو تيحة عدد 2 + اعلان الطيران مجتبى</t>
  </si>
  <si>
    <t>مواد اعلان رقم القائمة 10914</t>
  </si>
  <si>
    <t>عمل باترينات عدد 4 علي ميكانو</t>
  </si>
  <si>
    <t>ماء + صوندات جلر الليزر الصغير</t>
  </si>
  <si>
    <t>صيانة سبلت المكتب</t>
  </si>
  <si>
    <t>مواد اعلان رقم القائمة 10946</t>
  </si>
  <si>
    <t xml:space="preserve">مواد مجمع المخلص </t>
  </si>
  <si>
    <t xml:space="preserve">سجاد وصلهم </t>
  </si>
  <si>
    <t>برغي جنكال كبير و صغير</t>
  </si>
  <si>
    <t xml:space="preserve">نقل الكادر للملعب </t>
  </si>
  <si>
    <t>سجاد وصلهم للملعب</t>
  </si>
  <si>
    <t xml:space="preserve">ستكر باترينة الدكتور </t>
  </si>
  <si>
    <t>تضليل للنماذج</t>
  </si>
  <si>
    <t>قائمة نعيم السراي</t>
  </si>
  <si>
    <t>مواد اعلان رقم القائمة 13305</t>
  </si>
  <si>
    <t xml:space="preserve">مكاين اختام + شفرات </t>
  </si>
  <si>
    <t>ماء</t>
  </si>
  <si>
    <t>نقل اعلانات مجتبى + عيادة</t>
  </si>
  <si>
    <t>مصروفات غسالة + نواقص ورشة</t>
  </si>
  <si>
    <t>مواد اعلان رقم القائمة 13350</t>
  </si>
  <si>
    <t>ورق + وصولات</t>
  </si>
  <si>
    <t>راتب سراج</t>
  </si>
  <si>
    <t>راتب مصطفى</t>
  </si>
  <si>
    <t>اناره من سوك الجمعة</t>
  </si>
  <si>
    <t>حديد بوكسات الروضة + نقل</t>
  </si>
  <si>
    <t>صبغ + بانزين</t>
  </si>
  <si>
    <t>طباعة يوفي بوكسات الروضة + نقل</t>
  </si>
  <si>
    <t>مواد اعلان رقم القائمة 12097</t>
  </si>
  <si>
    <t>نقل بوكس الروضة + اسمنت و رمل و حصى و مصروفات اخرى</t>
  </si>
  <si>
    <t xml:space="preserve">شناطات انواع + فلين </t>
  </si>
  <si>
    <t>مواد اعلان رقم القائمة 10818</t>
  </si>
  <si>
    <t>مواد اوسكار</t>
  </si>
  <si>
    <t>مواد اعلان رقم القائمة 10848</t>
  </si>
  <si>
    <t>طباعة يوفي بوردات زواج</t>
  </si>
  <si>
    <t>مواد اعلان رقم القائمة 12021</t>
  </si>
  <si>
    <t>كفوف و فرشة الخ.......</t>
  </si>
  <si>
    <t xml:space="preserve">كبنك المحل </t>
  </si>
  <si>
    <t>سجاد وصلهم يتم استرجاع المبلغ الى سجاد من قبل سيف عدنان</t>
  </si>
  <si>
    <t>مواد اعلان رقم القائمة 12040</t>
  </si>
  <si>
    <t>اشتراك الانترنت</t>
  </si>
  <si>
    <t>مواد من الوجدان تو فيس + ستاند بورد</t>
  </si>
  <si>
    <t>سكلات عدد 2</t>
  </si>
  <si>
    <t>جلد + قماش+بوكسات + قطع مهر</t>
  </si>
  <si>
    <t xml:space="preserve">طباعة لوكو ايروس </t>
  </si>
  <si>
    <t>مواد اعلان رقم القائمة 13359</t>
  </si>
  <si>
    <t>غراض للستوتة</t>
  </si>
  <si>
    <t xml:space="preserve">بوكس من زهور لمسة </t>
  </si>
  <si>
    <t>سكوتين لاسق + فرشة</t>
  </si>
  <si>
    <t>نقل الكادر الى الملعب 3 مرات</t>
  </si>
  <si>
    <t xml:space="preserve">سلفة مصطفى </t>
  </si>
  <si>
    <t>مواد اعلان رقم القائمة 13394</t>
  </si>
  <si>
    <t>غير واصل</t>
  </si>
  <si>
    <t>مواد اعلان رقم القائمة 14512</t>
  </si>
  <si>
    <t>جلد+ستاند+شريط</t>
  </si>
  <si>
    <t>طباعة ستيكر+ قطع</t>
  </si>
  <si>
    <t>حاسبات + كامرات</t>
  </si>
  <si>
    <t>سجاد وصلهم كلف تطويريه</t>
  </si>
  <si>
    <t>بانزين+ دهن+ فلتر بانزين ستوتة</t>
  </si>
  <si>
    <t>ورد+تور</t>
  </si>
  <si>
    <t>طباعة ستيكر الزيت</t>
  </si>
  <si>
    <t>مواد اعلان رقم القائمة 27626 شركة الخوره</t>
  </si>
  <si>
    <t>صمغ</t>
  </si>
  <si>
    <t>مواد اعلان رقم القائمة 11021</t>
  </si>
  <si>
    <t>مواد هيترات و اشياء اخرى</t>
  </si>
  <si>
    <t>كلينكس + تيب</t>
  </si>
  <si>
    <t>طباعة ستيكر العارضة</t>
  </si>
  <si>
    <t xml:space="preserve">اكل + ماء + زاهي + درنفيس </t>
  </si>
  <si>
    <t>دفع 500 للكهرباء + 128 تكملة قائمة + 250 رشوه + 10</t>
  </si>
  <si>
    <t>كيبلات للمكائن</t>
  </si>
  <si>
    <t xml:space="preserve">شغل بوكس خشب يم علي ميكانو </t>
  </si>
  <si>
    <t>مواد اعلان رقم القائمة 27652 شركة الخوره</t>
  </si>
  <si>
    <t>اكل + مقص</t>
  </si>
  <si>
    <t>توصيل طلبية</t>
  </si>
  <si>
    <t>طبقة خشب 18 ملم</t>
  </si>
  <si>
    <t>مواد اعلان رقم القائمة 10079</t>
  </si>
  <si>
    <t xml:space="preserve">حديد فريم ايروس ستور </t>
  </si>
  <si>
    <t>برينة 2 ملم عدد 2</t>
  </si>
  <si>
    <t>وايرات</t>
  </si>
  <si>
    <t>كرين لرفع اعلان ايروس</t>
  </si>
  <si>
    <t xml:space="preserve">اكل يوم الجمعة </t>
  </si>
  <si>
    <t>شغل اشرطه قماش + طباعة عند اليوسف + كتر بلوتر</t>
  </si>
  <si>
    <t>اسفنج + لفات</t>
  </si>
  <si>
    <t xml:space="preserve">جلد ابيض + قماش قذيفة + قماش خيش </t>
  </si>
  <si>
    <t>طباعة فلكس + ستيكر</t>
  </si>
  <si>
    <t>مواد اعلان رقم القائمة 14408</t>
  </si>
  <si>
    <t>مواد اعلان رقم القائمة 14411</t>
  </si>
  <si>
    <t>كلوبات + سرنجات + كفوف + ماء + شاي + كم شغلة للستوته</t>
  </si>
  <si>
    <t>صبغ + ماء</t>
  </si>
  <si>
    <t>براغي + سفيفة</t>
  </si>
  <si>
    <t xml:space="preserve">كوبون ابيض </t>
  </si>
  <si>
    <t xml:space="preserve">راتب حسين علي يوسف + عمولة </t>
  </si>
  <si>
    <t xml:space="preserve">يو بي اس للمطبعة </t>
  </si>
  <si>
    <t>طباعة يوفي دار اليوسف</t>
  </si>
  <si>
    <t>راتب مصطفى + سراج + افرتايم</t>
  </si>
  <si>
    <t>دفع اخر قائمتين للكهرباء</t>
  </si>
  <si>
    <t>مواد اعلان رقم القائمة 13435</t>
  </si>
  <si>
    <t xml:space="preserve">نثرية </t>
  </si>
  <si>
    <t>قطع ثلاث الواح لمطبعة اليوسف</t>
  </si>
  <si>
    <t>صيانة بوكس ضوئي مكتبة ورق</t>
  </si>
  <si>
    <t xml:space="preserve">صيانة أعلان هوم سيكرت </t>
  </si>
  <si>
    <t>دخل المطبعة الأجمالي =</t>
  </si>
  <si>
    <t>بوكسات داطلي حكاية 2</t>
  </si>
  <si>
    <t xml:space="preserve">دخل المدفوع = </t>
  </si>
  <si>
    <t>كوسترات رزن</t>
  </si>
  <si>
    <t>الصرفيات=</t>
  </si>
  <si>
    <t>اعلان لقيمات حكاية + صيانة اعلان حكاية</t>
  </si>
  <si>
    <t>الصافي ألاجمالي =</t>
  </si>
  <si>
    <t>اعلان الروضة كامل مع البوكس الخارجي</t>
  </si>
  <si>
    <t>الصافي الكاش =</t>
  </si>
  <si>
    <t xml:space="preserve">قطع طبقة فوم معرض البصرة الدولي </t>
  </si>
  <si>
    <t>غير مدفوع=</t>
  </si>
  <si>
    <t>مكتبية اكريلك</t>
  </si>
  <si>
    <t>قطع دلالة اكريلك شفاف</t>
  </si>
  <si>
    <t>دروع الرميلة عدد2</t>
  </si>
  <si>
    <t xml:space="preserve">عمل مجسمات فوم </t>
  </si>
  <si>
    <t xml:space="preserve">قطع 15 ملف مصطفى ارت </t>
  </si>
  <si>
    <t>قطع طبقة فوم 25 ملم + صبغ مصطفى ارت</t>
  </si>
  <si>
    <t>قطع بلاستك + تجميع علي الزبيدي (ازياء نوفل)</t>
  </si>
  <si>
    <t>عمل كابينة رفوف عدد 3</t>
  </si>
  <si>
    <t xml:space="preserve">عمل باترينة عارضة </t>
  </si>
  <si>
    <t>اعلان مجتبى (الطيران)</t>
  </si>
  <si>
    <t xml:space="preserve"> </t>
  </si>
  <si>
    <t>لوكو ماكينة خياطة (صفحة انستا كرام اكريلك)</t>
  </si>
  <si>
    <t>قطع باركود NKD</t>
  </si>
  <si>
    <t>صيانة اعلان حكاية</t>
  </si>
  <si>
    <t>تيحة (عصير تايم)</t>
  </si>
  <si>
    <t>تيحة (طباعة عصير تايم)</t>
  </si>
  <si>
    <t>قطع اكريلك وجهين (صفحة انستا اكريلك)</t>
  </si>
  <si>
    <t>قطع اكريلك وجهين اسم لصديق سيف</t>
  </si>
  <si>
    <t>قطع اكلك ذهبي+بلاستك جوزي ليزر+شخط العدد 4 طبقات (شركة الفن) +المادة</t>
  </si>
  <si>
    <t>بوكسات زهور لمسة عدد 3</t>
  </si>
  <si>
    <t>قطع دلالة مستشفى الكويتي</t>
  </si>
  <si>
    <t>بوكس لمسة</t>
  </si>
  <si>
    <t>شغل اعلان تيحة</t>
  </si>
  <si>
    <t xml:space="preserve">شغل زهور لمسة </t>
  </si>
  <si>
    <t>شغل عارضات ايروس</t>
  </si>
  <si>
    <t>12 بورد زواج حسين علي يوسف</t>
  </si>
  <si>
    <t>قطع ايروس الداخلية</t>
  </si>
  <si>
    <t>اعلان تيحة</t>
  </si>
  <si>
    <t>قطع ايروس الداخلية الدرج + المدخل</t>
  </si>
  <si>
    <t>اعلان ايروس الكبير والصغير 21 متر</t>
  </si>
  <si>
    <t>مكتبية اكريلك شنون</t>
  </si>
  <si>
    <t>8 بورد زواج حسين علي يوسف</t>
  </si>
  <si>
    <t>مباخر عدد 2 مارس</t>
  </si>
  <si>
    <t>|بوكس + فوم زهور لمسة</t>
  </si>
  <si>
    <t>علي الزبيدي قطعة شفافة</t>
  </si>
  <si>
    <t>بوكس مهر جلد مارس</t>
  </si>
  <si>
    <t>بوكسات فوم + اسم اكريلك + كتر بلوتر مارس</t>
  </si>
  <si>
    <t>طبله فوم 10 ملم قياس 90*30*30 مارس</t>
  </si>
  <si>
    <t>بورد فوم + ستيكر + ورد+ تور قياس 80*60 مارس</t>
  </si>
  <si>
    <t>مقدمة خشب + شفاف زارتنا البركة مارس</t>
  </si>
  <si>
    <t>ستيكر + درع تخرج مارس</t>
  </si>
  <si>
    <t>بوكس اكريلك ابيض باب قياس 30*20 مارس</t>
  </si>
  <si>
    <t>مرايا + بوكس جلد+ بوكس قذيفة مارس</t>
  </si>
  <si>
    <t>شغل بالكوني ستيكرات اراكيل</t>
  </si>
  <si>
    <t>قطع دلالة عدد 3 شنون</t>
  </si>
  <si>
    <t xml:space="preserve">قطعة تيحة </t>
  </si>
  <si>
    <t>ستيكر الزيت</t>
  </si>
  <si>
    <t xml:space="preserve">قطع اعلان اخو تيحة </t>
  </si>
  <si>
    <t xml:space="preserve">رف عطر اكريلك 6 ملم عدد 1 مارس </t>
  </si>
  <si>
    <t>بوكس اكريلك شفاف عدد 3 + بورد مارس + اشرطة قماش</t>
  </si>
  <si>
    <t>قاعدة + بوكس فلوس + علبة محابس مارس</t>
  </si>
  <si>
    <t>بورد خشب مارس</t>
  </si>
  <si>
    <t>علي cnc خدش ليزر</t>
  </si>
  <si>
    <t>توبرات مارس</t>
  </si>
  <si>
    <t xml:space="preserve">قطع اعلان الحسينية تيحة </t>
  </si>
  <si>
    <t>قطع اعلان محمد المصمم مارف</t>
  </si>
  <si>
    <t>بوكس شفاف لمسة</t>
  </si>
  <si>
    <t>شغل ماكيت التخرج للمعماريين</t>
  </si>
  <si>
    <t xml:space="preserve">شغل ميز حيدر ابن اخت حسين الابرار </t>
  </si>
  <si>
    <t>شغل عارضة دكتور ابراهيم الثانية تصليح فقط</t>
  </si>
  <si>
    <t>فريم حديد اعلان ايروس + عمل</t>
  </si>
  <si>
    <t>اقمشة مارس</t>
  </si>
  <si>
    <t>بوكس اكريلك  30 *35 سم + اسم 15 سم + قماش مارس</t>
  </si>
  <si>
    <t>قطعة اكريلك</t>
  </si>
  <si>
    <t>مدالية سيارة</t>
  </si>
  <si>
    <t>فلكس 2 متر</t>
  </si>
  <si>
    <t>بوكسات كلينكس خشب عدد 10 مارس</t>
  </si>
  <si>
    <t>بوكس مهر خشب 18 ملم مارس</t>
  </si>
  <si>
    <t>عمل اعلان صليب صيدلية مطبعة اسطنبول</t>
  </si>
  <si>
    <t>عمل ماكيت تخرج</t>
  </si>
  <si>
    <t>شغل فومة صديق سيف 18 ملم</t>
  </si>
  <si>
    <t>عمل ختم حسن</t>
  </si>
  <si>
    <t>قطع علي الزبيدي</t>
  </si>
  <si>
    <t>اعلان كوبون مطبعة اسطنبول</t>
  </si>
  <si>
    <t>اعلان ايرروس المحل الثاني</t>
  </si>
  <si>
    <t>بوكس اكريلك مارس</t>
  </si>
  <si>
    <t>خشب دائري اراك مارس</t>
  </si>
  <si>
    <t>بورد يوفي مارس</t>
  </si>
  <si>
    <t>اشرطة 4 مارس</t>
  </si>
  <si>
    <t>هلالات مارس</t>
  </si>
  <si>
    <t>بوكس فوم زهور لمسة عدد 2</t>
  </si>
  <si>
    <t>بورد زهور لمسة</t>
  </si>
  <si>
    <t>مجسم فقمة زهور لمسة</t>
  </si>
  <si>
    <t>مارس مطلوب مبلغ</t>
  </si>
  <si>
    <t>ملعب</t>
  </si>
  <si>
    <t>درع رميلة</t>
  </si>
  <si>
    <t>فلوس الكبنك</t>
  </si>
  <si>
    <t>تاكات</t>
  </si>
  <si>
    <t>Monthly Timesheet:</t>
  </si>
  <si>
    <t>Month/Year:</t>
  </si>
  <si>
    <t xml:space="preserve">Employee ID: </t>
  </si>
  <si>
    <t>Employee Name:</t>
  </si>
  <si>
    <t>Supervisor Name:</t>
  </si>
  <si>
    <t>سراج نزار</t>
  </si>
  <si>
    <t>Organization:</t>
  </si>
  <si>
    <t>الورشة</t>
  </si>
  <si>
    <t>اليوم</t>
  </si>
  <si>
    <t>المهام</t>
  </si>
  <si>
    <t>تفاصيل العمل</t>
  </si>
  <si>
    <t xml:space="preserve">وقت الدخول </t>
  </si>
  <si>
    <t>وقت الخروج</t>
  </si>
  <si>
    <t>ساعات الفرق</t>
  </si>
  <si>
    <t>اجمالي الساعات</t>
  </si>
  <si>
    <t>ساعات القطع</t>
  </si>
  <si>
    <t>Total work hours</t>
  </si>
  <si>
    <t>معادلة فرق</t>
  </si>
  <si>
    <t>: اجمالي</t>
  </si>
  <si>
    <t>تعليقات :</t>
  </si>
  <si>
    <t>الراتب الأسمي  :</t>
  </si>
  <si>
    <t>الأجازات:</t>
  </si>
  <si>
    <t xml:space="preserve">الساعات الأضافية : </t>
  </si>
  <si>
    <t>الموقعية والخطورة :</t>
  </si>
  <si>
    <t>اسم وتوقيع الموظف</t>
  </si>
  <si>
    <t>الأستقطاعات :</t>
  </si>
  <si>
    <t xml:space="preserve">الحوافز : </t>
  </si>
  <si>
    <t>الراتب الأجمالي :</t>
  </si>
  <si>
    <t>اسم وتوقيع المسؤول</t>
  </si>
  <si>
    <t>ساعات الأستراحة</t>
  </si>
  <si>
    <t>ساعات اضافية</t>
  </si>
  <si>
    <t>المادة</t>
  </si>
  <si>
    <t>الوحدة</t>
  </si>
  <si>
    <t xml:space="preserve">السعر </t>
  </si>
  <si>
    <t>الموزع</t>
  </si>
  <si>
    <t>متوفر</t>
  </si>
  <si>
    <t>الفوم</t>
  </si>
  <si>
    <t>الخشب</t>
  </si>
  <si>
    <t>2.5m 80×120</t>
  </si>
  <si>
    <t>الابرار</t>
  </si>
  <si>
    <t xml:space="preserve">اكريلك ذهبي </t>
  </si>
  <si>
    <t>244×122 2m</t>
  </si>
  <si>
    <t xml:space="preserve">لف </t>
  </si>
  <si>
    <t>لدات</t>
  </si>
  <si>
    <t>بطاقة الحضور</t>
  </si>
  <si>
    <t>الموظف</t>
  </si>
  <si>
    <t>سراج نزار عدنان</t>
  </si>
  <si>
    <t>الادارة</t>
  </si>
  <si>
    <t>سجاد نزار</t>
  </si>
  <si>
    <t>العنوان</t>
  </si>
  <si>
    <t>المشراق</t>
  </si>
  <si>
    <t>الرقم</t>
  </si>
  <si>
    <t>(773) 793-2397</t>
  </si>
  <si>
    <t>وقت الحضور</t>
  </si>
  <si>
    <t>الساعات الأضافية</t>
  </si>
  <si>
    <t>القطع</t>
  </si>
  <si>
    <t>اجمالي</t>
  </si>
  <si>
    <t>السبت</t>
  </si>
  <si>
    <t>الاحد</t>
  </si>
  <si>
    <t>الأثنين</t>
  </si>
  <si>
    <t>الثلاثاء</t>
  </si>
  <si>
    <t>الأربعاء</t>
  </si>
  <si>
    <t>الخميس</t>
  </si>
  <si>
    <t>الجمعة</t>
  </si>
  <si>
    <t>ملاحظات العمل :</t>
  </si>
  <si>
    <t>................................................................................................................</t>
  </si>
  <si>
    <t>توقيع الموظف</t>
  </si>
  <si>
    <t>توقيع المدير</t>
  </si>
  <si>
    <t>تاريخ الاستلام</t>
  </si>
  <si>
    <t>بوكسات فوم + اسم اكريلك + كتر بلوتر</t>
  </si>
  <si>
    <t>بوكس مهر خشب20*30 ملم مارس</t>
  </si>
  <si>
    <t>دائرة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</si>
</sst>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&quot;/&quot;d"/>
    <numFmt numFmtId="165" formatCode="[$دينار]#,##0"/>
    <numFmt numFmtId="166" formatCode="M/d/yyyy"/>
    <numFmt numFmtId="167" formatCode="yyyy/m/d"/>
    <numFmt numFmtId="168" formatCode="0.00;[Red]0.00"/>
    <numFmt numFmtId="169" formatCode="[$-409]h:mm\ AM/PM"/>
  </numFmts>
  <fonts count="29">
    <font>
      <sz val="10.0"/>
      <color rgb="FF000000"/>
      <name val="Arial"/>
      <scheme val="minor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Inconsolata"/>
    </font>
    <font>
      <b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sz val="11.0"/>
      <color theme="1"/>
      <name val="Calibri"/>
    </font>
    <font>
      <b/>
      <sz val="16.0"/>
      <color rgb="FF595959"/>
      <name val="Calibri"/>
    </font>
    <font>
      <b/>
      <sz val="12.0"/>
      <color theme="1"/>
      <name val="Calibri"/>
    </font>
    <font/>
    <font>
      <b/>
      <sz val="11.0"/>
      <color rgb="FF595959"/>
      <name val="Calibri"/>
    </font>
    <font>
      <b/>
      <sz val="12.0"/>
      <color rgb="FF595959"/>
      <name val="Calibri"/>
    </font>
    <font>
      <color rgb="FF000000"/>
      <name val="Arial"/>
      <scheme val="minor"/>
    </font>
    <font>
      <b/>
      <sz val="48.0"/>
      <color rgb="FF2B415F"/>
      <name val="Verdana"/>
    </font>
    <font>
      <b/>
      <sz val="12.0"/>
      <color rgb="FF2B415F"/>
      <name val="Verdana"/>
    </font>
    <font>
      <b/>
      <sz val="11.0"/>
      <color rgb="FF114964"/>
      <name val="Verdana"/>
    </font>
    <font>
      <b/>
      <sz val="11.0"/>
      <color rgb="FFFFFFFF"/>
      <name val="Verdana"/>
    </font>
    <font>
      <b/>
      <sz val="11.0"/>
      <color rgb="FF2B415F"/>
      <name val="Verdana"/>
    </font>
    <font>
      <sz val="11.0"/>
      <color rgb="FF000000"/>
      <name val="Verdana"/>
    </font>
    <font>
      <b/>
      <sz val="11.0"/>
      <color rgb="FF000000"/>
      <name val="Verdana"/>
    </font>
    <font>
      <sz val="11.0"/>
      <color rgb="FFBFBFBF"/>
      <name val="Verdana"/>
    </font>
    <font>
      <sz val="9.0"/>
      <color rgb="FF000000"/>
      <name val="&quot;Google Sans Mono&quot;"/>
    </font>
  </fonts>
  <fills count="16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EAEDF0"/>
        <bgColor rgb="FFEAEDF0"/>
      </patternFill>
    </fill>
    <fill>
      <patternFill patternType="solid">
        <fgColor rgb="FF2B415F"/>
        <bgColor rgb="FF2B415F"/>
      </patternFill>
    </fill>
  </fills>
  <borders count="20">
    <border/>
    <border>
      <top style="hair">
        <color rgb="FFD9D9D9"/>
      </top>
      <bottom style="hair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EEECE1"/>
      </right>
    </border>
    <border>
      <left style="thin">
        <color rgb="FF2B415F"/>
      </left>
      <top style="thin">
        <color rgb="FF2B415F"/>
      </top>
      <bottom style="thin">
        <color rgb="FF2B415F"/>
      </bottom>
    </border>
    <border>
      <top style="thin">
        <color rgb="FF2B415F"/>
      </top>
      <bottom style="thin">
        <color rgb="FF2B415F"/>
      </bottom>
    </border>
    <border>
      <right style="thin">
        <color rgb="FF2B415F"/>
      </right>
      <top style="thin">
        <color rgb="FF2B415F"/>
      </top>
      <bottom style="thin">
        <color rgb="FF2B415F"/>
      </bottom>
    </border>
    <border>
      <left style="thin">
        <color rgb="FF2B415F"/>
      </left>
      <right style="thin">
        <color rgb="FF2B415F"/>
      </right>
      <top style="thin">
        <color rgb="FF2B415F"/>
      </top>
      <bottom style="thin">
        <color rgb="FF2B415F"/>
      </bottom>
    </border>
    <border>
      <right style="thin">
        <color rgb="FF2B415F"/>
      </right>
      <top style="thin">
        <color rgb="FF2B415F"/>
      </top>
    </border>
    <border>
      <left style="thin">
        <color rgb="FF2B415F"/>
      </left>
      <right style="thin">
        <color rgb="FF2B415F"/>
      </right>
      <top style="thin">
        <color rgb="FF2B415F"/>
      </top>
    </border>
    <border>
      <left style="thin">
        <color rgb="FF2B415F"/>
      </left>
      <top style="thin">
        <color rgb="FF2B415F"/>
      </top>
    </border>
    <border>
      <top style="thin">
        <color rgb="FF2B415F"/>
      </top>
    </border>
    <border>
      <left style="thin">
        <color rgb="FF2B415F"/>
      </left>
    </border>
    <border>
      <right style="thin">
        <color rgb="FF2B415F"/>
      </right>
    </border>
    <border>
      <left style="thin">
        <color rgb="FF2B415F"/>
      </left>
      <bottom style="thin">
        <color rgb="FF2B415F"/>
      </bottom>
    </border>
    <border>
      <bottom style="thin">
        <color rgb="FF2B415F"/>
      </bottom>
    </border>
    <border>
      <right style="thin">
        <color rgb="FF2B415F"/>
      </right>
      <bottom style="thin">
        <color rgb="FF2B415F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1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8" numFmtId="165" xfId="0" applyFont="1" applyNumberFormat="1"/>
    <xf borderId="0" fillId="4" fontId="8" numFmtId="165" xfId="0" applyAlignment="1" applyFill="1" applyFont="1" applyNumberFormat="1">
      <alignment readingOrder="0"/>
    </xf>
    <xf borderId="0" fillId="5" fontId="8" numFmtId="165" xfId="0" applyAlignment="1" applyFill="1" applyFont="1" applyNumberFormat="1">
      <alignment readingOrder="0"/>
    </xf>
    <xf borderId="0" fillId="6" fontId="8" numFmtId="0" xfId="0" applyAlignment="1" applyFill="1" applyFont="1">
      <alignment readingOrder="0"/>
    </xf>
    <xf borderId="0" fillId="6" fontId="8" numFmtId="165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7" numFmtId="167" xfId="0" applyAlignment="1" applyFont="1" applyNumberFormat="1">
      <alignment horizontal="center" readingOrder="0" vertical="center"/>
    </xf>
    <xf borderId="0" fillId="0" fontId="10" numFmtId="167" xfId="0" applyAlignment="1" applyFont="1" applyNumberForma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0" fillId="7" fontId="8" numFmtId="0" xfId="0" applyAlignment="1" applyFill="1" applyFont="1">
      <alignment readingOrder="0"/>
    </xf>
    <xf borderId="0" fillId="0" fontId="8" numFmtId="166" xfId="0" applyFont="1" applyNumberFormat="1"/>
    <xf borderId="2" fillId="0" fontId="12" numFmtId="0" xfId="0" applyAlignment="1" applyBorder="1" applyFont="1">
      <alignment readingOrder="0"/>
    </xf>
    <xf borderId="2" fillId="0" fontId="12" numFmtId="165" xfId="0" applyBorder="1" applyFont="1" applyNumberFormat="1"/>
    <xf borderId="0" fillId="4" fontId="8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3" fillId="0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vertical="bottom"/>
    </xf>
    <xf borderId="5" fillId="8" fontId="13" numFmtId="0" xfId="0" applyAlignment="1" applyBorder="1" applyFill="1" applyFont="1">
      <alignment vertical="bottom"/>
    </xf>
    <xf borderId="3" fillId="0" fontId="13" numFmtId="0" xfId="0" applyAlignment="1" applyBorder="1" applyFont="1">
      <alignment vertical="bottom"/>
    </xf>
    <xf borderId="4" fillId="0" fontId="15" numFmtId="0" xfId="0" applyBorder="1" applyFont="1"/>
    <xf borderId="0" fillId="0" fontId="15" numFmtId="0" xfId="0" applyAlignment="1" applyFont="1">
      <alignment readingOrder="0"/>
    </xf>
    <xf borderId="4" fillId="0" fontId="16" numFmtId="0" xfId="0" applyBorder="1" applyFont="1"/>
    <xf borderId="0" fillId="0" fontId="13" numFmtId="0" xfId="0" applyAlignment="1" applyFont="1">
      <alignment readingOrder="0"/>
    </xf>
    <xf borderId="5" fillId="0" fontId="16" numFmtId="0" xfId="0" applyBorder="1" applyFont="1"/>
    <xf borderId="3" fillId="0" fontId="16" numFmtId="0" xfId="0" applyBorder="1" applyFont="1"/>
    <xf borderId="0" fillId="0" fontId="13" numFmtId="0" xfId="0" applyFont="1"/>
    <xf borderId="5" fillId="0" fontId="15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4" fillId="0" fontId="13" numFmtId="0" xfId="0" applyBorder="1" applyFont="1"/>
    <xf borderId="5" fillId="0" fontId="17" numFmtId="0" xfId="0" applyAlignment="1" applyBorder="1" applyFont="1">
      <alignment horizontal="center" readingOrder="0" shrinkToFit="0" wrapText="1"/>
    </xf>
    <xf borderId="5" fillId="9" fontId="17" numFmtId="0" xfId="0" applyAlignment="1" applyBorder="1" applyFill="1" applyFont="1">
      <alignment horizontal="center" readingOrder="0" shrinkToFit="0" wrapText="1"/>
    </xf>
    <xf borderId="5" fillId="9" fontId="17" numFmtId="168" xfId="0" applyAlignment="1" applyBorder="1" applyFont="1" applyNumberFormat="1">
      <alignment horizontal="center" readingOrder="0" shrinkToFit="0" wrapText="1"/>
    </xf>
    <xf borderId="5" fillId="0" fontId="17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vertical="bottom"/>
    </xf>
    <xf borderId="5" fillId="0" fontId="13" numFmtId="169" xfId="0" applyAlignment="1" applyBorder="1" applyFont="1" applyNumberFormat="1">
      <alignment horizontal="right" readingOrder="0" shrinkToFit="0" vertical="bottom" wrapText="1"/>
    </xf>
    <xf borderId="5" fillId="10" fontId="13" numFmtId="169" xfId="0" applyAlignment="1" applyBorder="1" applyFill="1" applyFont="1" applyNumberFormat="1">
      <alignment horizontal="right" readingOrder="0" shrinkToFit="0" vertical="bottom" wrapText="1"/>
    </xf>
    <xf borderId="5" fillId="11" fontId="13" numFmtId="168" xfId="0" applyAlignment="1" applyBorder="1" applyFill="1" applyFont="1" applyNumberFormat="1">
      <alignment horizontal="right" readingOrder="0" shrinkToFit="0" vertical="bottom" wrapText="1"/>
    </xf>
    <xf borderId="5" fillId="10" fontId="13" numFmtId="168" xfId="0" applyAlignment="1" applyBorder="1" applyFont="1" applyNumberFormat="1">
      <alignment horizontal="right" shrinkToFit="0" vertical="bottom" wrapText="1"/>
    </xf>
    <xf borderId="5" fillId="7" fontId="13" numFmtId="0" xfId="0" applyAlignment="1" applyBorder="1" applyFont="1">
      <alignment horizontal="right" readingOrder="0" shrinkToFit="0" vertical="bottom" wrapText="1"/>
    </xf>
    <xf borderId="5" fillId="12" fontId="13" numFmtId="168" xfId="0" applyAlignment="1" applyBorder="1" applyFill="1" applyFont="1" applyNumberFormat="1">
      <alignment horizontal="right" shrinkToFit="0" vertical="bottom" wrapText="1"/>
    </xf>
    <xf borderId="5" fillId="0" fontId="13" numFmtId="169" xfId="0" applyAlignment="1" applyBorder="1" applyFont="1" applyNumberFormat="1">
      <alignment horizontal="right" shrinkToFit="0" vertical="bottom" wrapText="1"/>
    </xf>
    <xf borderId="5" fillId="11" fontId="13" numFmtId="168" xfId="0" applyAlignment="1" applyBorder="1" applyFont="1" applyNumberFormat="1">
      <alignment horizontal="right" shrinkToFit="0" vertical="bottom" wrapText="1"/>
    </xf>
    <xf borderId="5" fillId="7" fontId="13" numFmtId="0" xfId="0" applyAlignment="1" applyBorder="1" applyFont="1">
      <alignment vertical="bottom"/>
    </xf>
    <xf borderId="5" fillId="0" fontId="13" numFmtId="169" xfId="0" applyAlignment="1" applyBorder="1" applyFont="1" applyNumberFormat="1">
      <alignment vertical="bottom"/>
    </xf>
    <xf borderId="5" fillId="10" fontId="13" numFmtId="169" xfId="0" applyAlignment="1" applyBorder="1" applyFont="1" applyNumberFormat="1">
      <alignment vertical="bottom"/>
    </xf>
    <xf borderId="5" fillId="11" fontId="13" numFmtId="168" xfId="0" applyAlignment="1" applyBorder="1" applyFont="1" applyNumberFormat="1">
      <alignment horizontal="right" readingOrder="0" shrinkToFit="0" vertical="bottom" wrapText="1"/>
    </xf>
    <xf borderId="5" fillId="7" fontId="13" numFmtId="0" xfId="0" applyAlignment="1" applyBorder="1" applyFont="1">
      <alignment readingOrder="0" vertical="bottom"/>
    </xf>
    <xf borderId="3" fillId="0" fontId="17" numFmtId="0" xfId="0" applyAlignment="1" applyBorder="1" applyFont="1">
      <alignment readingOrder="0" shrinkToFit="0" vertical="bottom" wrapText="1"/>
    </xf>
    <xf borderId="5" fillId="0" fontId="13" numFmtId="2" xfId="0" applyAlignment="1" applyBorder="1" applyFont="1" applyNumberFormat="1">
      <alignment horizontal="right" shrinkToFit="0" vertical="bottom" wrapText="1"/>
    </xf>
    <xf borderId="6" fillId="0" fontId="13" numFmtId="0" xfId="0" applyAlignment="1" applyBorder="1" applyFont="1">
      <alignment vertical="bottom"/>
    </xf>
    <xf borderId="3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3" fillId="0" fontId="18" numFmtId="0" xfId="0" applyAlignment="1" applyBorder="1" applyFont="1">
      <alignment vertical="bottom"/>
    </xf>
    <xf borderId="0" fillId="13" fontId="19" numFmtId="0" xfId="0" applyFill="1" applyFont="1"/>
    <xf borderId="5" fillId="0" fontId="13" numFmtId="0" xfId="0" applyAlignment="1" applyBorder="1" applyFont="1">
      <alignment horizontal="right" readingOrder="0" shrinkToFit="0" vertical="bottom" wrapText="1"/>
    </xf>
    <xf borderId="5" fillId="0" fontId="13" numFmtId="0" xfId="0" applyAlignment="1" applyBorder="1" applyFont="1">
      <alignment readingOrder="0" vertical="bottom"/>
    </xf>
    <xf borderId="0" fillId="0" fontId="8" numFmtId="0" xfId="0" applyFont="1"/>
    <xf borderId="7" fillId="14" fontId="20" numFmtId="0" xfId="0" applyAlignment="1" applyBorder="1" applyFill="1" applyFont="1">
      <alignment horizontal="center" readingOrder="0" shrinkToFit="0" wrapText="0"/>
    </xf>
    <xf borderId="8" fillId="0" fontId="16" numFmtId="0" xfId="0" applyBorder="1" applyFont="1"/>
    <xf borderId="9" fillId="0" fontId="16" numFmtId="0" xfId="0" applyBorder="1" applyFont="1"/>
    <xf borderId="10" fillId="14" fontId="21" numFmtId="0" xfId="0" applyAlignment="1" applyBorder="1" applyFont="1">
      <alignment horizontal="center" readingOrder="0"/>
    </xf>
    <xf borderId="7" fillId="14" fontId="22" numFmtId="0" xfId="0" applyAlignment="1" applyBorder="1" applyFont="1">
      <alignment horizontal="center" readingOrder="0"/>
    </xf>
    <xf borderId="7" fillId="14" fontId="21" numFmtId="0" xfId="0" applyAlignment="1" applyBorder="1" applyFont="1">
      <alignment horizontal="center" readingOrder="0"/>
    </xf>
    <xf borderId="7" fillId="14" fontId="21" numFmtId="0" xfId="0" applyAlignment="1" applyBorder="1" applyFont="1">
      <alignment horizontal="right" readingOrder="0"/>
    </xf>
    <xf borderId="7" fillId="14" fontId="22" numFmtId="0" xfId="0" applyAlignment="1" applyBorder="1" applyFont="1">
      <alignment horizontal="center" readingOrder="0" shrinkToFit="0" wrapText="0"/>
    </xf>
    <xf borderId="0" fillId="15" fontId="23" numFmtId="0" xfId="0" applyAlignment="1" applyFill="1" applyFont="1">
      <alignment horizontal="center" readingOrder="0"/>
    </xf>
    <xf borderId="10" fillId="14" fontId="24" numFmtId="0" xfId="0" applyAlignment="1" applyBorder="1" applyFont="1">
      <alignment horizontal="center" readingOrder="0"/>
    </xf>
    <xf borderId="10" fillId="14" fontId="24" numFmtId="167" xfId="0" applyAlignment="1" applyBorder="1" applyFont="1" applyNumberFormat="1">
      <alignment horizontal="center" readingOrder="0" shrinkToFit="0" wrapText="0"/>
    </xf>
    <xf borderId="10" fillId="14" fontId="25" numFmtId="0" xfId="0" applyAlignment="1" applyBorder="1" applyFont="1">
      <alignment horizontal="center" shrinkToFit="0" wrapText="0"/>
    </xf>
    <xf borderId="10" fillId="14" fontId="22" numFmtId="0" xfId="0" applyAlignment="1" applyBorder="1" applyFont="1">
      <alignment horizontal="center" readingOrder="0"/>
    </xf>
    <xf borderId="10" fillId="14" fontId="22" numFmtId="0" xfId="0" applyAlignment="1" applyBorder="1" applyFont="1">
      <alignment horizontal="center" shrinkToFit="0" wrapText="0"/>
    </xf>
    <xf borderId="7" fillId="14" fontId="24" numFmtId="0" xfId="0" applyAlignment="1" applyBorder="1" applyFont="1">
      <alignment horizontal="center" readingOrder="0" shrinkToFit="0" wrapText="0"/>
    </xf>
    <xf borderId="10" fillId="14" fontId="24" numFmtId="0" xfId="0" applyAlignment="1" applyBorder="1" applyFont="1">
      <alignment horizontal="center" shrinkToFit="0" wrapText="0"/>
    </xf>
    <xf borderId="11" fillId="14" fontId="25" numFmtId="0" xfId="0" applyAlignment="1" applyBorder="1" applyFont="1">
      <alignment horizontal="center" shrinkToFit="0" wrapText="0"/>
    </xf>
    <xf borderId="12" fillId="14" fontId="25" numFmtId="0" xfId="0" applyAlignment="1" applyBorder="1" applyFont="1">
      <alignment horizontal="center" shrinkToFit="0" wrapText="0"/>
    </xf>
    <xf borderId="7" fillId="14" fontId="22" numFmtId="0" xfId="0" applyAlignment="1" applyBorder="1" applyFont="1">
      <alignment horizontal="center" readingOrder="0" shrinkToFit="0" wrapText="0"/>
    </xf>
    <xf borderId="0" fillId="14" fontId="24" numFmtId="0" xfId="0" applyAlignment="1" applyFont="1">
      <alignment horizontal="center"/>
    </xf>
    <xf borderId="13" fillId="14" fontId="25" numFmtId="0" xfId="0" applyAlignment="1" applyBorder="1" applyFont="1">
      <alignment horizontal="center"/>
    </xf>
    <xf borderId="14" fillId="14" fontId="26" numFmtId="0" xfId="0" applyAlignment="1" applyBorder="1" applyFont="1">
      <alignment horizontal="center"/>
    </xf>
    <xf borderId="11" fillId="14" fontId="22" numFmtId="0" xfId="0" applyAlignment="1" applyBorder="1" applyFont="1">
      <alignment horizontal="center" readingOrder="0"/>
    </xf>
    <xf borderId="0" fillId="14" fontId="22" numFmtId="0" xfId="0" applyAlignment="1" applyFont="1">
      <alignment horizontal="center"/>
    </xf>
    <xf borderId="10" fillId="14" fontId="24" numFmtId="0" xfId="0" applyAlignment="1" applyBorder="1" applyFont="1">
      <alignment horizontal="center"/>
    </xf>
    <xf borderId="15" fillId="14" fontId="27" numFmtId="0" xfId="0" applyAlignment="1" applyBorder="1" applyFont="1">
      <alignment horizontal="center" readingOrder="0"/>
    </xf>
    <xf borderId="16" fillId="0" fontId="16" numFmtId="0" xfId="0" applyBorder="1" applyFont="1"/>
    <xf borderId="10" fillId="14" fontId="22" numFmtId="0" xfId="0" applyAlignment="1" applyBorder="1" applyFont="1">
      <alignment horizontal="center"/>
    </xf>
    <xf borderId="14" fillId="14" fontId="24" numFmtId="0" xfId="0" applyAlignment="1" applyBorder="1" applyFont="1">
      <alignment horizontal="center" readingOrder="0"/>
    </xf>
    <xf borderId="14" fillId="14" fontId="22" numFmtId="0" xfId="0" applyAlignment="1" applyBorder="1" applyFont="1">
      <alignment horizontal="center" readingOrder="0"/>
    </xf>
    <xf borderId="14" fillId="14" fontId="24" numFmtId="0" xfId="0" applyAlignment="1" applyBorder="1" applyFont="1">
      <alignment horizontal="center"/>
    </xf>
    <xf borderId="14" fillId="14" fontId="22" numFmtId="0" xfId="0" applyAlignment="1" applyBorder="1" applyFont="1">
      <alignment horizontal="center"/>
    </xf>
    <xf borderId="0" fillId="14" fontId="27" numFmtId="0" xfId="0" applyAlignment="1" applyFont="1">
      <alignment horizontal="center"/>
    </xf>
    <xf borderId="0" fillId="14" fontId="25" numFmtId="0" xfId="0" applyAlignment="1" applyFont="1">
      <alignment horizontal="center"/>
    </xf>
    <xf borderId="17" fillId="14" fontId="27" numFmtId="0" xfId="0" applyAlignment="1" applyBorder="1" applyFont="1">
      <alignment horizontal="center" readingOrder="0"/>
    </xf>
    <xf borderId="18" fillId="0" fontId="16" numFmtId="0" xfId="0" applyBorder="1" applyFont="1"/>
    <xf borderId="19" fillId="0" fontId="16" numFmtId="0" xfId="0" applyBorder="1" applyFont="1"/>
    <xf borderId="0" fillId="4" fontId="11" numFmtId="0" xfId="0" applyAlignment="1" applyFon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10" numFmtId="167" xfId="0" applyAlignment="1" applyFont="1" applyNumberFormat="1">
      <alignment horizontal="center"/>
    </xf>
    <xf borderId="0" fillId="0" fontId="11" numFmtId="0" xfId="0" applyAlignment="1" applyFont="1">
      <alignment readingOrder="0" vertical="bottom"/>
    </xf>
    <xf borderId="0" fillId="0" fontId="11" numFmtId="165" xfId="0" applyAlignment="1" applyFont="1" applyNumberFormat="1">
      <alignment vertical="bottom"/>
    </xf>
    <xf borderId="0" fillId="9" fontId="28" numFmtId="165" xfId="0" applyFont="1" applyNumberFormat="1"/>
    <xf borderId="0" fillId="0" fontId="11" numFmtId="0" xfId="0" applyAlignment="1" applyFont="1">
      <alignment vertical="bottom"/>
    </xf>
    <xf borderId="0" fillId="0" fontId="11" numFmtId="10" xfId="0" applyAlignment="1" applyFont="1" applyNumberFormat="1">
      <alignment vertical="bottom"/>
    </xf>
    <xf borderId="0" fillId="4" fontId="11" numFmtId="0" xfId="0" applyAlignment="1" applyFont="1">
      <alignment horizontal="right" vertical="bottom"/>
    </xf>
    <xf borderId="0" fillId="0" fontId="9" numFmtId="165" xfId="0" applyAlignment="1" applyFont="1" applyNumberFormat="1">
      <alignment horizontal="right" readingOrder="0" vertical="bottom"/>
    </xf>
    <xf borderId="0" fillId="4" fontId="11" numFmtId="0" xfId="0" applyAlignment="1" applyFont="1">
      <alignment horizontal="right" readingOrder="0" vertical="bottom"/>
    </xf>
  </cellXfs>
  <cellStyles count="1">
    <cellStyle xfId="0" name="Normal" builtinId="0"/>
  </cellStyles>
  <dxfs count="3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23.5"/>
    <col customWidth="1" min="3" max="3" width="44.88"/>
  </cols>
  <sheetData>
    <row r="1" ht="52.5" customHeight="1">
      <c r="A1" s="1" t="s">
        <v>0</v>
      </c>
      <c r="C1" s="2" t="str">
        <f>CONCATENATE(COUNTIF($A$4:$A$51,TRUE), "/", COUNTA($C$4:$C$51), " completed  ")</f>
        <v>11/17 completed  </v>
      </c>
    </row>
    <row r="2" ht="6.0" customHeight="1">
      <c r="A2" s="3"/>
      <c r="B2" s="3"/>
      <c r="C2" s="4"/>
    </row>
    <row r="3" ht="30.0" customHeight="1">
      <c r="A3" s="5" t="s">
        <v>1</v>
      </c>
      <c r="B3" s="6" t="s">
        <v>2</v>
      </c>
      <c r="C3" s="7" t="s">
        <v>3</v>
      </c>
    </row>
    <row r="4" ht="26.25" customHeight="1">
      <c r="A4" s="8" t="b">
        <v>1</v>
      </c>
      <c r="B4" s="9">
        <v>36716.0</v>
      </c>
      <c r="C4" s="10" t="s">
        <v>4</v>
      </c>
    </row>
    <row r="5" ht="26.25" customHeight="1">
      <c r="A5" s="8" t="b">
        <v>1</v>
      </c>
      <c r="B5" s="9">
        <v>36747.0</v>
      </c>
      <c r="C5" s="10" t="s">
        <v>5</v>
      </c>
    </row>
    <row r="6" ht="26.25" customHeight="1">
      <c r="A6" s="8" t="b">
        <v>1</v>
      </c>
      <c r="B6" s="9">
        <v>36778.0</v>
      </c>
      <c r="C6" s="10" t="s">
        <v>6</v>
      </c>
    </row>
    <row r="7" ht="26.25" customHeight="1">
      <c r="A7" s="8" t="b">
        <v>1</v>
      </c>
      <c r="B7" s="9"/>
      <c r="C7" s="10" t="s">
        <v>7</v>
      </c>
    </row>
    <row r="8" ht="26.25" customHeight="1">
      <c r="A8" s="8" t="b">
        <v>0</v>
      </c>
      <c r="B8" s="9"/>
      <c r="C8" s="10" t="s">
        <v>8</v>
      </c>
    </row>
    <row r="9" ht="26.25" customHeight="1">
      <c r="A9" s="8" t="b">
        <v>1</v>
      </c>
      <c r="B9" s="9"/>
      <c r="C9" s="10" t="s">
        <v>9</v>
      </c>
    </row>
    <row r="10" ht="26.25" customHeight="1">
      <c r="A10" s="8" t="b">
        <v>1</v>
      </c>
      <c r="B10" s="9"/>
      <c r="C10" s="10" t="s">
        <v>10</v>
      </c>
    </row>
    <row r="11" ht="26.25" customHeight="1">
      <c r="A11" s="8" t="b">
        <v>1</v>
      </c>
      <c r="B11" s="9"/>
      <c r="C11" s="10" t="s">
        <v>11</v>
      </c>
    </row>
    <row r="12" ht="26.25" customHeight="1">
      <c r="A12" s="8" t="b">
        <v>1</v>
      </c>
      <c r="B12" s="9"/>
      <c r="C12" s="10" t="s">
        <v>12</v>
      </c>
    </row>
    <row r="13" ht="26.25" customHeight="1">
      <c r="A13" s="8" t="b">
        <v>1</v>
      </c>
      <c r="B13" s="9"/>
      <c r="C13" s="10" t="s">
        <v>13</v>
      </c>
    </row>
    <row r="14" ht="26.25" customHeight="1">
      <c r="A14" s="8" t="b">
        <v>1</v>
      </c>
      <c r="B14" s="9"/>
      <c r="C14" s="10" t="s">
        <v>14</v>
      </c>
    </row>
    <row r="15" ht="26.25" customHeight="1">
      <c r="A15" s="8" t="b">
        <v>0</v>
      </c>
      <c r="B15" s="9"/>
      <c r="C15" s="10" t="s">
        <v>15</v>
      </c>
    </row>
    <row r="16" ht="26.25" customHeight="1">
      <c r="A16" s="8" t="b">
        <v>0</v>
      </c>
      <c r="B16" s="9"/>
      <c r="C16" s="10" t="s">
        <v>16</v>
      </c>
    </row>
    <row r="17" ht="26.25" customHeight="1">
      <c r="A17" s="8" t="b">
        <v>0</v>
      </c>
      <c r="B17" s="9"/>
      <c r="C17" s="10" t="s">
        <v>17</v>
      </c>
    </row>
    <row r="18" ht="26.25" customHeight="1">
      <c r="A18" s="8" t="b">
        <v>0</v>
      </c>
      <c r="B18" s="9"/>
      <c r="C18" s="10" t="s">
        <v>18</v>
      </c>
    </row>
    <row r="19" ht="26.25" customHeight="1">
      <c r="A19" s="8" t="b">
        <v>1</v>
      </c>
      <c r="B19" s="9"/>
      <c r="C19" s="10" t="s">
        <v>19</v>
      </c>
    </row>
    <row r="20" ht="26.25" customHeight="1">
      <c r="A20" s="8" t="b">
        <v>0</v>
      </c>
      <c r="B20" s="9"/>
      <c r="C20" s="10" t="s">
        <v>20</v>
      </c>
    </row>
    <row r="21" ht="26.25" customHeight="1">
      <c r="A21" s="8" t="b">
        <v>0</v>
      </c>
      <c r="B21" s="9"/>
      <c r="C21" s="11"/>
    </row>
    <row r="22" ht="26.25" customHeight="1">
      <c r="A22" s="8" t="b">
        <v>0</v>
      </c>
      <c r="B22" s="9"/>
      <c r="C22" s="11"/>
    </row>
    <row r="23" ht="26.25" customHeight="1">
      <c r="A23" s="8" t="b">
        <v>0</v>
      </c>
      <c r="B23" s="9"/>
      <c r="C23" s="11"/>
    </row>
    <row r="24" ht="26.25" customHeight="1">
      <c r="A24" s="8" t="b">
        <v>0</v>
      </c>
      <c r="B24" s="9"/>
      <c r="C24" s="11"/>
    </row>
    <row r="25" ht="26.25" customHeight="1">
      <c r="A25" s="8" t="b">
        <v>0</v>
      </c>
      <c r="B25" s="9"/>
      <c r="C25" s="11"/>
    </row>
    <row r="26" ht="26.25" customHeight="1">
      <c r="A26" s="8" t="b">
        <v>0</v>
      </c>
      <c r="B26" s="9"/>
      <c r="C26" s="11"/>
    </row>
    <row r="27" ht="26.25" customHeight="1">
      <c r="A27" s="8" t="b">
        <v>0</v>
      </c>
      <c r="B27" s="9"/>
      <c r="C27" s="11"/>
    </row>
    <row r="28" ht="26.25" customHeight="1">
      <c r="A28" s="8" t="b">
        <v>0</v>
      </c>
      <c r="B28" s="9"/>
      <c r="C28" s="11"/>
    </row>
    <row r="29" ht="26.25" customHeight="1">
      <c r="A29" s="8" t="b">
        <v>0</v>
      </c>
      <c r="B29" s="9"/>
      <c r="C29" s="11"/>
    </row>
    <row r="30" ht="26.25" customHeight="1">
      <c r="A30" s="8" t="b">
        <v>0</v>
      </c>
      <c r="B30" s="9"/>
      <c r="C30" s="11"/>
    </row>
    <row r="31" ht="26.25" customHeight="1">
      <c r="A31" s="8" t="b">
        <v>0</v>
      </c>
      <c r="B31" s="9"/>
      <c r="C31" s="11"/>
    </row>
    <row r="32" ht="26.25" customHeight="1">
      <c r="A32" s="8" t="b">
        <v>0</v>
      </c>
      <c r="B32" s="9"/>
      <c r="C32" s="11"/>
    </row>
    <row r="33" ht="26.25" customHeight="1">
      <c r="A33" s="8" t="b">
        <v>0</v>
      </c>
      <c r="B33" s="9"/>
      <c r="C33" s="11"/>
    </row>
    <row r="34" ht="26.25" customHeight="1">
      <c r="A34" s="8" t="b">
        <v>0</v>
      </c>
      <c r="B34" s="9"/>
      <c r="C34" s="11"/>
    </row>
    <row r="35" ht="26.25" customHeight="1">
      <c r="A35" s="8" t="b">
        <v>0</v>
      </c>
      <c r="B35" s="9"/>
      <c r="C35" s="11"/>
    </row>
    <row r="36" ht="26.25" customHeight="1">
      <c r="A36" s="8" t="b">
        <v>0</v>
      </c>
      <c r="B36" s="9"/>
      <c r="C36" s="11"/>
    </row>
    <row r="37" ht="26.25" customHeight="1">
      <c r="A37" s="8" t="b">
        <v>0</v>
      </c>
      <c r="B37" s="9"/>
      <c r="C37" s="11"/>
    </row>
    <row r="38" ht="26.25" customHeight="1">
      <c r="A38" s="8" t="b">
        <v>0</v>
      </c>
      <c r="B38" s="9"/>
      <c r="C38" s="11"/>
    </row>
    <row r="39" ht="26.25" customHeight="1">
      <c r="A39" s="8" t="b">
        <v>0</v>
      </c>
      <c r="B39" s="9"/>
      <c r="C39" s="11"/>
    </row>
    <row r="40" ht="26.25" customHeight="1">
      <c r="A40" s="8" t="b">
        <v>0</v>
      </c>
      <c r="B40" s="9"/>
      <c r="C40" s="11"/>
    </row>
    <row r="41" ht="26.25" customHeight="1">
      <c r="A41" s="8" t="b">
        <v>0</v>
      </c>
      <c r="B41" s="9"/>
      <c r="C41" s="11"/>
    </row>
    <row r="42" ht="26.25" customHeight="1">
      <c r="A42" s="8" t="b">
        <v>0</v>
      </c>
      <c r="B42" s="9"/>
      <c r="C42" s="11"/>
    </row>
    <row r="43" ht="26.25" customHeight="1">
      <c r="A43" s="8" t="b">
        <v>0</v>
      </c>
      <c r="B43" s="9"/>
      <c r="C43" s="11"/>
    </row>
    <row r="44" ht="26.25" customHeight="1">
      <c r="A44" s="8" t="b">
        <v>0</v>
      </c>
      <c r="B44" s="9"/>
      <c r="C44" s="11"/>
    </row>
    <row r="45" ht="26.25" customHeight="1">
      <c r="A45" s="8" t="b">
        <v>0</v>
      </c>
      <c r="B45" s="9"/>
      <c r="C45" s="11"/>
    </row>
    <row r="46" ht="26.25" customHeight="1">
      <c r="A46" s="8" t="b">
        <v>0</v>
      </c>
      <c r="B46" s="9"/>
      <c r="C46" s="11"/>
    </row>
    <row r="47" ht="26.25" customHeight="1">
      <c r="A47" s="8" t="b">
        <v>0</v>
      </c>
      <c r="B47" s="9"/>
      <c r="C47" s="11"/>
    </row>
    <row r="48" ht="26.25" customHeight="1">
      <c r="A48" s="8" t="b">
        <v>0</v>
      </c>
      <c r="B48" s="9"/>
      <c r="C48" s="11"/>
    </row>
    <row r="49" ht="26.25" customHeight="1">
      <c r="A49" s="8" t="b">
        <v>0</v>
      </c>
      <c r="B49" s="9"/>
      <c r="C49" s="11"/>
    </row>
    <row r="50" ht="26.25" customHeight="1">
      <c r="A50" s="8" t="b">
        <v>0</v>
      </c>
      <c r="B50" s="9"/>
      <c r="C50" s="11"/>
    </row>
    <row r="51" ht="22.5" hidden="1" customHeight="1">
      <c r="A51" s="8"/>
      <c r="B51" s="9"/>
      <c r="C51" s="11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4" max="4" width="16.63"/>
  </cols>
  <sheetData>
    <row r="1">
      <c r="A1" s="12" t="s">
        <v>21</v>
      </c>
      <c r="B1" s="13" t="s">
        <v>22</v>
      </c>
      <c r="C1" s="14" t="s">
        <v>2</v>
      </c>
      <c r="D1" s="14" t="s">
        <v>23</v>
      </c>
      <c r="E1" s="15"/>
      <c r="F1" s="15"/>
      <c r="G1" s="15"/>
      <c r="H1" s="15"/>
      <c r="I1" s="15"/>
      <c r="J1" s="15"/>
    </row>
    <row r="2">
      <c r="A2" s="15" t="s">
        <v>24</v>
      </c>
      <c r="B2" s="16">
        <v>175000.0</v>
      </c>
    </row>
    <row r="3">
      <c r="A3" s="15" t="s">
        <v>25</v>
      </c>
      <c r="B3" s="16">
        <v>195000.0</v>
      </c>
      <c r="E3" s="15" t="s">
        <v>26</v>
      </c>
      <c r="F3" s="17">
        <f>sum(B:B)</f>
        <v>12064500</v>
      </c>
    </row>
    <row r="4">
      <c r="A4" s="15" t="s">
        <v>27</v>
      </c>
      <c r="B4" s="16">
        <v>30000.0</v>
      </c>
    </row>
    <row r="5">
      <c r="A5" s="15" t="s">
        <v>28</v>
      </c>
      <c r="B5" s="16">
        <v>70000.0</v>
      </c>
    </row>
    <row r="6">
      <c r="A6" s="15" t="s">
        <v>29</v>
      </c>
      <c r="B6" s="16">
        <v>50000.0</v>
      </c>
    </row>
    <row r="7">
      <c r="A7" s="15" t="s">
        <v>30</v>
      </c>
      <c r="B7" s="16">
        <v>25000.0</v>
      </c>
    </row>
    <row r="8">
      <c r="A8" s="15" t="s">
        <v>31</v>
      </c>
      <c r="B8" s="16">
        <v>15000.0</v>
      </c>
    </row>
    <row r="9">
      <c r="A9" s="15" t="s">
        <v>32</v>
      </c>
      <c r="B9" s="16">
        <v>30000.0</v>
      </c>
    </row>
    <row r="10">
      <c r="A10" s="15" t="s">
        <v>33</v>
      </c>
      <c r="B10" s="16">
        <v>10000.0</v>
      </c>
    </row>
    <row r="11">
      <c r="A11" s="15" t="s">
        <v>34</v>
      </c>
      <c r="B11" s="16">
        <v>500000.0</v>
      </c>
    </row>
    <row r="12">
      <c r="A12" s="15" t="s">
        <v>35</v>
      </c>
      <c r="B12" s="16">
        <v>200000.0</v>
      </c>
    </row>
    <row r="13">
      <c r="A13" s="15" t="s">
        <v>36</v>
      </c>
      <c r="B13" s="16">
        <v>25000.0</v>
      </c>
    </row>
    <row r="14">
      <c r="A14" s="15" t="s">
        <v>37</v>
      </c>
      <c r="B14" s="16">
        <v>67000.0</v>
      </c>
    </row>
    <row r="15">
      <c r="A15" s="15" t="s">
        <v>38</v>
      </c>
      <c r="B15" s="16">
        <v>21000.0</v>
      </c>
    </row>
    <row r="16">
      <c r="A16" s="15" t="s">
        <v>39</v>
      </c>
      <c r="B16" s="16">
        <v>100000.0</v>
      </c>
    </row>
    <row r="17">
      <c r="A17" s="15" t="s">
        <v>40</v>
      </c>
      <c r="B17" s="16">
        <v>10000.0</v>
      </c>
    </row>
    <row r="18">
      <c r="A18" s="15" t="s">
        <v>41</v>
      </c>
      <c r="B18" s="16">
        <v>500000.0</v>
      </c>
    </row>
    <row r="19">
      <c r="A19" s="15" t="s">
        <v>42</v>
      </c>
      <c r="B19" s="16">
        <v>500000.0</v>
      </c>
    </row>
    <row r="20">
      <c r="A20" s="15" t="s">
        <v>43</v>
      </c>
      <c r="B20" s="16">
        <v>95000.0</v>
      </c>
    </row>
    <row r="21">
      <c r="A21" s="15" t="s">
        <v>44</v>
      </c>
      <c r="B21" s="18">
        <v>800000.0</v>
      </c>
    </row>
    <row r="22">
      <c r="A22" s="15" t="s">
        <v>45</v>
      </c>
      <c r="B22" s="16">
        <v>650000.0</v>
      </c>
    </row>
    <row r="23">
      <c r="A23" s="15" t="s">
        <v>46</v>
      </c>
      <c r="B23" s="16">
        <v>40000.0</v>
      </c>
    </row>
    <row r="24">
      <c r="A24" s="15" t="s">
        <v>47</v>
      </c>
      <c r="B24" s="19">
        <v>35000.0</v>
      </c>
    </row>
    <row r="25">
      <c r="A25" s="15" t="s">
        <v>48</v>
      </c>
      <c r="B25" s="16">
        <v>35000.0</v>
      </c>
    </row>
    <row r="26">
      <c r="A26" s="15" t="s">
        <v>49</v>
      </c>
      <c r="B26" s="16">
        <v>5000.0</v>
      </c>
    </row>
    <row r="27">
      <c r="A27" s="20" t="s">
        <v>50</v>
      </c>
      <c r="B27" s="21">
        <v>615500.0</v>
      </c>
    </row>
    <row r="28">
      <c r="A28" s="15" t="s">
        <v>51</v>
      </c>
      <c r="B28" s="16">
        <v>12000.0</v>
      </c>
    </row>
    <row r="29">
      <c r="A29" s="15" t="s">
        <v>52</v>
      </c>
      <c r="B29" s="16">
        <v>20000.0</v>
      </c>
    </row>
    <row r="30">
      <c r="A30" s="15" t="s">
        <v>53</v>
      </c>
      <c r="B30" s="16">
        <v>28000.0</v>
      </c>
    </row>
    <row r="31">
      <c r="A31" s="15" t="s">
        <v>54</v>
      </c>
      <c r="B31" s="16">
        <v>15000.0</v>
      </c>
    </row>
    <row r="32">
      <c r="A32" s="15" t="s">
        <v>55</v>
      </c>
      <c r="B32" s="16">
        <v>17000.0</v>
      </c>
    </row>
    <row r="33">
      <c r="A33" s="15" t="s">
        <v>56</v>
      </c>
      <c r="B33" s="16">
        <v>12000.0</v>
      </c>
    </row>
    <row r="34">
      <c r="A34" s="15" t="s">
        <v>57</v>
      </c>
      <c r="B34" s="16">
        <v>3000.0</v>
      </c>
    </row>
    <row r="35">
      <c r="A35" s="15" t="s">
        <v>58</v>
      </c>
      <c r="B35" s="16">
        <v>8000.0</v>
      </c>
    </row>
    <row r="36">
      <c r="A36" s="15" t="s">
        <v>59</v>
      </c>
      <c r="B36" s="16">
        <v>1000.0</v>
      </c>
    </row>
    <row r="37">
      <c r="A37" s="15" t="s">
        <v>60</v>
      </c>
      <c r="B37" s="16">
        <v>4000.0</v>
      </c>
    </row>
    <row r="38">
      <c r="A38" s="15" t="s">
        <v>61</v>
      </c>
      <c r="B38" s="16">
        <v>63000.0</v>
      </c>
    </row>
    <row r="39">
      <c r="A39" s="15" t="s">
        <v>62</v>
      </c>
      <c r="B39" s="16">
        <v>8000.0</v>
      </c>
    </row>
    <row r="40">
      <c r="A40" s="15" t="s">
        <v>63</v>
      </c>
      <c r="B40" s="16">
        <v>2000.0</v>
      </c>
    </row>
    <row r="41">
      <c r="A41" s="15" t="s">
        <v>64</v>
      </c>
      <c r="B41" s="16">
        <v>10000.0</v>
      </c>
    </row>
    <row r="42">
      <c r="A42" s="15" t="s">
        <v>65</v>
      </c>
      <c r="B42" s="16">
        <v>8000.0</v>
      </c>
    </row>
    <row r="43">
      <c r="A43" s="15" t="s">
        <v>62</v>
      </c>
      <c r="B43" s="16">
        <v>15000.0</v>
      </c>
    </row>
    <row r="44">
      <c r="A44" s="15" t="s">
        <v>66</v>
      </c>
      <c r="B44" s="16">
        <v>250000.0</v>
      </c>
    </row>
    <row r="45">
      <c r="A45" s="15" t="s">
        <v>67</v>
      </c>
      <c r="B45" s="16">
        <v>315000.0</v>
      </c>
    </row>
    <row r="46">
      <c r="A46" s="15" t="s">
        <v>68</v>
      </c>
      <c r="B46" s="16">
        <v>110000.0</v>
      </c>
      <c r="C46" s="15" t="s">
        <v>69</v>
      </c>
    </row>
    <row r="47">
      <c r="A47" s="15" t="s">
        <v>70</v>
      </c>
      <c r="B47" s="16">
        <v>315000.0</v>
      </c>
      <c r="C47" s="15" t="s">
        <v>69</v>
      </c>
    </row>
    <row r="48">
      <c r="A48" s="15" t="s">
        <v>71</v>
      </c>
      <c r="B48" s="16">
        <v>625000.0</v>
      </c>
      <c r="C48" s="15" t="s">
        <v>69</v>
      </c>
    </row>
    <row r="49">
      <c r="A49" s="15" t="s">
        <v>72</v>
      </c>
      <c r="B49" s="16">
        <v>1000000.0</v>
      </c>
    </row>
    <row r="50">
      <c r="A50" s="15" t="s">
        <v>73</v>
      </c>
      <c r="B50" s="16">
        <v>850000.0</v>
      </c>
    </row>
    <row r="51">
      <c r="A51" s="15" t="s">
        <v>74</v>
      </c>
      <c r="B51" s="16">
        <v>450000.0</v>
      </c>
    </row>
    <row r="52">
      <c r="A52" s="15" t="s">
        <v>75</v>
      </c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A59" s="15" t="s">
        <v>76</v>
      </c>
      <c r="B59" s="16">
        <v>3125000.0</v>
      </c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4" max="4" width="37.25"/>
  </cols>
  <sheetData>
    <row r="1">
      <c r="A1" s="12" t="s">
        <v>21</v>
      </c>
      <c r="B1" s="14" t="s">
        <v>22</v>
      </c>
      <c r="C1" s="14" t="s">
        <v>2</v>
      </c>
      <c r="D1" s="14" t="s">
        <v>23</v>
      </c>
      <c r="E1" s="14" t="s">
        <v>77</v>
      </c>
      <c r="F1" s="15" t="s">
        <v>78</v>
      </c>
      <c r="G1" s="15"/>
      <c r="H1" s="15"/>
      <c r="I1" s="15"/>
    </row>
    <row r="2">
      <c r="A2" s="15" t="s">
        <v>79</v>
      </c>
      <c r="B2" s="16">
        <v>45000.0</v>
      </c>
      <c r="C2" s="22">
        <v>45386.0</v>
      </c>
      <c r="D2" s="15" t="s">
        <v>80</v>
      </c>
      <c r="E2" s="23" t="b">
        <v>1</v>
      </c>
    </row>
    <row r="3">
      <c r="A3" s="15" t="s">
        <v>81</v>
      </c>
      <c r="B3" s="16">
        <v>35000.0</v>
      </c>
      <c r="C3" s="22">
        <v>45384.0</v>
      </c>
      <c r="D3" s="15" t="s">
        <v>80</v>
      </c>
      <c r="E3" s="23" t="b">
        <v>1</v>
      </c>
      <c r="G3" s="15"/>
    </row>
    <row r="4">
      <c r="A4" s="15" t="s">
        <v>82</v>
      </c>
      <c r="B4" s="16">
        <v>42000.0</v>
      </c>
      <c r="C4" s="22">
        <v>45388.0</v>
      </c>
      <c r="D4" s="15" t="s">
        <v>80</v>
      </c>
      <c r="E4" s="23" t="b">
        <v>1</v>
      </c>
    </row>
    <row r="5">
      <c r="A5" s="15" t="s">
        <v>82</v>
      </c>
      <c r="B5" s="16">
        <v>43000.0</v>
      </c>
      <c r="C5" s="22">
        <v>45389.0</v>
      </c>
      <c r="D5" s="15" t="s">
        <v>80</v>
      </c>
      <c r="E5" s="23" t="b">
        <v>1</v>
      </c>
    </row>
    <row r="6">
      <c r="A6" s="15" t="s">
        <v>83</v>
      </c>
      <c r="B6" s="16">
        <v>136000.0</v>
      </c>
      <c r="C6" s="22">
        <v>45389.0</v>
      </c>
      <c r="D6" s="15" t="s">
        <v>80</v>
      </c>
      <c r="E6" s="23" t="b">
        <v>1</v>
      </c>
    </row>
    <row r="7">
      <c r="A7" s="15" t="s">
        <v>84</v>
      </c>
      <c r="B7" s="16">
        <v>630000.0</v>
      </c>
      <c r="C7" s="22">
        <v>45388.0</v>
      </c>
      <c r="D7" s="15" t="s">
        <v>80</v>
      </c>
      <c r="E7" s="23" t="b">
        <v>1</v>
      </c>
    </row>
    <row r="8">
      <c r="A8" s="15" t="s">
        <v>85</v>
      </c>
      <c r="B8" s="16">
        <v>155000.0</v>
      </c>
      <c r="C8" s="22">
        <v>45388.0</v>
      </c>
      <c r="D8" s="15" t="s">
        <v>86</v>
      </c>
      <c r="E8" s="23" t="b">
        <v>1</v>
      </c>
    </row>
    <row r="9">
      <c r="A9" s="15" t="s">
        <v>87</v>
      </c>
      <c r="B9" s="16">
        <v>80000.0</v>
      </c>
      <c r="C9" s="22">
        <v>45383.0</v>
      </c>
      <c r="D9" s="15" t="s">
        <v>80</v>
      </c>
      <c r="E9" s="23" t="b">
        <v>1</v>
      </c>
    </row>
    <row r="10">
      <c r="A10" s="15" t="s">
        <v>88</v>
      </c>
      <c r="B10" s="16">
        <v>7500.0</v>
      </c>
      <c r="C10" s="22">
        <v>45387.0</v>
      </c>
      <c r="D10" s="15" t="s">
        <v>89</v>
      </c>
      <c r="E10" s="23" t="b">
        <v>0</v>
      </c>
    </row>
    <row r="11">
      <c r="A11" s="15" t="s">
        <v>90</v>
      </c>
      <c r="B11" s="16">
        <v>90000.0</v>
      </c>
      <c r="C11" s="22">
        <v>45389.0</v>
      </c>
      <c r="D11" s="15" t="s">
        <v>80</v>
      </c>
      <c r="E11" s="23" t="b">
        <v>1</v>
      </c>
    </row>
    <row r="12">
      <c r="A12" s="15" t="s">
        <v>91</v>
      </c>
      <c r="B12" s="16">
        <v>130000.0</v>
      </c>
      <c r="C12" s="22">
        <v>45391.0</v>
      </c>
      <c r="D12" s="15" t="s">
        <v>86</v>
      </c>
      <c r="E12" s="23" t="b">
        <v>1</v>
      </c>
    </row>
    <row r="13">
      <c r="A13" s="15" t="s">
        <v>92</v>
      </c>
      <c r="B13" s="16">
        <v>125000.0</v>
      </c>
      <c r="C13" s="22">
        <v>45390.0</v>
      </c>
      <c r="D13" s="15" t="s">
        <v>86</v>
      </c>
      <c r="E13" s="23" t="b">
        <v>1</v>
      </c>
    </row>
    <row r="14">
      <c r="A14" s="15" t="s">
        <v>93</v>
      </c>
      <c r="B14" s="16">
        <v>100000.0</v>
      </c>
      <c r="C14" s="22">
        <v>45389.0</v>
      </c>
      <c r="D14" s="15" t="s">
        <v>80</v>
      </c>
      <c r="E14" s="23" t="b">
        <v>1</v>
      </c>
    </row>
    <row r="15">
      <c r="A15" s="15" t="s">
        <v>94</v>
      </c>
      <c r="B15" s="16">
        <v>8000.0</v>
      </c>
      <c r="C15" s="22">
        <v>45391.0</v>
      </c>
      <c r="D15" s="15" t="s">
        <v>80</v>
      </c>
      <c r="E15" s="23" t="b">
        <v>1</v>
      </c>
    </row>
    <row r="16">
      <c r="A16" s="15" t="s">
        <v>95</v>
      </c>
      <c r="B16" s="16">
        <v>15000.0</v>
      </c>
      <c r="C16" s="22">
        <v>45392.0</v>
      </c>
      <c r="D16" s="15" t="s">
        <v>80</v>
      </c>
      <c r="E16" s="23" t="b">
        <v>1</v>
      </c>
    </row>
    <row r="17">
      <c r="A17" s="15" t="s">
        <v>96</v>
      </c>
      <c r="B17" s="16">
        <v>15000.0</v>
      </c>
      <c r="C17" s="22">
        <v>45395.0</v>
      </c>
      <c r="D17" s="15" t="s">
        <v>80</v>
      </c>
      <c r="E17" s="23" t="b">
        <v>1</v>
      </c>
    </row>
    <row r="18">
      <c r="A18" s="15" t="s">
        <v>97</v>
      </c>
      <c r="B18" s="16">
        <v>10000.0</v>
      </c>
      <c r="C18" s="22">
        <v>45395.0</v>
      </c>
      <c r="D18" s="15" t="s">
        <v>80</v>
      </c>
      <c r="E18" s="23" t="b">
        <v>1</v>
      </c>
    </row>
    <row r="19">
      <c r="A19" s="15" t="s">
        <v>98</v>
      </c>
      <c r="B19" s="16">
        <v>31000.0</v>
      </c>
      <c r="C19" s="22">
        <v>45395.0</v>
      </c>
      <c r="D19" s="15" t="s">
        <v>80</v>
      </c>
      <c r="E19" s="23" t="b">
        <v>1</v>
      </c>
    </row>
    <row r="20">
      <c r="A20" s="15" t="s">
        <v>99</v>
      </c>
      <c r="B20" s="16">
        <v>116000.0</v>
      </c>
      <c r="C20" s="22">
        <v>45395.0</v>
      </c>
      <c r="D20" s="15" t="s">
        <v>80</v>
      </c>
      <c r="E20" s="23" t="b">
        <v>1</v>
      </c>
    </row>
    <row r="21">
      <c r="A21" s="15" t="s">
        <v>100</v>
      </c>
      <c r="B21" s="16">
        <v>5000.0</v>
      </c>
      <c r="C21" s="22">
        <v>45395.0</v>
      </c>
      <c r="D21" s="15" t="s">
        <v>80</v>
      </c>
      <c r="E21" s="23" t="b">
        <v>1</v>
      </c>
    </row>
    <row r="22">
      <c r="A22" s="15" t="s">
        <v>101</v>
      </c>
      <c r="B22" s="16">
        <v>90000.0</v>
      </c>
      <c r="C22" s="22">
        <v>45395.0</v>
      </c>
      <c r="D22" s="15" t="s">
        <v>80</v>
      </c>
      <c r="E22" s="23" t="b">
        <v>1</v>
      </c>
    </row>
    <row r="23">
      <c r="A23" s="15" t="s">
        <v>102</v>
      </c>
      <c r="B23" s="16">
        <v>20000.0</v>
      </c>
      <c r="C23" s="22">
        <v>45398.0</v>
      </c>
      <c r="D23" s="15" t="s">
        <v>80</v>
      </c>
      <c r="E23" s="23" t="b">
        <v>1</v>
      </c>
    </row>
    <row r="24">
      <c r="A24" s="15" t="s">
        <v>103</v>
      </c>
      <c r="B24" s="16">
        <v>18000.0</v>
      </c>
      <c r="C24" s="22">
        <v>45397.0</v>
      </c>
      <c r="D24" s="15" t="s">
        <v>80</v>
      </c>
      <c r="E24" s="23" t="b">
        <v>1</v>
      </c>
    </row>
    <row r="25">
      <c r="A25" s="15" t="s">
        <v>104</v>
      </c>
      <c r="B25" s="16">
        <v>10000.0</v>
      </c>
      <c r="C25" s="22">
        <v>45398.0</v>
      </c>
      <c r="D25" s="15" t="s">
        <v>80</v>
      </c>
      <c r="E25" s="23" t="b">
        <v>1</v>
      </c>
    </row>
    <row r="26">
      <c r="A26" s="15" t="s">
        <v>105</v>
      </c>
      <c r="B26" s="16">
        <v>15000.0</v>
      </c>
      <c r="C26" s="22">
        <v>45398.0</v>
      </c>
      <c r="D26" s="15" t="s">
        <v>80</v>
      </c>
      <c r="E26" s="23" t="b">
        <v>1</v>
      </c>
    </row>
    <row r="27">
      <c r="A27" s="15" t="s">
        <v>106</v>
      </c>
      <c r="B27" s="16">
        <v>10000.0</v>
      </c>
      <c r="C27" s="22">
        <v>45398.0</v>
      </c>
      <c r="D27" s="15" t="s">
        <v>80</v>
      </c>
      <c r="E27" s="23" t="b">
        <v>1</v>
      </c>
    </row>
    <row r="28">
      <c r="A28" s="15" t="s">
        <v>107</v>
      </c>
      <c r="B28" s="16">
        <v>34000.0</v>
      </c>
      <c r="C28" s="22">
        <v>45399.0</v>
      </c>
      <c r="D28" s="15" t="s">
        <v>80</v>
      </c>
      <c r="E28" s="23" t="b">
        <v>1</v>
      </c>
    </row>
    <row r="29">
      <c r="A29" s="15" t="s">
        <v>108</v>
      </c>
      <c r="B29" s="16">
        <v>4000.0</v>
      </c>
      <c r="C29" s="22">
        <v>45399.0</v>
      </c>
      <c r="D29" s="15" t="s">
        <v>80</v>
      </c>
      <c r="E29" s="23" t="b">
        <v>1</v>
      </c>
    </row>
    <row r="30">
      <c r="A30" s="15" t="s">
        <v>109</v>
      </c>
      <c r="B30" s="16">
        <v>30000.0</v>
      </c>
      <c r="C30" s="22">
        <v>45400.0</v>
      </c>
      <c r="D30" s="15" t="s">
        <v>80</v>
      </c>
      <c r="E30" s="23" t="b">
        <v>1</v>
      </c>
    </row>
    <row r="31">
      <c r="A31" s="15" t="s">
        <v>110</v>
      </c>
      <c r="B31" s="16">
        <v>40000.0</v>
      </c>
      <c r="C31" s="22">
        <v>45400.0</v>
      </c>
      <c r="D31" s="15" t="s">
        <v>80</v>
      </c>
      <c r="E31" s="23" t="b">
        <v>1</v>
      </c>
    </row>
    <row r="32">
      <c r="A32" s="15" t="s">
        <v>111</v>
      </c>
      <c r="B32" s="16">
        <v>135000.0</v>
      </c>
      <c r="C32" s="22">
        <v>45400.0</v>
      </c>
      <c r="D32" s="15" t="s">
        <v>80</v>
      </c>
      <c r="E32" s="23" t="b">
        <v>1</v>
      </c>
    </row>
    <row r="33">
      <c r="A33" s="15" t="s">
        <v>112</v>
      </c>
      <c r="B33" s="16">
        <v>71000.0</v>
      </c>
      <c r="C33" s="22">
        <v>45400.0</v>
      </c>
      <c r="D33" s="15" t="s">
        <v>80</v>
      </c>
      <c r="E33" s="23" t="b">
        <v>1</v>
      </c>
    </row>
    <row r="34">
      <c r="A34" s="15" t="s">
        <v>113</v>
      </c>
      <c r="B34" s="16">
        <v>34000.0</v>
      </c>
      <c r="C34" s="22">
        <v>45399.0</v>
      </c>
      <c r="D34" s="15" t="s">
        <v>80</v>
      </c>
      <c r="E34" s="23" t="b">
        <v>1</v>
      </c>
    </row>
    <row r="35">
      <c r="A35" s="15" t="s">
        <v>114</v>
      </c>
      <c r="B35" s="16">
        <v>16000.0</v>
      </c>
      <c r="C35" s="22">
        <v>45405.0</v>
      </c>
      <c r="D35" s="15" t="s">
        <v>80</v>
      </c>
      <c r="E35" s="23" t="b">
        <v>1</v>
      </c>
    </row>
    <row r="36">
      <c r="A36" s="15" t="s">
        <v>115</v>
      </c>
      <c r="B36" s="24">
        <v>181000.0</v>
      </c>
      <c r="C36" s="25">
        <v>45405.0</v>
      </c>
      <c r="D36" s="15" t="s">
        <v>116</v>
      </c>
      <c r="E36" s="23" t="b">
        <v>1</v>
      </c>
    </row>
    <row r="37">
      <c r="A37" s="15" t="s">
        <v>117</v>
      </c>
      <c r="B37" s="16">
        <v>35000.0</v>
      </c>
      <c r="C37" s="25">
        <v>45407.0</v>
      </c>
      <c r="D37" s="15" t="s">
        <v>80</v>
      </c>
      <c r="E37" s="23" t="b">
        <v>1</v>
      </c>
    </row>
    <row r="38">
      <c r="A38" s="15" t="s">
        <v>118</v>
      </c>
      <c r="B38" s="16">
        <v>215000.0</v>
      </c>
      <c r="C38" s="25">
        <v>45407.0</v>
      </c>
      <c r="D38" s="15" t="s">
        <v>80</v>
      </c>
      <c r="E38" s="23" t="b">
        <v>1</v>
      </c>
    </row>
    <row r="39">
      <c r="A39" s="15" t="s">
        <v>119</v>
      </c>
      <c r="B39" s="16">
        <v>340000.0</v>
      </c>
      <c r="C39" s="25">
        <v>45407.0</v>
      </c>
      <c r="D39" s="15" t="s">
        <v>80</v>
      </c>
      <c r="E39" s="23" t="b">
        <v>1</v>
      </c>
    </row>
    <row r="40">
      <c r="A40" s="15" t="s">
        <v>120</v>
      </c>
      <c r="B40" s="16">
        <v>550000.0</v>
      </c>
      <c r="C40" s="25">
        <v>45407.0</v>
      </c>
      <c r="D40" s="15" t="s">
        <v>80</v>
      </c>
      <c r="E40" s="23" t="b">
        <v>1</v>
      </c>
    </row>
    <row r="41">
      <c r="A41" s="15" t="s">
        <v>121</v>
      </c>
      <c r="B41" s="16">
        <v>14000.0</v>
      </c>
      <c r="C41" s="25">
        <v>45407.0</v>
      </c>
      <c r="D41" s="15" t="s">
        <v>80</v>
      </c>
      <c r="E41" s="23" t="b">
        <v>1</v>
      </c>
    </row>
    <row r="42">
      <c r="A42" s="15" t="s">
        <v>122</v>
      </c>
      <c r="B42" s="16">
        <v>50000.0</v>
      </c>
      <c r="C42" s="25">
        <v>45407.0</v>
      </c>
      <c r="D42" s="15" t="s">
        <v>80</v>
      </c>
      <c r="E42" s="23" t="b">
        <v>1</v>
      </c>
    </row>
    <row r="43">
      <c r="A43" s="15" t="s">
        <v>123</v>
      </c>
      <c r="B43" s="16">
        <v>132000.0</v>
      </c>
      <c r="C43" s="25">
        <v>45410.0</v>
      </c>
      <c r="D43" s="15" t="s">
        <v>80</v>
      </c>
      <c r="E43" s="23" t="b">
        <v>1</v>
      </c>
    </row>
    <row r="44">
      <c r="A44" s="15" t="s">
        <v>124</v>
      </c>
      <c r="B44" s="16">
        <v>99000.0</v>
      </c>
      <c r="C44" s="25">
        <v>45409.0</v>
      </c>
      <c r="D44" s="15" t="s">
        <v>125</v>
      </c>
      <c r="E44" s="23" t="b">
        <v>1</v>
      </c>
    </row>
    <row r="45">
      <c r="A45" s="15" t="s">
        <v>126</v>
      </c>
      <c r="B45" s="16">
        <v>10000.0</v>
      </c>
      <c r="C45" s="26">
        <v>45409.0</v>
      </c>
      <c r="D45" s="27" t="s">
        <v>80</v>
      </c>
      <c r="E45" s="23" t="b">
        <v>1</v>
      </c>
    </row>
    <row r="46">
      <c r="A46" s="15" t="s">
        <v>127</v>
      </c>
      <c r="B46" s="24">
        <v>10000.0</v>
      </c>
      <c r="C46" s="25">
        <v>45410.0</v>
      </c>
      <c r="D46" s="27" t="s">
        <v>80</v>
      </c>
      <c r="E46" s="23" t="b">
        <v>1</v>
      </c>
    </row>
    <row r="47">
      <c r="A47" s="15" t="s">
        <v>127</v>
      </c>
      <c r="B47" s="24">
        <v>15000.0</v>
      </c>
      <c r="C47" s="25">
        <v>45411.0</v>
      </c>
      <c r="D47" s="28" t="s">
        <v>128</v>
      </c>
      <c r="E47" s="23" t="b">
        <v>1</v>
      </c>
    </row>
    <row r="48">
      <c r="A48" s="15" t="s">
        <v>129</v>
      </c>
      <c r="B48" s="24">
        <v>15000.0</v>
      </c>
      <c r="C48" s="25">
        <v>45411.0</v>
      </c>
      <c r="D48" s="27" t="s">
        <v>80</v>
      </c>
      <c r="E48" s="23" t="b">
        <v>1</v>
      </c>
    </row>
    <row r="49">
      <c r="A49" s="15" t="s">
        <v>130</v>
      </c>
      <c r="B49" s="16">
        <v>14000.0</v>
      </c>
      <c r="C49" s="25">
        <v>45412.0</v>
      </c>
      <c r="D49" s="27" t="s">
        <v>80</v>
      </c>
      <c r="E49" s="23" t="b">
        <v>1</v>
      </c>
    </row>
    <row r="50">
      <c r="A50" s="15" t="s">
        <v>131</v>
      </c>
      <c r="B50" s="16">
        <v>230000.0</v>
      </c>
      <c r="C50" s="25">
        <v>45412.0</v>
      </c>
      <c r="D50" s="27" t="s">
        <v>80</v>
      </c>
      <c r="E50" s="23" t="b">
        <v>1</v>
      </c>
    </row>
    <row r="51">
      <c r="A51" s="15" t="s">
        <v>132</v>
      </c>
      <c r="B51" s="16">
        <v>155000.0</v>
      </c>
      <c r="C51" s="25">
        <v>45413.0</v>
      </c>
      <c r="D51" s="27" t="s">
        <v>80</v>
      </c>
      <c r="E51" s="23" t="b">
        <v>1</v>
      </c>
    </row>
    <row r="52">
      <c r="A52" s="15" t="s">
        <v>133</v>
      </c>
      <c r="B52" s="16">
        <v>45000.0</v>
      </c>
      <c r="C52" s="25">
        <v>45413.0</v>
      </c>
      <c r="D52" s="27" t="s">
        <v>80</v>
      </c>
      <c r="E52" s="23" t="b">
        <v>1</v>
      </c>
    </row>
    <row r="53">
      <c r="A53" s="15" t="s">
        <v>134</v>
      </c>
      <c r="B53" s="16">
        <v>2000.0</v>
      </c>
      <c r="C53" s="25">
        <v>45413.0</v>
      </c>
      <c r="D53" s="27" t="s">
        <v>80</v>
      </c>
      <c r="E53" s="23" t="b">
        <v>1</v>
      </c>
    </row>
    <row r="54">
      <c r="A54" s="15" t="s">
        <v>122</v>
      </c>
      <c r="B54" s="16">
        <v>10000.0</v>
      </c>
      <c r="C54" s="25">
        <v>45413.0</v>
      </c>
      <c r="D54" s="27" t="s">
        <v>80</v>
      </c>
      <c r="E54" s="23" t="b">
        <v>1</v>
      </c>
    </row>
    <row r="55">
      <c r="A55" s="15" t="s">
        <v>135</v>
      </c>
      <c r="B55" s="16">
        <v>35000.0</v>
      </c>
      <c r="C55" s="25">
        <v>45414.0</v>
      </c>
      <c r="D55" s="27" t="s">
        <v>80</v>
      </c>
      <c r="E55" s="23" t="b">
        <v>1</v>
      </c>
    </row>
    <row r="56">
      <c r="A56" s="15" t="s">
        <v>136</v>
      </c>
      <c r="B56" s="16">
        <v>41000.0</v>
      </c>
      <c r="C56" s="25">
        <v>45414.0</v>
      </c>
      <c r="D56" s="27" t="s">
        <v>80</v>
      </c>
      <c r="E56" s="23" t="b">
        <v>1</v>
      </c>
    </row>
    <row r="57">
      <c r="A57" s="15" t="s">
        <v>137</v>
      </c>
      <c r="B57" s="16">
        <v>119000.0</v>
      </c>
      <c r="C57" s="25">
        <v>45416.0</v>
      </c>
      <c r="D57" s="27" t="s">
        <v>80</v>
      </c>
      <c r="E57" s="23" t="b">
        <v>1</v>
      </c>
    </row>
    <row r="58">
      <c r="A58" s="15" t="s">
        <v>138</v>
      </c>
      <c r="B58" s="16">
        <v>11500.0</v>
      </c>
      <c r="C58" s="25">
        <v>45416.0</v>
      </c>
      <c r="D58" s="27" t="s">
        <v>80</v>
      </c>
      <c r="E58" s="23" t="b">
        <v>1</v>
      </c>
    </row>
    <row r="59">
      <c r="A59" s="15" t="s">
        <v>139</v>
      </c>
      <c r="B59" s="16">
        <v>625000.0</v>
      </c>
      <c r="C59" s="25">
        <v>45413.0</v>
      </c>
      <c r="D59" s="27" t="s">
        <v>80</v>
      </c>
      <c r="E59" s="23" t="b">
        <v>1</v>
      </c>
    </row>
    <row r="60">
      <c r="A60" s="15" t="s">
        <v>140</v>
      </c>
      <c r="B60" s="16">
        <v>525000.0</v>
      </c>
      <c r="C60" s="25">
        <v>45413.0</v>
      </c>
      <c r="D60" s="27" t="s">
        <v>80</v>
      </c>
      <c r="E60" s="23" t="b">
        <v>1</v>
      </c>
    </row>
    <row r="61">
      <c r="A61" s="15" t="s">
        <v>141</v>
      </c>
      <c r="B61" s="16">
        <v>65000.0</v>
      </c>
      <c r="C61" s="25">
        <v>45416.0</v>
      </c>
      <c r="D61" s="27" t="s">
        <v>80</v>
      </c>
      <c r="E61" s="23" t="b">
        <v>1</v>
      </c>
    </row>
    <row r="62">
      <c r="A62" s="15" t="s">
        <v>142</v>
      </c>
      <c r="B62" s="16">
        <v>105000.0</v>
      </c>
      <c r="C62" s="25">
        <v>45417.0</v>
      </c>
      <c r="D62" s="27" t="s">
        <v>80</v>
      </c>
      <c r="E62" s="23" t="b">
        <v>1</v>
      </c>
    </row>
    <row r="63">
      <c r="A63" s="15" t="s">
        <v>134</v>
      </c>
      <c r="B63" s="16">
        <v>4000.0</v>
      </c>
      <c r="C63" s="25">
        <v>45417.0</v>
      </c>
      <c r="D63" s="27" t="s">
        <v>80</v>
      </c>
      <c r="E63" s="23" t="b">
        <v>1</v>
      </c>
    </row>
    <row r="64">
      <c r="A64" s="15" t="s">
        <v>143</v>
      </c>
      <c r="B64" s="16">
        <v>15000.0</v>
      </c>
      <c r="C64" s="25">
        <v>45417.0</v>
      </c>
      <c r="D64" s="27" t="s">
        <v>80</v>
      </c>
      <c r="E64" s="23" t="b">
        <v>1</v>
      </c>
    </row>
    <row r="65">
      <c r="A65" s="15" t="s">
        <v>144</v>
      </c>
      <c r="B65" s="16">
        <v>127000.0</v>
      </c>
      <c r="C65" s="25">
        <v>45419.0</v>
      </c>
      <c r="D65" s="27" t="s">
        <v>80</v>
      </c>
      <c r="E65" s="23" t="b">
        <v>1</v>
      </c>
    </row>
    <row r="66">
      <c r="A66" s="15" t="s">
        <v>145</v>
      </c>
      <c r="B66" s="16">
        <v>435000.0</v>
      </c>
      <c r="C66" s="25">
        <v>45419.0</v>
      </c>
      <c r="D66" s="27" t="s">
        <v>80</v>
      </c>
      <c r="E66" s="23" t="b">
        <v>1</v>
      </c>
    </row>
    <row r="67">
      <c r="A67" s="15" t="s">
        <v>46</v>
      </c>
      <c r="B67" s="16">
        <v>4000.0</v>
      </c>
      <c r="C67" s="25">
        <v>45419.0</v>
      </c>
      <c r="D67" s="27" t="s">
        <v>80</v>
      </c>
      <c r="E67" s="23" t="b">
        <v>1</v>
      </c>
    </row>
    <row r="68">
      <c r="A68" s="15" t="s">
        <v>146</v>
      </c>
      <c r="B68" s="16">
        <v>60000.0</v>
      </c>
      <c r="C68" s="25">
        <v>45420.0</v>
      </c>
      <c r="D68" s="27" t="s">
        <v>80</v>
      </c>
      <c r="E68" s="23" t="b">
        <v>1</v>
      </c>
    </row>
    <row r="69">
      <c r="A69" s="15" t="s">
        <v>147</v>
      </c>
      <c r="B69" s="16">
        <v>20000.0</v>
      </c>
      <c r="C69" s="25">
        <v>45420.0</v>
      </c>
      <c r="D69" s="27" t="s">
        <v>80</v>
      </c>
      <c r="E69" s="23" t="b">
        <v>1</v>
      </c>
    </row>
    <row r="70">
      <c r="A70" s="15" t="s">
        <v>148</v>
      </c>
      <c r="B70" s="16">
        <v>490000.0</v>
      </c>
      <c r="C70" s="25">
        <v>45420.0</v>
      </c>
      <c r="D70" s="27" t="s">
        <v>80</v>
      </c>
      <c r="E70" s="23" t="b">
        <v>1</v>
      </c>
    </row>
    <row r="71">
      <c r="A71" s="15" t="s">
        <v>149</v>
      </c>
      <c r="B71" s="16">
        <v>33000.0</v>
      </c>
      <c r="C71" s="25">
        <v>45422.0</v>
      </c>
      <c r="D71" s="27" t="s">
        <v>80</v>
      </c>
      <c r="E71" s="23" t="b">
        <v>1</v>
      </c>
    </row>
    <row r="72">
      <c r="A72" s="15" t="s">
        <v>150</v>
      </c>
      <c r="B72" s="16">
        <v>65000.0</v>
      </c>
      <c r="C72" s="25">
        <v>45423.0</v>
      </c>
      <c r="D72" s="27" t="s">
        <v>80</v>
      </c>
      <c r="E72" s="23" t="b">
        <v>1</v>
      </c>
    </row>
    <row r="73">
      <c r="A73" s="15" t="s">
        <v>151</v>
      </c>
      <c r="B73" s="16">
        <v>55000.0</v>
      </c>
      <c r="C73" s="25">
        <v>45423.0</v>
      </c>
      <c r="D73" s="27" t="s">
        <v>80</v>
      </c>
      <c r="E73" s="23" t="b">
        <v>1</v>
      </c>
    </row>
    <row r="74">
      <c r="A74" s="15" t="s">
        <v>152</v>
      </c>
      <c r="B74" s="16">
        <v>87000.0</v>
      </c>
      <c r="C74" s="25">
        <v>45424.0</v>
      </c>
      <c r="D74" s="27" t="s">
        <v>80</v>
      </c>
      <c r="E74" s="23" t="b">
        <v>1</v>
      </c>
    </row>
    <row r="75">
      <c r="A75" s="15" t="s">
        <v>153</v>
      </c>
      <c r="B75" s="16">
        <v>17000.0</v>
      </c>
      <c r="C75" s="25">
        <v>45424.0</v>
      </c>
      <c r="D75" s="27" t="s">
        <v>80</v>
      </c>
      <c r="E75" s="23" t="b">
        <v>1</v>
      </c>
    </row>
    <row r="76">
      <c r="A76" s="15" t="s">
        <v>154</v>
      </c>
      <c r="B76" s="16">
        <v>460000.0</v>
      </c>
      <c r="C76" s="25">
        <v>45424.0</v>
      </c>
      <c r="D76" s="28" t="s">
        <v>155</v>
      </c>
      <c r="E76" s="23" t="b">
        <v>1</v>
      </c>
    </row>
    <row r="77">
      <c r="A77" s="15" t="s">
        <v>156</v>
      </c>
      <c r="B77" s="16">
        <v>495000.0</v>
      </c>
      <c r="C77" s="25">
        <v>45425.0</v>
      </c>
      <c r="D77" s="27" t="s">
        <v>80</v>
      </c>
      <c r="E77" s="23" t="b">
        <v>1</v>
      </c>
    </row>
    <row r="78">
      <c r="A78" s="15" t="s">
        <v>157</v>
      </c>
      <c r="B78" s="16">
        <v>65000.0</v>
      </c>
      <c r="C78" s="25">
        <v>45425.0</v>
      </c>
      <c r="D78" s="27" t="s">
        <v>80</v>
      </c>
      <c r="E78" s="23" t="b">
        <v>1</v>
      </c>
    </row>
    <row r="79">
      <c r="A79" s="15" t="s">
        <v>158</v>
      </c>
      <c r="B79" s="16">
        <v>15000.0</v>
      </c>
      <c r="C79" s="25">
        <v>45426.0</v>
      </c>
      <c r="D79" s="27" t="s">
        <v>80</v>
      </c>
      <c r="E79" s="23" t="b">
        <v>1</v>
      </c>
    </row>
    <row r="80">
      <c r="A80" s="15" t="s">
        <v>159</v>
      </c>
      <c r="B80" s="16">
        <v>225000.0</v>
      </c>
      <c r="C80" s="25">
        <v>45426.0</v>
      </c>
      <c r="D80" s="27" t="s">
        <v>80</v>
      </c>
      <c r="E80" s="23" t="b">
        <v>1</v>
      </c>
    </row>
    <row r="81">
      <c r="A81" s="15" t="s">
        <v>160</v>
      </c>
      <c r="B81" s="16">
        <v>128000.0</v>
      </c>
      <c r="C81" s="25">
        <v>45426.0</v>
      </c>
      <c r="D81" s="27" t="s">
        <v>80</v>
      </c>
      <c r="E81" s="23" t="b">
        <v>1</v>
      </c>
    </row>
    <row r="82">
      <c r="A82" s="15" t="s">
        <v>161</v>
      </c>
      <c r="B82" s="16">
        <v>130000.0</v>
      </c>
      <c r="C82" s="25">
        <v>45426.0</v>
      </c>
      <c r="D82" s="27" t="s">
        <v>80</v>
      </c>
      <c r="E82" s="23" t="b">
        <v>1</v>
      </c>
    </row>
    <row r="83">
      <c r="A83" s="15" t="s">
        <v>162</v>
      </c>
      <c r="B83" s="16">
        <v>550000.0</v>
      </c>
      <c r="C83" s="25">
        <v>45426.0</v>
      </c>
      <c r="D83" s="27" t="s">
        <v>80</v>
      </c>
      <c r="E83" s="23" t="b">
        <v>1</v>
      </c>
    </row>
    <row r="84">
      <c r="A84" s="15" t="s">
        <v>163</v>
      </c>
      <c r="B84" s="16">
        <v>15000.0</v>
      </c>
      <c r="C84" s="25">
        <v>45426.0</v>
      </c>
      <c r="D84" s="27" t="s">
        <v>80</v>
      </c>
      <c r="E84" s="23" t="b">
        <v>1</v>
      </c>
    </row>
    <row r="85">
      <c r="A85" s="15" t="s">
        <v>164</v>
      </c>
      <c r="B85" s="16">
        <v>5000.0</v>
      </c>
      <c r="C85" s="25">
        <v>45427.0</v>
      </c>
      <c r="D85" s="27" t="s">
        <v>80</v>
      </c>
      <c r="E85" s="23" t="b">
        <v>1</v>
      </c>
    </row>
    <row r="86">
      <c r="A86" s="15" t="s">
        <v>165</v>
      </c>
      <c r="B86" s="16">
        <v>15000.0</v>
      </c>
      <c r="C86" s="25">
        <v>45427.0</v>
      </c>
      <c r="D86" s="27" t="s">
        <v>80</v>
      </c>
      <c r="E86" s="23" t="b">
        <v>1</v>
      </c>
    </row>
    <row r="87">
      <c r="A87" s="15" t="s">
        <v>166</v>
      </c>
      <c r="B87" s="16">
        <v>30000.0</v>
      </c>
      <c r="C87" s="25">
        <v>45427.0</v>
      </c>
      <c r="D87" s="28" t="s">
        <v>128</v>
      </c>
      <c r="E87" s="23" t="b">
        <v>1</v>
      </c>
    </row>
    <row r="88">
      <c r="A88" s="15" t="s">
        <v>167</v>
      </c>
      <c r="B88" s="24">
        <v>25000.0</v>
      </c>
      <c r="C88" s="25">
        <v>45427.0</v>
      </c>
      <c r="D88" s="27" t="s">
        <v>80</v>
      </c>
      <c r="E88" s="23" t="b">
        <v>1</v>
      </c>
    </row>
    <row r="89">
      <c r="A89" s="15" t="s">
        <v>168</v>
      </c>
      <c r="B89" s="16">
        <v>193000.0</v>
      </c>
      <c r="C89" s="25">
        <v>45428.0</v>
      </c>
      <c r="D89" s="15" t="s">
        <v>169</v>
      </c>
      <c r="E89" s="23" t="b">
        <v>1</v>
      </c>
    </row>
    <row r="90">
      <c r="A90" s="15" t="s">
        <v>170</v>
      </c>
      <c r="B90" s="16">
        <v>277000.0</v>
      </c>
      <c r="C90" s="25">
        <v>45428.0</v>
      </c>
      <c r="D90" s="27" t="s">
        <v>80</v>
      </c>
      <c r="E90" s="23" t="b">
        <v>1</v>
      </c>
    </row>
    <row r="91">
      <c r="A91" s="15" t="s">
        <v>171</v>
      </c>
      <c r="B91" s="16">
        <v>33000.0</v>
      </c>
      <c r="C91" s="25">
        <v>45428.0</v>
      </c>
      <c r="D91" s="27" t="s">
        <v>80</v>
      </c>
      <c r="E91" s="23" t="b">
        <v>1</v>
      </c>
    </row>
    <row r="92">
      <c r="A92" s="15" t="s">
        <v>172</v>
      </c>
      <c r="B92" s="16">
        <v>65000.0</v>
      </c>
      <c r="C92" s="25">
        <v>45428.0</v>
      </c>
      <c r="D92" s="27" t="s">
        <v>80</v>
      </c>
      <c r="E92" s="23" t="b">
        <v>1</v>
      </c>
    </row>
    <row r="93">
      <c r="A93" s="15" t="s">
        <v>62</v>
      </c>
      <c r="B93" s="16">
        <v>12000.0</v>
      </c>
      <c r="C93" s="25">
        <v>45428.0</v>
      </c>
      <c r="D93" s="27" t="s">
        <v>80</v>
      </c>
      <c r="E93" s="23" t="b">
        <v>1</v>
      </c>
    </row>
    <row r="94">
      <c r="A94" s="15" t="s">
        <v>173</v>
      </c>
      <c r="B94" s="16">
        <v>395000.0</v>
      </c>
      <c r="C94" s="25">
        <v>45429.0</v>
      </c>
      <c r="D94" s="28" t="s">
        <v>174</v>
      </c>
      <c r="E94" s="23" t="b">
        <v>1</v>
      </c>
    </row>
    <row r="95">
      <c r="A95" s="15" t="s">
        <v>58</v>
      </c>
      <c r="B95" s="16">
        <v>8500.0</v>
      </c>
      <c r="C95" s="25">
        <v>45430.0</v>
      </c>
      <c r="D95" s="27" t="s">
        <v>80</v>
      </c>
      <c r="E95" s="23" t="b">
        <v>1</v>
      </c>
    </row>
    <row r="96">
      <c r="A96" s="15" t="s">
        <v>46</v>
      </c>
      <c r="B96" s="16">
        <v>2000.0</v>
      </c>
      <c r="C96" s="25">
        <v>45430.0</v>
      </c>
      <c r="D96" s="27" t="s">
        <v>80</v>
      </c>
      <c r="E96" s="23" t="b">
        <v>1</v>
      </c>
    </row>
    <row r="97">
      <c r="A97" s="15" t="s">
        <v>175</v>
      </c>
      <c r="B97" s="16">
        <v>11000.0</v>
      </c>
      <c r="C97" s="25">
        <v>45430.0</v>
      </c>
      <c r="D97" s="27" t="s">
        <v>80</v>
      </c>
      <c r="E97" s="23" t="b">
        <v>1</v>
      </c>
    </row>
    <row r="98">
      <c r="A98" s="15" t="s">
        <v>176</v>
      </c>
      <c r="B98" s="16">
        <v>15000.0</v>
      </c>
      <c r="C98" s="25">
        <v>45430.0</v>
      </c>
      <c r="D98" s="27" t="s">
        <v>80</v>
      </c>
      <c r="E98" s="23" t="b">
        <v>1</v>
      </c>
    </row>
    <row r="99">
      <c r="A99" s="15" t="s">
        <v>177</v>
      </c>
      <c r="B99" s="16">
        <v>105000.0</v>
      </c>
      <c r="C99" s="25">
        <v>45431.0</v>
      </c>
      <c r="D99" s="27" t="s">
        <v>80</v>
      </c>
      <c r="E99" s="23" t="b">
        <v>1</v>
      </c>
    </row>
    <row r="100">
      <c r="A100" s="15" t="s">
        <v>178</v>
      </c>
      <c r="B100" s="16">
        <v>135000.0</v>
      </c>
      <c r="C100" s="25">
        <v>45431.0</v>
      </c>
      <c r="D100" s="27" t="s">
        <v>80</v>
      </c>
      <c r="E100" s="23" t="b">
        <v>1</v>
      </c>
    </row>
    <row r="101">
      <c r="A101" s="15" t="s">
        <v>58</v>
      </c>
      <c r="B101" s="16">
        <v>8000.0</v>
      </c>
      <c r="C101" s="25">
        <v>45431.0</v>
      </c>
      <c r="D101" s="27" t="s">
        <v>80</v>
      </c>
      <c r="E101" s="23" t="b">
        <v>1</v>
      </c>
    </row>
    <row r="102">
      <c r="A102" s="15" t="s">
        <v>179</v>
      </c>
      <c r="B102" s="16">
        <v>14000.0</v>
      </c>
      <c r="C102" s="25">
        <v>45431.0</v>
      </c>
      <c r="D102" s="27" t="s">
        <v>80</v>
      </c>
      <c r="E102" s="23" t="b">
        <v>1</v>
      </c>
    </row>
    <row r="103">
      <c r="A103" s="15" t="s">
        <v>88</v>
      </c>
      <c r="B103" s="16">
        <v>30000.0</v>
      </c>
      <c r="C103" s="25">
        <v>45431.0</v>
      </c>
      <c r="D103" s="27" t="s">
        <v>80</v>
      </c>
      <c r="E103" s="23" t="b">
        <v>1</v>
      </c>
    </row>
    <row r="104">
      <c r="A104" s="15" t="s">
        <v>180</v>
      </c>
      <c r="B104" s="16">
        <v>200000.0</v>
      </c>
      <c r="C104" s="25">
        <v>45433.0</v>
      </c>
      <c r="D104" s="27" t="s">
        <v>80</v>
      </c>
      <c r="E104" s="23" t="b">
        <v>1</v>
      </c>
    </row>
    <row r="105">
      <c r="A105" s="15" t="s">
        <v>181</v>
      </c>
      <c r="B105" s="16">
        <v>70000.0</v>
      </c>
      <c r="C105" s="25">
        <v>45433.0</v>
      </c>
      <c r="D105" s="27" t="s">
        <v>80</v>
      </c>
      <c r="E105" s="23" t="b">
        <v>1</v>
      </c>
    </row>
    <row r="106">
      <c r="A106" s="15" t="s">
        <v>182</v>
      </c>
      <c r="B106" s="16">
        <v>5000.0</v>
      </c>
      <c r="C106" s="25">
        <v>45433.0</v>
      </c>
      <c r="D106" s="27" t="s">
        <v>80</v>
      </c>
      <c r="E106" s="23" t="b">
        <v>1</v>
      </c>
    </row>
    <row r="107">
      <c r="A107" s="15" t="s">
        <v>183</v>
      </c>
      <c r="B107" s="16">
        <v>20000.0</v>
      </c>
      <c r="C107" s="25">
        <v>45433.0</v>
      </c>
      <c r="D107" s="27" t="s">
        <v>80</v>
      </c>
      <c r="E107" s="23" t="b">
        <v>1</v>
      </c>
    </row>
    <row r="108">
      <c r="A108" s="15" t="s">
        <v>184</v>
      </c>
      <c r="B108" s="16">
        <v>21000.0</v>
      </c>
      <c r="C108" s="25">
        <v>45433.0</v>
      </c>
      <c r="D108" s="27" t="s">
        <v>80</v>
      </c>
      <c r="E108" s="23" t="b">
        <v>1</v>
      </c>
    </row>
    <row r="109">
      <c r="A109" s="29" t="s">
        <v>185</v>
      </c>
      <c r="B109" s="16">
        <v>888000.0</v>
      </c>
      <c r="C109" s="25">
        <v>45433.0</v>
      </c>
      <c r="D109" s="27" t="s">
        <v>80</v>
      </c>
      <c r="E109" s="23" t="b">
        <v>1</v>
      </c>
    </row>
    <row r="110">
      <c r="A110" s="15" t="s">
        <v>186</v>
      </c>
      <c r="B110" s="16">
        <v>25000.0</v>
      </c>
      <c r="C110" s="25">
        <v>45434.0</v>
      </c>
      <c r="D110" s="27" t="s">
        <v>80</v>
      </c>
      <c r="E110" s="23" t="b">
        <v>1</v>
      </c>
    </row>
    <row r="111">
      <c r="A111" s="15" t="s">
        <v>187</v>
      </c>
      <c r="B111" s="16">
        <v>150000.0</v>
      </c>
      <c r="C111" s="25">
        <v>45434.0</v>
      </c>
      <c r="D111" s="27" t="s">
        <v>80</v>
      </c>
      <c r="E111" s="23" t="b">
        <v>1</v>
      </c>
    </row>
    <row r="112">
      <c r="A112" s="15" t="s">
        <v>62</v>
      </c>
      <c r="B112" s="16">
        <v>9500.0</v>
      </c>
      <c r="C112" s="25">
        <v>45434.0</v>
      </c>
      <c r="D112" s="27" t="s">
        <v>80</v>
      </c>
      <c r="E112" s="23" t="b">
        <v>1</v>
      </c>
    </row>
    <row r="113">
      <c r="A113" s="15" t="s">
        <v>188</v>
      </c>
      <c r="B113" s="16">
        <v>86000.0</v>
      </c>
      <c r="C113" s="25">
        <v>45433.0</v>
      </c>
      <c r="D113" s="27" t="s">
        <v>80</v>
      </c>
      <c r="E113" s="23" t="b">
        <v>1</v>
      </c>
    </row>
    <row r="114">
      <c r="A114" s="15" t="s">
        <v>189</v>
      </c>
      <c r="B114" s="16">
        <v>23000.0</v>
      </c>
      <c r="C114" s="25">
        <v>45435.0</v>
      </c>
      <c r="D114" s="27" t="s">
        <v>80</v>
      </c>
      <c r="E114" s="23" t="b">
        <v>1</v>
      </c>
    </row>
    <row r="115">
      <c r="A115" s="15" t="s">
        <v>190</v>
      </c>
      <c r="B115" s="16">
        <v>10000.0</v>
      </c>
      <c r="C115" s="25">
        <v>45435.0</v>
      </c>
      <c r="D115" s="27" t="s">
        <v>80</v>
      </c>
      <c r="E115" s="23" t="b">
        <v>1</v>
      </c>
    </row>
    <row r="116">
      <c r="A116" s="15" t="s">
        <v>191</v>
      </c>
      <c r="B116" s="16">
        <v>35000.0</v>
      </c>
      <c r="C116" s="25">
        <v>45435.0</v>
      </c>
      <c r="D116" s="27" t="s">
        <v>80</v>
      </c>
      <c r="E116" s="23" t="b">
        <v>1</v>
      </c>
    </row>
    <row r="117">
      <c r="A117" s="15" t="s">
        <v>192</v>
      </c>
      <c r="B117" s="16">
        <v>472000.0</v>
      </c>
      <c r="C117" s="25">
        <v>45435.0</v>
      </c>
      <c r="D117" s="27" t="s">
        <v>80</v>
      </c>
      <c r="E117" s="23" t="b">
        <v>1</v>
      </c>
    </row>
    <row r="118">
      <c r="A118" s="15" t="s">
        <v>193</v>
      </c>
      <c r="B118" s="16">
        <v>215000.0</v>
      </c>
      <c r="C118" s="25">
        <v>45435.0</v>
      </c>
      <c r="D118" s="27" t="s">
        <v>80</v>
      </c>
      <c r="E118" s="23" t="b">
        <v>1</v>
      </c>
    </row>
    <row r="119">
      <c r="A119" s="15" t="s">
        <v>58</v>
      </c>
      <c r="B119" s="16">
        <v>11000.0</v>
      </c>
      <c r="C119" s="25">
        <v>45435.0</v>
      </c>
      <c r="D119" s="27" t="s">
        <v>80</v>
      </c>
      <c r="E119" s="23" t="b">
        <v>1</v>
      </c>
    </row>
    <row r="120">
      <c r="A120" s="15" t="s">
        <v>194</v>
      </c>
      <c r="B120" s="16">
        <v>11000.0</v>
      </c>
      <c r="C120" s="25">
        <v>45435.0</v>
      </c>
      <c r="D120" s="27" t="s">
        <v>80</v>
      </c>
      <c r="E120" s="23" t="b">
        <v>1</v>
      </c>
    </row>
    <row r="121">
      <c r="A121" s="15" t="s">
        <v>195</v>
      </c>
      <c r="B121" s="16">
        <v>80000.0</v>
      </c>
      <c r="C121" s="25">
        <v>45437.0</v>
      </c>
      <c r="D121" s="27" t="s">
        <v>80</v>
      </c>
      <c r="E121" s="23" t="b">
        <v>1</v>
      </c>
    </row>
    <row r="122">
      <c r="A122" s="15" t="s">
        <v>196</v>
      </c>
      <c r="B122" s="16">
        <v>310000.0</v>
      </c>
      <c r="C122" s="25">
        <v>45437.0</v>
      </c>
      <c r="D122" s="27" t="s">
        <v>80</v>
      </c>
      <c r="E122" s="23" t="b">
        <v>1</v>
      </c>
    </row>
    <row r="123">
      <c r="A123" s="15" t="s">
        <v>197</v>
      </c>
      <c r="B123" s="16">
        <v>30000.0</v>
      </c>
      <c r="C123" s="25">
        <v>45437.0</v>
      </c>
      <c r="D123" s="27" t="s">
        <v>80</v>
      </c>
      <c r="E123" s="23" t="b">
        <v>1</v>
      </c>
    </row>
    <row r="124">
      <c r="A124" s="15" t="s">
        <v>198</v>
      </c>
      <c r="B124" s="16">
        <v>50000.0</v>
      </c>
      <c r="C124" s="25">
        <v>45437.0</v>
      </c>
      <c r="D124" s="27" t="s">
        <v>80</v>
      </c>
      <c r="E124" s="23" t="b">
        <v>1</v>
      </c>
    </row>
    <row r="125">
      <c r="A125" s="15" t="s">
        <v>199</v>
      </c>
      <c r="B125" s="16">
        <v>11000.0</v>
      </c>
      <c r="C125" s="25">
        <v>45437.0</v>
      </c>
      <c r="D125" s="27" t="s">
        <v>80</v>
      </c>
      <c r="E125" s="23" t="b">
        <v>1</v>
      </c>
    </row>
    <row r="126">
      <c r="A126" s="15" t="s">
        <v>200</v>
      </c>
      <c r="B126" s="16">
        <v>35000.0</v>
      </c>
      <c r="C126" s="25">
        <v>45437.0</v>
      </c>
      <c r="D126" s="27" t="s">
        <v>80</v>
      </c>
      <c r="E126" s="23" t="b">
        <v>1</v>
      </c>
    </row>
    <row r="127">
      <c r="A127" s="15" t="s">
        <v>201</v>
      </c>
      <c r="B127" s="16">
        <v>15000.0</v>
      </c>
      <c r="C127" s="25">
        <v>45438.0</v>
      </c>
      <c r="D127" s="27" t="s">
        <v>80</v>
      </c>
      <c r="E127" s="23" t="b">
        <v>0</v>
      </c>
    </row>
    <row r="128">
      <c r="A128" s="15" t="s">
        <v>202</v>
      </c>
      <c r="B128" s="16">
        <v>125000.0</v>
      </c>
      <c r="C128" s="25">
        <v>45439.0</v>
      </c>
      <c r="D128" s="27" t="s">
        <v>80</v>
      </c>
      <c r="E128" s="23" t="b">
        <v>1</v>
      </c>
    </row>
    <row r="129">
      <c r="A129" s="15" t="s">
        <v>203</v>
      </c>
      <c r="B129" s="16">
        <v>587000.0</v>
      </c>
      <c r="C129" s="25">
        <v>45440.0</v>
      </c>
      <c r="D129" s="27" t="s">
        <v>80</v>
      </c>
      <c r="E129" s="23" t="b">
        <v>1</v>
      </c>
    </row>
    <row r="130">
      <c r="A130" s="15" t="s">
        <v>204</v>
      </c>
      <c r="B130" s="16">
        <v>52000.0</v>
      </c>
      <c r="C130" s="25">
        <v>45440.0</v>
      </c>
      <c r="D130" s="27" t="s">
        <v>80</v>
      </c>
      <c r="E130" s="23" t="b">
        <v>1</v>
      </c>
    </row>
    <row r="131">
      <c r="A131" s="15" t="s">
        <v>205</v>
      </c>
      <c r="B131" s="16">
        <v>10000.0</v>
      </c>
      <c r="C131" s="25">
        <v>45440.0</v>
      </c>
      <c r="D131" s="27" t="s">
        <v>80</v>
      </c>
      <c r="E131" s="23" t="b">
        <v>1</v>
      </c>
    </row>
    <row r="132">
      <c r="A132" s="15" t="s">
        <v>206</v>
      </c>
      <c r="B132" s="16">
        <v>25500.0</v>
      </c>
      <c r="C132" s="25">
        <v>45441.0</v>
      </c>
      <c r="D132" s="27" t="s">
        <v>80</v>
      </c>
      <c r="E132" s="23" t="b">
        <v>1</v>
      </c>
    </row>
    <row r="133">
      <c r="A133" s="15" t="s">
        <v>207</v>
      </c>
      <c r="B133" s="16">
        <v>35000.0</v>
      </c>
      <c r="C133" s="25">
        <v>45441.0</v>
      </c>
      <c r="D133" s="27" t="s">
        <v>80</v>
      </c>
      <c r="E133" s="23" t="b">
        <v>1</v>
      </c>
    </row>
    <row r="134">
      <c r="A134" s="15" t="s">
        <v>208</v>
      </c>
      <c r="B134" s="16">
        <v>530000.0</v>
      </c>
      <c r="C134" s="25">
        <v>45441.0</v>
      </c>
      <c r="D134" s="27" t="s">
        <v>80</v>
      </c>
      <c r="E134" s="23" t="b">
        <v>1</v>
      </c>
    </row>
    <row r="135">
      <c r="A135" s="15" t="s">
        <v>209</v>
      </c>
      <c r="B135" s="16">
        <v>140000.0</v>
      </c>
      <c r="C135" s="25">
        <v>45441.0</v>
      </c>
      <c r="D135" s="28" t="s">
        <v>174</v>
      </c>
      <c r="E135" s="23" t="b">
        <v>1</v>
      </c>
    </row>
    <row r="136">
      <c r="A136" s="15" t="s">
        <v>210</v>
      </c>
      <c r="B136" s="16">
        <v>95000.0</v>
      </c>
      <c r="C136" s="25">
        <v>45441.0</v>
      </c>
      <c r="D136" s="27" t="s">
        <v>80</v>
      </c>
      <c r="E136" s="23" t="b">
        <v>1</v>
      </c>
    </row>
    <row r="137">
      <c r="A137" s="15" t="s">
        <v>211</v>
      </c>
      <c r="B137" s="16">
        <v>1450000.0</v>
      </c>
      <c r="C137" s="25">
        <v>45441.0</v>
      </c>
      <c r="D137" s="27" t="s">
        <v>80</v>
      </c>
      <c r="E137" s="23" t="b">
        <v>1</v>
      </c>
    </row>
    <row r="138">
      <c r="A138" s="15" t="s">
        <v>93</v>
      </c>
      <c r="B138" s="16">
        <v>100000.0</v>
      </c>
      <c r="C138" s="25">
        <v>45441.0</v>
      </c>
      <c r="D138" s="27" t="s">
        <v>80</v>
      </c>
      <c r="E138" s="23" t="b">
        <v>1</v>
      </c>
    </row>
    <row r="139">
      <c r="A139" s="15" t="s">
        <v>212</v>
      </c>
      <c r="B139" s="16">
        <v>1331000.0</v>
      </c>
      <c r="C139" s="25">
        <v>45443.0</v>
      </c>
      <c r="D139" s="27" t="s">
        <v>80</v>
      </c>
      <c r="E139" s="23" t="b">
        <v>1</v>
      </c>
    </row>
    <row r="140">
      <c r="A140" s="15" t="s">
        <v>213</v>
      </c>
      <c r="B140" s="16">
        <v>250000.0</v>
      </c>
      <c r="C140" s="25">
        <v>45444.0</v>
      </c>
      <c r="D140" s="27" t="s">
        <v>80</v>
      </c>
      <c r="E140" s="23" t="b">
        <v>1</v>
      </c>
    </row>
    <row r="141">
      <c r="A141" s="15" t="s">
        <v>214</v>
      </c>
      <c r="B141" s="16">
        <v>100000.0</v>
      </c>
      <c r="C141" s="25">
        <v>45462.0</v>
      </c>
      <c r="D141" s="27" t="s">
        <v>80</v>
      </c>
      <c r="E141" s="23" t="b">
        <v>1</v>
      </c>
    </row>
    <row r="142">
      <c r="B142" s="17"/>
      <c r="C142" s="25">
        <v>45463.0</v>
      </c>
      <c r="D142" s="27" t="s">
        <v>80</v>
      </c>
      <c r="E142" s="23" t="b">
        <v>0</v>
      </c>
    </row>
    <row r="143">
      <c r="B143" s="17"/>
      <c r="C143" s="25">
        <v>45464.0</v>
      </c>
      <c r="D143" s="27" t="s">
        <v>80</v>
      </c>
      <c r="E143" s="23" t="b">
        <v>0</v>
      </c>
    </row>
    <row r="144">
      <c r="B144" s="17"/>
      <c r="C144" s="25">
        <v>45465.0</v>
      </c>
      <c r="D144" s="27" t="s">
        <v>80</v>
      </c>
      <c r="E144" s="23" t="b">
        <v>0</v>
      </c>
    </row>
    <row r="145">
      <c r="B145" s="17"/>
      <c r="C145" s="25">
        <v>45466.0</v>
      </c>
      <c r="D145" s="27" t="s">
        <v>80</v>
      </c>
      <c r="E145" s="23" t="b">
        <v>0</v>
      </c>
    </row>
    <row r="146">
      <c r="B146" s="17"/>
      <c r="C146" s="25">
        <v>45467.0</v>
      </c>
      <c r="D146" s="27" t="s">
        <v>80</v>
      </c>
      <c r="E146" s="23" t="b">
        <v>0</v>
      </c>
    </row>
    <row r="147">
      <c r="B147" s="17"/>
      <c r="C147" s="25">
        <v>45468.0</v>
      </c>
      <c r="D147" s="27" t="s">
        <v>80</v>
      </c>
      <c r="E147" s="23" t="b">
        <v>0</v>
      </c>
    </row>
    <row r="148">
      <c r="B148" s="17"/>
      <c r="C148" s="25">
        <v>45469.0</v>
      </c>
      <c r="D148" s="27" t="s">
        <v>80</v>
      </c>
      <c r="E148" s="23" t="b">
        <v>0</v>
      </c>
    </row>
    <row r="149">
      <c r="B149" s="17"/>
      <c r="C149" s="25">
        <v>45470.0</v>
      </c>
      <c r="D149" s="27" t="s">
        <v>80</v>
      </c>
      <c r="E149" s="23" t="b">
        <v>0</v>
      </c>
    </row>
    <row r="150">
      <c r="B150" s="17"/>
      <c r="C150" s="25">
        <v>45471.0</v>
      </c>
      <c r="D150" s="27" t="s">
        <v>80</v>
      </c>
      <c r="E150" s="23" t="b">
        <v>0</v>
      </c>
    </row>
    <row r="151">
      <c r="B151" s="17"/>
      <c r="C151" s="25">
        <v>45472.0</v>
      </c>
      <c r="D151" s="27" t="s">
        <v>80</v>
      </c>
      <c r="E151" s="23" t="b">
        <v>0</v>
      </c>
    </row>
    <row r="152">
      <c r="B152" s="17"/>
      <c r="C152" s="25">
        <v>45473.0</v>
      </c>
      <c r="D152" s="27" t="s">
        <v>80</v>
      </c>
      <c r="E152" s="23" t="b">
        <v>0</v>
      </c>
    </row>
    <row r="153">
      <c r="B153" s="17"/>
      <c r="C153" s="25">
        <v>45474.0</v>
      </c>
      <c r="D153" s="27" t="s">
        <v>80</v>
      </c>
      <c r="E153" s="23" t="b">
        <v>0</v>
      </c>
    </row>
    <row r="154">
      <c r="B154" s="17"/>
      <c r="C154" s="25">
        <v>45475.0</v>
      </c>
      <c r="D154" s="27" t="s">
        <v>80</v>
      </c>
      <c r="E154" s="23" t="b">
        <v>0</v>
      </c>
    </row>
    <row r="155">
      <c r="B155" s="17"/>
      <c r="C155" s="25">
        <v>45476.0</v>
      </c>
      <c r="D155" s="27" t="s">
        <v>80</v>
      </c>
      <c r="E155" s="23" t="b">
        <v>0</v>
      </c>
    </row>
    <row r="156">
      <c r="B156" s="17"/>
      <c r="C156" s="25">
        <v>45477.0</v>
      </c>
      <c r="D156" s="27" t="s">
        <v>80</v>
      </c>
      <c r="E156" s="23" t="b">
        <v>0</v>
      </c>
    </row>
    <row r="157">
      <c r="B157" s="17"/>
      <c r="C157" s="25">
        <v>45478.0</v>
      </c>
      <c r="D157" s="27" t="s">
        <v>80</v>
      </c>
      <c r="E157" s="23" t="b">
        <v>0</v>
      </c>
    </row>
    <row r="158">
      <c r="B158" s="17"/>
      <c r="C158" s="25">
        <v>45479.0</v>
      </c>
      <c r="D158" s="27" t="s">
        <v>80</v>
      </c>
      <c r="E158" s="23" t="b">
        <v>0</v>
      </c>
    </row>
    <row r="159">
      <c r="B159" s="17"/>
      <c r="C159" s="25">
        <v>45480.0</v>
      </c>
      <c r="D159" s="27" t="s">
        <v>80</v>
      </c>
      <c r="E159" s="23" t="b">
        <v>0</v>
      </c>
    </row>
    <row r="160">
      <c r="B160" s="17"/>
      <c r="C160" s="25">
        <v>45481.0</v>
      </c>
      <c r="D160" s="27" t="s">
        <v>80</v>
      </c>
      <c r="E160" s="23" t="b">
        <v>0</v>
      </c>
    </row>
    <row r="161">
      <c r="B161" s="17"/>
      <c r="C161" s="25">
        <v>45482.0</v>
      </c>
      <c r="D161" s="27" t="s">
        <v>80</v>
      </c>
      <c r="E161" s="23" t="b">
        <v>0</v>
      </c>
    </row>
    <row r="162">
      <c r="B162" s="17"/>
      <c r="C162" s="25">
        <v>45483.0</v>
      </c>
      <c r="D162" s="27" t="s">
        <v>80</v>
      </c>
      <c r="E162" s="23" t="b">
        <v>0</v>
      </c>
    </row>
    <row r="163">
      <c r="B163" s="17"/>
      <c r="C163" s="25">
        <v>45484.0</v>
      </c>
      <c r="D163" s="27" t="s">
        <v>80</v>
      </c>
      <c r="E163" s="23" t="b">
        <v>0</v>
      </c>
    </row>
    <row r="164">
      <c r="B164" s="17"/>
      <c r="C164" s="25">
        <v>45485.0</v>
      </c>
      <c r="D164" s="27" t="s">
        <v>80</v>
      </c>
      <c r="E164" s="23" t="b">
        <v>0</v>
      </c>
    </row>
    <row r="165">
      <c r="B165" s="17"/>
      <c r="C165" s="25">
        <v>45486.0</v>
      </c>
      <c r="D165" s="27" t="s">
        <v>80</v>
      </c>
      <c r="E165" s="23" t="b">
        <v>0</v>
      </c>
    </row>
    <row r="166">
      <c r="B166" s="17"/>
      <c r="C166" s="25">
        <v>45487.0</v>
      </c>
      <c r="D166" s="27" t="s">
        <v>80</v>
      </c>
      <c r="E166" s="23" t="b">
        <v>0</v>
      </c>
    </row>
    <row r="167">
      <c r="B167" s="17"/>
      <c r="C167" s="25">
        <v>45488.0</v>
      </c>
      <c r="D167" s="27" t="s">
        <v>80</v>
      </c>
      <c r="E167" s="23" t="b">
        <v>0</v>
      </c>
    </row>
    <row r="168">
      <c r="B168" s="17"/>
      <c r="C168" s="25">
        <v>45489.0</v>
      </c>
      <c r="D168" s="27" t="s">
        <v>80</v>
      </c>
      <c r="E168" s="23" t="b">
        <v>0</v>
      </c>
    </row>
    <row r="169">
      <c r="B169" s="17"/>
      <c r="C169" s="25">
        <v>45490.0</v>
      </c>
      <c r="D169" s="27" t="s">
        <v>80</v>
      </c>
      <c r="E169" s="23" t="b">
        <v>0</v>
      </c>
    </row>
    <row r="170">
      <c r="B170" s="17"/>
      <c r="C170" s="25">
        <v>45491.0</v>
      </c>
      <c r="D170" s="27" t="s">
        <v>80</v>
      </c>
      <c r="E170" s="23" t="b">
        <v>0</v>
      </c>
    </row>
    <row r="171">
      <c r="B171" s="17"/>
      <c r="C171" s="25">
        <v>45492.0</v>
      </c>
      <c r="D171" s="27" t="s">
        <v>80</v>
      </c>
      <c r="E171" s="23" t="b">
        <v>0</v>
      </c>
    </row>
    <row r="172">
      <c r="B172" s="17"/>
      <c r="C172" s="25">
        <v>45493.0</v>
      </c>
      <c r="D172" s="27" t="s">
        <v>80</v>
      </c>
      <c r="E172" s="23" t="b">
        <v>0</v>
      </c>
    </row>
    <row r="173">
      <c r="B173" s="17"/>
      <c r="C173" s="25">
        <v>45494.0</v>
      </c>
      <c r="D173" s="27" t="s">
        <v>80</v>
      </c>
      <c r="E173" s="23" t="b">
        <v>0</v>
      </c>
    </row>
    <row r="174">
      <c r="B174" s="17"/>
      <c r="C174" s="25">
        <v>45495.0</v>
      </c>
      <c r="D174" s="27" t="s">
        <v>80</v>
      </c>
      <c r="E174" s="23" t="b">
        <v>0</v>
      </c>
    </row>
    <row r="175">
      <c r="B175" s="17"/>
      <c r="C175" s="25">
        <v>45496.0</v>
      </c>
      <c r="D175" s="27" t="s">
        <v>80</v>
      </c>
      <c r="E175" s="23" t="b">
        <v>0</v>
      </c>
    </row>
    <row r="176">
      <c r="B176" s="17"/>
      <c r="C176" s="30"/>
    </row>
    <row r="177">
      <c r="B177" s="17"/>
      <c r="C177" s="30"/>
    </row>
    <row r="178">
      <c r="B178" s="17"/>
      <c r="C178" s="30"/>
    </row>
    <row r="179">
      <c r="B179" s="17"/>
      <c r="C179" s="30"/>
    </row>
    <row r="180">
      <c r="B180" s="17"/>
      <c r="C180" s="30"/>
    </row>
    <row r="181">
      <c r="B181" s="17"/>
      <c r="C181" s="30"/>
    </row>
    <row r="182">
      <c r="B182" s="17"/>
      <c r="C182" s="30"/>
    </row>
    <row r="183">
      <c r="B183" s="17"/>
      <c r="C183" s="30"/>
    </row>
    <row r="184">
      <c r="B184" s="17"/>
      <c r="C184" s="30"/>
    </row>
    <row r="185">
      <c r="B185" s="17"/>
      <c r="C185" s="30"/>
    </row>
    <row r="186">
      <c r="B186" s="17"/>
      <c r="C186" s="30"/>
    </row>
    <row r="187">
      <c r="B187" s="17"/>
      <c r="C187" s="30"/>
    </row>
    <row r="188">
      <c r="B188" s="17"/>
      <c r="C188" s="30"/>
    </row>
    <row r="189">
      <c r="B189" s="17"/>
      <c r="C189" s="30"/>
    </row>
    <row r="190">
      <c r="B190" s="17"/>
      <c r="C190" s="30"/>
    </row>
    <row r="191">
      <c r="B191" s="17"/>
      <c r="C191" s="30"/>
    </row>
    <row r="192">
      <c r="B192" s="17"/>
      <c r="C192" s="30"/>
    </row>
    <row r="193">
      <c r="B193" s="17"/>
      <c r="C193" s="30"/>
    </row>
    <row r="194">
      <c r="B194" s="17"/>
      <c r="C194" s="30"/>
    </row>
    <row r="195">
      <c r="B195" s="17"/>
      <c r="C195" s="30"/>
    </row>
    <row r="196">
      <c r="B196" s="17"/>
      <c r="C196" s="30"/>
    </row>
    <row r="197">
      <c r="B197" s="17"/>
      <c r="C197" s="30"/>
    </row>
    <row r="198">
      <c r="B198" s="17"/>
      <c r="C198" s="30"/>
    </row>
    <row r="199">
      <c r="B199" s="17"/>
      <c r="C199" s="30"/>
    </row>
    <row r="200">
      <c r="B200" s="17"/>
      <c r="C200" s="30"/>
    </row>
    <row r="201">
      <c r="B201" s="17"/>
      <c r="C201" s="30"/>
    </row>
    <row r="202">
      <c r="B202" s="17"/>
      <c r="C202" s="30"/>
    </row>
    <row r="203">
      <c r="B203" s="17"/>
      <c r="C203" s="30"/>
    </row>
    <row r="204">
      <c r="B204" s="17"/>
      <c r="C204" s="30"/>
    </row>
    <row r="205">
      <c r="B205" s="17"/>
      <c r="C205" s="30"/>
    </row>
    <row r="206">
      <c r="B206" s="17"/>
      <c r="C206" s="30"/>
    </row>
    <row r="207">
      <c r="B207" s="17"/>
      <c r="C207" s="30"/>
    </row>
    <row r="208">
      <c r="B208" s="17"/>
      <c r="C208" s="30"/>
    </row>
    <row r="209">
      <c r="B209" s="17"/>
      <c r="C209" s="30"/>
    </row>
    <row r="210">
      <c r="B210" s="17"/>
      <c r="C210" s="30"/>
    </row>
    <row r="211">
      <c r="B211" s="17"/>
      <c r="C211" s="30"/>
    </row>
    <row r="212">
      <c r="B212" s="17"/>
      <c r="C212" s="30"/>
    </row>
    <row r="213">
      <c r="B213" s="17"/>
      <c r="C213" s="30"/>
    </row>
    <row r="214">
      <c r="B214" s="17"/>
      <c r="C214" s="30"/>
    </row>
    <row r="215">
      <c r="B215" s="17"/>
      <c r="C215" s="30"/>
    </row>
    <row r="216">
      <c r="B216" s="17"/>
      <c r="C216" s="30"/>
    </row>
    <row r="217">
      <c r="B217" s="17"/>
      <c r="C217" s="30"/>
    </row>
    <row r="218">
      <c r="B218" s="17"/>
      <c r="C218" s="30"/>
    </row>
    <row r="219">
      <c r="B219" s="17"/>
      <c r="C219" s="30"/>
    </row>
    <row r="220">
      <c r="B220" s="17"/>
      <c r="C220" s="30"/>
    </row>
    <row r="221">
      <c r="B221" s="17"/>
      <c r="C221" s="30"/>
    </row>
    <row r="222">
      <c r="B222" s="17"/>
      <c r="C222" s="30"/>
    </row>
    <row r="223">
      <c r="B223" s="17"/>
      <c r="C223" s="30"/>
    </row>
    <row r="224">
      <c r="B224" s="17"/>
      <c r="C224" s="30"/>
    </row>
    <row r="225">
      <c r="B225" s="17"/>
      <c r="C225" s="30"/>
    </row>
    <row r="226">
      <c r="B226" s="17"/>
      <c r="C226" s="30"/>
    </row>
    <row r="227">
      <c r="B227" s="17"/>
      <c r="C227" s="30"/>
    </row>
    <row r="228">
      <c r="B228" s="17"/>
      <c r="C228" s="30"/>
    </row>
    <row r="229">
      <c r="B229" s="17"/>
      <c r="C229" s="30"/>
    </row>
    <row r="230">
      <c r="B230" s="17"/>
      <c r="C230" s="30"/>
    </row>
    <row r="231">
      <c r="B231" s="17"/>
      <c r="C231" s="30"/>
    </row>
    <row r="232">
      <c r="B232" s="17"/>
      <c r="C232" s="30"/>
    </row>
    <row r="233">
      <c r="B233" s="17"/>
      <c r="C233" s="30"/>
    </row>
    <row r="234">
      <c r="B234" s="17"/>
      <c r="C234" s="30"/>
    </row>
    <row r="235">
      <c r="B235" s="17"/>
      <c r="C235" s="30"/>
    </row>
    <row r="236">
      <c r="B236" s="17"/>
      <c r="C236" s="30"/>
    </row>
    <row r="237">
      <c r="B237" s="17"/>
      <c r="C237" s="30"/>
    </row>
    <row r="238">
      <c r="B238" s="17"/>
      <c r="C238" s="30"/>
    </row>
    <row r="239">
      <c r="B239" s="17"/>
      <c r="C239" s="30"/>
    </row>
    <row r="240">
      <c r="B240" s="17"/>
      <c r="C240" s="30"/>
    </row>
    <row r="241">
      <c r="B241" s="17"/>
      <c r="C241" s="30"/>
    </row>
    <row r="242">
      <c r="B242" s="17"/>
      <c r="C242" s="30"/>
    </row>
    <row r="243">
      <c r="B243" s="17"/>
      <c r="C243" s="30"/>
    </row>
    <row r="244">
      <c r="B244" s="17"/>
      <c r="C244" s="30"/>
    </row>
    <row r="245">
      <c r="B245" s="17"/>
      <c r="C245" s="30"/>
    </row>
    <row r="246">
      <c r="B246" s="17"/>
      <c r="C246" s="30"/>
    </row>
    <row r="247">
      <c r="B247" s="17"/>
      <c r="C247" s="30"/>
    </row>
    <row r="248">
      <c r="B248" s="17"/>
      <c r="C248" s="30"/>
    </row>
    <row r="249">
      <c r="B249" s="17"/>
      <c r="C249" s="30"/>
    </row>
    <row r="250">
      <c r="B250" s="17"/>
      <c r="C250" s="30"/>
    </row>
    <row r="251">
      <c r="B251" s="17"/>
      <c r="C251" s="30"/>
    </row>
    <row r="252">
      <c r="B252" s="17"/>
      <c r="C252" s="30"/>
    </row>
    <row r="253">
      <c r="B253" s="17"/>
      <c r="C253" s="30"/>
    </row>
    <row r="254">
      <c r="B254" s="17"/>
      <c r="C254" s="30"/>
    </row>
    <row r="255">
      <c r="B255" s="17"/>
      <c r="C255" s="30"/>
    </row>
    <row r="256">
      <c r="B256" s="17"/>
      <c r="C256" s="30"/>
    </row>
    <row r="257">
      <c r="B257" s="17"/>
      <c r="C257" s="30"/>
    </row>
    <row r="258">
      <c r="B258" s="17"/>
      <c r="C258" s="30"/>
    </row>
    <row r="259">
      <c r="B259" s="17"/>
      <c r="C259" s="30"/>
    </row>
    <row r="260">
      <c r="B260" s="17"/>
      <c r="C260" s="30"/>
    </row>
    <row r="261">
      <c r="B261" s="17"/>
      <c r="C261" s="30"/>
    </row>
    <row r="262">
      <c r="B262" s="17"/>
      <c r="C262" s="30"/>
    </row>
    <row r="263">
      <c r="B263" s="17"/>
      <c r="C263" s="30"/>
    </row>
    <row r="264">
      <c r="B264" s="17"/>
      <c r="C264" s="30"/>
    </row>
    <row r="265">
      <c r="B265" s="17"/>
      <c r="C265" s="30"/>
    </row>
    <row r="266">
      <c r="B266" s="17"/>
      <c r="C266" s="30"/>
    </row>
    <row r="267">
      <c r="B267" s="17"/>
      <c r="C267" s="30"/>
    </row>
    <row r="268">
      <c r="B268" s="17"/>
      <c r="C268" s="30"/>
    </row>
    <row r="269">
      <c r="B269" s="17"/>
      <c r="C269" s="30"/>
    </row>
    <row r="270">
      <c r="B270" s="17"/>
      <c r="C270" s="30"/>
    </row>
    <row r="271">
      <c r="B271" s="17"/>
      <c r="C271" s="30"/>
    </row>
    <row r="272">
      <c r="B272" s="17"/>
      <c r="C272" s="30"/>
    </row>
    <row r="273">
      <c r="B273" s="17"/>
      <c r="C273" s="30"/>
    </row>
    <row r="274">
      <c r="B274" s="17"/>
      <c r="C274" s="30"/>
    </row>
    <row r="275">
      <c r="B275" s="17"/>
      <c r="C275" s="30"/>
    </row>
    <row r="276">
      <c r="B276" s="17"/>
      <c r="C276" s="30"/>
    </row>
    <row r="277">
      <c r="B277" s="17"/>
      <c r="C277" s="30"/>
    </row>
    <row r="278">
      <c r="B278" s="17"/>
      <c r="C278" s="30"/>
    </row>
    <row r="279">
      <c r="B279" s="17"/>
      <c r="C279" s="30"/>
    </row>
    <row r="280">
      <c r="B280" s="17"/>
      <c r="C280" s="30"/>
    </row>
    <row r="281">
      <c r="B281" s="17"/>
      <c r="C281" s="30"/>
    </row>
    <row r="282">
      <c r="B282" s="17"/>
      <c r="C282" s="30"/>
    </row>
    <row r="283">
      <c r="B283" s="17"/>
      <c r="C283" s="30"/>
    </row>
    <row r="284">
      <c r="B284" s="17"/>
      <c r="C284" s="30"/>
    </row>
    <row r="285">
      <c r="B285" s="17"/>
      <c r="C285" s="30"/>
    </row>
    <row r="286">
      <c r="B286" s="17"/>
      <c r="C286" s="30"/>
    </row>
    <row r="287">
      <c r="B287" s="17"/>
      <c r="C287" s="30"/>
    </row>
    <row r="288">
      <c r="B288" s="17"/>
      <c r="C288" s="30"/>
    </row>
    <row r="289">
      <c r="B289" s="17"/>
      <c r="C289" s="30"/>
    </row>
    <row r="290">
      <c r="B290" s="17"/>
      <c r="C290" s="30"/>
    </row>
    <row r="291">
      <c r="B291" s="17"/>
      <c r="C291" s="30"/>
    </row>
    <row r="292">
      <c r="B292" s="17"/>
      <c r="C292" s="30"/>
    </row>
    <row r="293">
      <c r="B293" s="17"/>
      <c r="C293" s="30"/>
    </row>
    <row r="294">
      <c r="B294" s="17"/>
      <c r="C294" s="30"/>
    </row>
    <row r="295">
      <c r="B295" s="17"/>
      <c r="C295" s="30"/>
    </row>
    <row r="296">
      <c r="B296" s="17"/>
      <c r="C296" s="30"/>
    </row>
    <row r="297">
      <c r="B297" s="17"/>
      <c r="C297" s="30"/>
    </row>
    <row r="298">
      <c r="B298" s="17"/>
      <c r="C298" s="30"/>
    </row>
    <row r="299">
      <c r="B299" s="17"/>
      <c r="C299" s="30"/>
    </row>
    <row r="300">
      <c r="B300" s="17"/>
      <c r="C300" s="30"/>
    </row>
    <row r="301">
      <c r="B301" s="17"/>
      <c r="C301" s="30"/>
    </row>
    <row r="302">
      <c r="B302" s="17"/>
      <c r="C302" s="30"/>
    </row>
    <row r="303">
      <c r="B303" s="17"/>
      <c r="C303" s="30"/>
    </row>
    <row r="304">
      <c r="B304" s="17"/>
      <c r="C304" s="30"/>
    </row>
    <row r="305">
      <c r="B305" s="17"/>
      <c r="C305" s="30"/>
    </row>
    <row r="306">
      <c r="B306" s="17"/>
      <c r="C306" s="30"/>
    </row>
    <row r="307">
      <c r="B307" s="17"/>
      <c r="C307" s="30"/>
    </row>
    <row r="308">
      <c r="B308" s="17"/>
      <c r="C308" s="30"/>
    </row>
    <row r="309">
      <c r="B309" s="17"/>
      <c r="C309" s="30"/>
    </row>
    <row r="310">
      <c r="B310" s="17"/>
      <c r="C310" s="30"/>
    </row>
    <row r="311">
      <c r="B311" s="17"/>
      <c r="C311" s="30"/>
    </row>
    <row r="312">
      <c r="B312" s="17"/>
      <c r="C312" s="30"/>
    </row>
    <row r="313">
      <c r="B313" s="17"/>
      <c r="C313" s="30"/>
    </row>
    <row r="314">
      <c r="B314" s="17"/>
      <c r="C314" s="30"/>
    </row>
    <row r="315">
      <c r="B315" s="17"/>
      <c r="C315" s="30"/>
    </row>
    <row r="316">
      <c r="B316" s="17"/>
      <c r="C316" s="30"/>
    </row>
    <row r="317">
      <c r="B317" s="17"/>
      <c r="C317" s="30"/>
    </row>
    <row r="318">
      <c r="B318" s="17"/>
      <c r="C318" s="30"/>
    </row>
    <row r="319">
      <c r="B319" s="17"/>
      <c r="C319" s="30"/>
    </row>
    <row r="320">
      <c r="B320" s="17"/>
      <c r="C320" s="30"/>
    </row>
    <row r="321">
      <c r="B321" s="17"/>
      <c r="C321" s="30"/>
    </row>
    <row r="322">
      <c r="B322" s="17"/>
      <c r="C322" s="30"/>
    </row>
    <row r="323">
      <c r="B323" s="17"/>
      <c r="C323" s="30"/>
    </row>
    <row r="324">
      <c r="B324" s="17"/>
      <c r="C324" s="30"/>
    </row>
    <row r="325">
      <c r="B325" s="17"/>
      <c r="C325" s="30"/>
    </row>
    <row r="326">
      <c r="B326" s="17"/>
      <c r="C326" s="30"/>
    </row>
    <row r="327">
      <c r="B327" s="17"/>
      <c r="C327" s="30"/>
    </row>
    <row r="328">
      <c r="B328" s="17"/>
      <c r="C328" s="30"/>
    </row>
    <row r="329">
      <c r="B329" s="17"/>
      <c r="C329" s="30"/>
    </row>
    <row r="330">
      <c r="B330" s="17"/>
      <c r="C330" s="30"/>
    </row>
    <row r="331">
      <c r="B331" s="17"/>
      <c r="C331" s="30"/>
    </row>
    <row r="332">
      <c r="B332" s="17"/>
      <c r="C332" s="30"/>
    </row>
    <row r="333">
      <c r="B333" s="17"/>
      <c r="C333" s="30"/>
    </row>
    <row r="334">
      <c r="B334" s="17"/>
      <c r="C334" s="30"/>
    </row>
    <row r="335">
      <c r="B335" s="17"/>
      <c r="C335" s="30"/>
    </row>
    <row r="336">
      <c r="B336" s="17"/>
      <c r="C336" s="30"/>
    </row>
    <row r="337">
      <c r="B337" s="17"/>
      <c r="C337" s="30"/>
    </row>
    <row r="338">
      <c r="B338" s="17"/>
      <c r="C338" s="30"/>
    </row>
    <row r="339">
      <c r="B339" s="17"/>
      <c r="C339" s="30"/>
    </row>
    <row r="340">
      <c r="B340" s="17"/>
      <c r="C340" s="30"/>
    </row>
    <row r="341">
      <c r="B341" s="17"/>
      <c r="C341" s="30"/>
    </row>
    <row r="342">
      <c r="B342" s="17"/>
      <c r="C342" s="30"/>
    </row>
    <row r="343">
      <c r="B343" s="17"/>
      <c r="C343" s="30"/>
    </row>
    <row r="344">
      <c r="B344" s="17"/>
      <c r="C344" s="30"/>
    </row>
    <row r="345">
      <c r="B345" s="17"/>
      <c r="C345" s="30"/>
    </row>
    <row r="346">
      <c r="B346" s="17"/>
      <c r="C346" s="30"/>
    </row>
    <row r="347">
      <c r="B347" s="17"/>
      <c r="C347" s="30"/>
    </row>
    <row r="348">
      <c r="B348" s="17"/>
      <c r="C348" s="30"/>
    </row>
    <row r="349">
      <c r="B349" s="17"/>
      <c r="C349" s="30"/>
    </row>
    <row r="350">
      <c r="B350" s="17"/>
      <c r="C350" s="30"/>
    </row>
    <row r="351">
      <c r="B351" s="17"/>
      <c r="C351" s="30"/>
    </row>
    <row r="352">
      <c r="B352" s="17"/>
      <c r="C352" s="30"/>
    </row>
    <row r="353">
      <c r="B353" s="17"/>
      <c r="C353" s="30"/>
    </row>
    <row r="354">
      <c r="B354" s="17"/>
      <c r="C354" s="30"/>
    </row>
    <row r="355">
      <c r="B355" s="17"/>
      <c r="C355" s="30"/>
    </row>
    <row r="356">
      <c r="B356" s="17"/>
      <c r="C356" s="30"/>
    </row>
    <row r="357">
      <c r="B357" s="17"/>
      <c r="C357" s="30"/>
    </row>
    <row r="358">
      <c r="B358" s="17"/>
      <c r="C358" s="30"/>
    </row>
    <row r="359">
      <c r="B359" s="17"/>
      <c r="C359" s="30"/>
    </row>
    <row r="360">
      <c r="B360" s="17"/>
      <c r="C360" s="30"/>
    </row>
    <row r="361">
      <c r="B361" s="17"/>
      <c r="C361" s="30"/>
    </row>
    <row r="362">
      <c r="B362" s="17"/>
      <c r="C362" s="30"/>
    </row>
    <row r="363">
      <c r="B363" s="17"/>
      <c r="C363" s="30"/>
    </row>
    <row r="364">
      <c r="B364" s="17"/>
      <c r="C364" s="30"/>
    </row>
    <row r="365">
      <c r="B365" s="17"/>
      <c r="C365" s="30"/>
    </row>
    <row r="366">
      <c r="B366" s="17"/>
      <c r="C366" s="30"/>
    </row>
    <row r="367">
      <c r="B367" s="17"/>
      <c r="C367" s="30"/>
    </row>
    <row r="368">
      <c r="B368" s="17"/>
      <c r="C368" s="30"/>
    </row>
    <row r="369">
      <c r="B369" s="17"/>
      <c r="C369" s="30"/>
    </row>
    <row r="370">
      <c r="B370" s="17"/>
      <c r="C370" s="30"/>
    </row>
    <row r="371">
      <c r="B371" s="17"/>
      <c r="C371" s="30"/>
    </row>
    <row r="372">
      <c r="B372" s="17"/>
      <c r="C372" s="30"/>
    </row>
    <row r="373">
      <c r="B373" s="17"/>
      <c r="C373" s="30"/>
    </row>
    <row r="374">
      <c r="B374" s="17"/>
      <c r="C374" s="30"/>
    </row>
    <row r="375">
      <c r="B375" s="17"/>
      <c r="C375" s="30"/>
    </row>
    <row r="376">
      <c r="B376" s="17"/>
      <c r="C376" s="30"/>
    </row>
    <row r="377">
      <c r="B377" s="17"/>
      <c r="C377" s="30"/>
    </row>
    <row r="378">
      <c r="B378" s="17"/>
      <c r="C378" s="30"/>
    </row>
    <row r="379">
      <c r="B379" s="17"/>
      <c r="C379" s="30"/>
    </row>
    <row r="380">
      <c r="B380" s="17"/>
      <c r="C380" s="30"/>
    </row>
    <row r="381">
      <c r="B381" s="17"/>
      <c r="C381" s="30"/>
    </row>
    <row r="382">
      <c r="B382" s="17"/>
      <c r="C382" s="30"/>
    </row>
    <row r="383">
      <c r="B383" s="17"/>
      <c r="C383" s="30"/>
    </row>
    <row r="384">
      <c r="B384" s="17"/>
      <c r="C384" s="30"/>
    </row>
    <row r="385">
      <c r="B385" s="17"/>
      <c r="C385" s="30"/>
    </row>
    <row r="386">
      <c r="B386" s="17"/>
      <c r="C386" s="30"/>
    </row>
    <row r="387">
      <c r="B387" s="17"/>
      <c r="C387" s="30"/>
    </row>
    <row r="388">
      <c r="B388" s="17"/>
      <c r="C388" s="30"/>
    </row>
    <row r="389">
      <c r="B389" s="17"/>
      <c r="C389" s="30"/>
    </row>
    <row r="390">
      <c r="B390" s="17"/>
      <c r="C390" s="30"/>
    </row>
    <row r="391">
      <c r="B391" s="17"/>
      <c r="C391" s="30"/>
    </row>
    <row r="392">
      <c r="B392" s="17"/>
      <c r="C392" s="30"/>
    </row>
    <row r="393">
      <c r="B393" s="17"/>
      <c r="C393" s="30"/>
    </row>
    <row r="394">
      <c r="B394" s="17"/>
      <c r="C394" s="30"/>
    </row>
    <row r="395">
      <c r="B395" s="17"/>
      <c r="C395" s="30"/>
    </row>
    <row r="396">
      <c r="B396" s="17"/>
      <c r="C396" s="30"/>
    </row>
    <row r="397">
      <c r="B397" s="17"/>
      <c r="C397" s="30"/>
    </row>
    <row r="398">
      <c r="B398" s="17"/>
      <c r="C398" s="30"/>
    </row>
    <row r="399">
      <c r="B399" s="17"/>
      <c r="C399" s="30"/>
    </row>
    <row r="400">
      <c r="B400" s="17"/>
      <c r="C400" s="30"/>
    </row>
    <row r="401">
      <c r="B401" s="17"/>
      <c r="C401" s="30"/>
    </row>
    <row r="402">
      <c r="B402" s="17"/>
      <c r="C402" s="30"/>
    </row>
    <row r="403">
      <c r="B403" s="17"/>
      <c r="C403" s="30"/>
    </row>
    <row r="404">
      <c r="B404" s="17"/>
      <c r="C404" s="30"/>
    </row>
    <row r="405">
      <c r="B405" s="17"/>
      <c r="C405" s="30"/>
    </row>
    <row r="406">
      <c r="B406" s="17"/>
      <c r="C406" s="30"/>
    </row>
    <row r="407">
      <c r="B407" s="17"/>
      <c r="C407" s="30"/>
    </row>
    <row r="408">
      <c r="B408" s="17"/>
      <c r="C408" s="30"/>
    </row>
    <row r="409">
      <c r="B409" s="17"/>
      <c r="C409" s="30"/>
    </row>
    <row r="410">
      <c r="B410" s="17"/>
      <c r="C410" s="30"/>
    </row>
    <row r="411">
      <c r="B411" s="17"/>
      <c r="C411" s="30"/>
    </row>
    <row r="412">
      <c r="B412" s="17"/>
      <c r="C412" s="30"/>
    </row>
    <row r="413">
      <c r="B413" s="17"/>
      <c r="C413" s="30"/>
    </row>
    <row r="414">
      <c r="B414" s="17"/>
      <c r="C414" s="30"/>
    </row>
    <row r="415">
      <c r="B415" s="17"/>
      <c r="C415" s="30"/>
    </row>
    <row r="416">
      <c r="B416" s="17"/>
      <c r="C416" s="30"/>
    </row>
    <row r="417">
      <c r="B417" s="17"/>
      <c r="C417" s="30"/>
    </row>
    <row r="418">
      <c r="B418" s="17"/>
      <c r="C418" s="30"/>
    </row>
    <row r="419">
      <c r="B419" s="17"/>
      <c r="C419" s="30"/>
    </row>
    <row r="420">
      <c r="B420" s="17"/>
      <c r="C420" s="30"/>
    </row>
    <row r="421">
      <c r="B421" s="17"/>
      <c r="C421" s="30"/>
    </row>
    <row r="422">
      <c r="B422" s="17"/>
      <c r="C422" s="30"/>
    </row>
    <row r="423">
      <c r="B423" s="17"/>
      <c r="C423" s="30"/>
    </row>
    <row r="424">
      <c r="B424" s="17"/>
      <c r="C424" s="30"/>
    </row>
    <row r="425">
      <c r="B425" s="17"/>
      <c r="C425" s="30"/>
    </row>
    <row r="426">
      <c r="B426" s="17"/>
      <c r="C426" s="30"/>
    </row>
    <row r="427">
      <c r="B427" s="17"/>
      <c r="C427" s="30"/>
    </row>
    <row r="428">
      <c r="B428" s="17"/>
      <c r="C428" s="30"/>
    </row>
    <row r="429">
      <c r="B429" s="17"/>
      <c r="C429" s="30"/>
    </row>
    <row r="430">
      <c r="B430" s="17"/>
      <c r="C430" s="30"/>
    </row>
    <row r="431">
      <c r="B431" s="17"/>
      <c r="C431" s="30"/>
    </row>
    <row r="432">
      <c r="B432" s="17"/>
      <c r="C432" s="30"/>
    </row>
    <row r="433">
      <c r="B433" s="17"/>
      <c r="C433" s="30"/>
    </row>
    <row r="434">
      <c r="B434" s="17"/>
      <c r="C434" s="30"/>
    </row>
    <row r="435">
      <c r="B435" s="17"/>
      <c r="C435" s="30"/>
    </row>
    <row r="436">
      <c r="B436" s="17"/>
      <c r="C436" s="30"/>
    </row>
    <row r="437">
      <c r="B437" s="17"/>
      <c r="C437" s="30"/>
    </row>
    <row r="438">
      <c r="B438" s="17"/>
      <c r="C438" s="30"/>
    </row>
    <row r="439">
      <c r="B439" s="17"/>
      <c r="C439" s="30"/>
    </row>
    <row r="440">
      <c r="B440" s="17"/>
      <c r="C440" s="30"/>
    </row>
    <row r="441">
      <c r="B441" s="17"/>
      <c r="C441" s="30"/>
    </row>
    <row r="442">
      <c r="B442" s="17"/>
      <c r="C442" s="30"/>
    </row>
    <row r="443">
      <c r="B443" s="17"/>
      <c r="C443" s="30"/>
    </row>
    <row r="444">
      <c r="B444" s="17"/>
      <c r="C444" s="30"/>
    </row>
    <row r="445">
      <c r="B445" s="17"/>
      <c r="C445" s="30"/>
    </row>
    <row r="446">
      <c r="B446" s="17"/>
      <c r="C446" s="30"/>
    </row>
    <row r="447">
      <c r="B447" s="17"/>
      <c r="C447" s="30"/>
    </row>
    <row r="448">
      <c r="B448" s="17"/>
      <c r="C448" s="30"/>
    </row>
    <row r="449">
      <c r="B449" s="17"/>
      <c r="C449" s="30"/>
    </row>
    <row r="450">
      <c r="B450" s="17"/>
      <c r="C450" s="30"/>
    </row>
    <row r="451">
      <c r="B451" s="17"/>
      <c r="C451" s="30"/>
    </row>
    <row r="452">
      <c r="B452" s="17"/>
      <c r="C452" s="30"/>
    </row>
    <row r="453">
      <c r="B453" s="17"/>
      <c r="C453" s="30"/>
    </row>
    <row r="454">
      <c r="B454" s="17"/>
      <c r="C454" s="30"/>
    </row>
    <row r="455">
      <c r="B455" s="17"/>
      <c r="C455" s="30"/>
    </row>
    <row r="456">
      <c r="B456" s="17"/>
      <c r="C456" s="30"/>
    </row>
    <row r="457">
      <c r="B457" s="17"/>
      <c r="C457" s="30"/>
    </row>
    <row r="458">
      <c r="B458" s="17"/>
      <c r="C458" s="30"/>
    </row>
    <row r="459">
      <c r="B459" s="17"/>
      <c r="C459" s="30"/>
    </row>
    <row r="460">
      <c r="B460" s="17"/>
      <c r="C460" s="30"/>
    </row>
    <row r="461">
      <c r="B461" s="17"/>
      <c r="C461" s="30"/>
    </row>
    <row r="462">
      <c r="B462" s="17"/>
      <c r="C462" s="30"/>
    </row>
    <row r="463">
      <c r="B463" s="17"/>
      <c r="C463" s="30"/>
    </row>
    <row r="464">
      <c r="B464" s="17"/>
      <c r="C464" s="30"/>
    </row>
    <row r="465">
      <c r="B465" s="17"/>
      <c r="C465" s="30"/>
    </row>
    <row r="466">
      <c r="B466" s="17"/>
      <c r="C466" s="30"/>
    </row>
    <row r="467">
      <c r="B467" s="17"/>
      <c r="C467" s="30"/>
    </row>
    <row r="468">
      <c r="B468" s="17"/>
      <c r="C468" s="30"/>
    </row>
    <row r="469">
      <c r="B469" s="17"/>
      <c r="C469" s="30"/>
    </row>
    <row r="470">
      <c r="B470" s="17"/>
      <c r="C470" s="30"/>
    </row>
    <row r="471">
      <c r="B471" s="17"/>
      <c r="C471" s="30"/>
    </row>
    <row r="472">
      <c r="B472" s="17"/>
      <c r="C472" s="30"/>
    </row>
    <row r="473">
      <c r="B473" s="17"/>
      <c r="C473" s="30"/>
    </row>
    <row r="474">
      <c r="B474" s="17"/>
      <c r="C474" s="30"/>
    </row>
    <row r="475">
      <c r="B475" s="17"/>
      <c r="C475" s="30"/>
    </row>
    <row r="476">
      <c r="B476" s="17"/>
      <c r="C476" s="30"/>
    </row>
    <row r="477">
      <c r="B477" s="17"/>
      <c r="C477" s="30"/>
    </row>
    <row r="478">
      <c r="B478" s="17"/>
      <c r="C478" s="30"/>
    </row>
    <row r="479">
      <c r="B479" s="17"/>
      <c r="C479" s="30"/>
    </row>
    <row r="480">
      <c r="B480" s="17"/>
      <c r="C480" s="30"/>
    </row>
    <row r="481">
      <c r="B481" s="17"/>
      <c r="C481" s="30"/>
    </row>
    <row r="482">
      <c r="B482" s="17"/>
      <c r="C482" s="30"/>
    </row>
    <row r="483">
      <c r="B483" s="17"/>
      <c r="C483" s="30"/>
    </row>
    <row r="484">
      <c r="B484" s="17"/>
      <c r="C484" s="30"/>
    </row>
    <row r="485">
      <c r="B485" s="17"/>
      <c r="C485" s="30"/>
    </row>
    <row r="486">
      <c r="B486" s="17"/>
      <c r="C486" s="30"/>
    </row>
    <row r="487">
      <c r="B487" s="17"/>
      <c r="C487" s="30"/>
    </row>
    <row r="488">
      <c r="B488" s="17"/>
      <c r="C488" s="30"/>
    </row>
    <row r="489">
      <c r="B489" s="17"/>
      <c r="C489" s="30"/>
    </row>
    <row r="490">
      <c r="B490" s="17"/>
      <c r="C490" s="30"/>
    </row>
    <row r="491">
      <c r="B491" s="17"/>
      <c r="C491" s="30"/>
    </row>
    <row r="492">
      <c r="B492" s="17"/>
      <c r="C492" s="30"/>
    </row>
    <row r="493">
      <c r="B493" s="17"/>
      <c r="C493" s="30"/>
    </row>
    <row r="494">
      <c r="B494" s="17"/>
      <c r="C494" s="30"/>
    </row>
    <row r="495">
      <c r="B495" s="17"/>
      <c r="C495" s="30"/>
    </row>
    <row r="496">
      <c r="B496" s="17"/>
      <c r="C496" s="30"/>
    </row>
    <row r="497">
      <c r="B497" s="17"/>
      <c r="C497" s="30"/>
    </row>
    <row r="498">
      <c r="B498" s="17"/>
      <c r="C498" s="30"/>
    </row>
    <row r="499">
      <c r="B499" s="17"/>
      <c r="C499" s="30"/>
    </row>
    <row r="500">
      <c r="B500" s="17"/>
      <c r="C500" s="30"/>
    </row>
    <row r="501">
      <c r="B501" s="17"/>
      <c r="C501" s="30"/>
    </row>
    <row r="502">
      <c r="B502" s="17"/>
      <c r="C502" s="30"/>
    </row>
    <row r="503">
      <c r="B503" s="17"/>
      <c r="C503" s="30"/>
    </row>
    <row r="504">
      <c r="B504" s="17"/>
      <c r="C504" s="30"/>
    </row>
    <row r="505">
      <c r="B505" s="17"/>
      <c r="C505" s="30"/>
    </row>
    <row r="506">
      <c r="B506" s="17"/>
      <c r="C506" s="30"/>
    </row>
    <row r="507">
      <c r="B507" s="17"/>
      <c r="C507" s="30"/>
    </row>
    <row r="508">
      <c r="B508" s="17"/>
      <c r="C508" s="30"/>
    </row>
    <row r="509">
      <c r="B509" s="17"/>
      <c r="C509" s="30"/>
    </row>
    <row r="510">
      <c r="B510" s="17"/>
      <c r="C510" s="30"/>
    </row>
    <row r="511">
      <c r="B511" s="17"/>
      <c r="C511" s="30"/>
    </row>
    <row r="512">
      <c r="B512" s="17"/>
      <c r="C512" s="30"/>
    </row>
    <row r="513">
      <c r="B513" s="17"/>
      <c r="C513" s="30"/>
    </row>
    <row r="514">
      <c r="B514" s="17"/>
      <c r="C514" s="30"/>
    </row>
    <row r="515">
      <c r="B515" s="17"/>
      <c r="C515" s="30"/>
    </row>
    <row r="516">
      <c r="B516" s="17"/>
      <c r="C516" s="30"/>
    </row>
    <row r="517">
      <c r="B517" s="17"/>
      <c r="C517" s="30"/>
    </row>
    <row r="518">
      <c r="B518" s="17"/>
      <c r="C518" s="30"/>
    </row>
    <row r="519">
      <c r="B519" s="17"/>
      <c r="C519" s="30"/>
    </row>
    <row r="520">
      <c r="B520" s="17"/>
      <c r="C520" s="30"/>
    </row>
    <row r="521">
      <c r="B521" s="17"/>
      <c r="C521" s="30"/>
    </row>
    <row r="522">
      <c r="B522" s="17"/>
      <c r="C522" s="30"/>
    </row>
    <row r="523">
      <c r="B523" s="17"/>
      <c r="C523" s="30"/>
    </row>
    <row r="524">
      <c r="B524" s="17"/>
      <c r="C524" s="30"/>
    </row>
    <row r="525">
      <c r="B525" s="17"/>
      <c r="C525" s="30"/>
    </row>
    <row r="526">
      <c r="B526" s="17"/>
      <c r="C526" s="30"/>
    </row>
    <row r="527">
      <c r="B527" s="17"/>
      <c r="C527" s="30"/>
    </row>
    <row r="528">
      <c r="B528" s="17"/>
      <c r="C528" s="30"/>
    </row>
    <row r="529">
      <c r="B529" s="17"/>
      <c r="C529" s="30"/>
    </row>
    <row r="530">
      <c r="B530" s="17"/>
      <c r="C530" s="30"/>
    </row>
    <row r="531">
      <c r="B531" s="17"/>
      <c r="C531" s="30"/>
    </row>
    <row r="532">
      <c r="B532" s="17"/>
      <c r="C532" s="30"/>
    </row>
    <row r="533">
      <c r="B533" s="17"/>
      <c r="C533" s="30"/>
    </row>
    <row r="534">
      <c r="B534" s="17"/>
      <c r="C534" s="30"/>
    </row>
    <row r="535">
      <c r="B535" s="17"/>
      <c r="C535" s="30"/>
    </row>
    <row r="536">
      <c r="B536" s="17"/>
      <c r="C536" s="30"/>
    </row>
    <row r="537">
      <c r="B537" s="17"/>
      <c r="C537" s="30"/>
    </row>
    <row r="538">
      <c r="B538" s="17"/>
      <c r="C538" s="30"/>
    </row>
    <row r="539">
      <c r="B539" s="17"/>
      <c r="C539" s="30"/>
    </row>
    <row r="540">
      <c r="B540" s="17"/>
      <c r="C540" s="30"/>
    </row>
    <row r="541">
      <c r="B541" s="17"/>
      <c r="C541" s="30"/>
    </row>
    <row r="542">
      <c r="B542" s="17"/>
      <c r="C542" s="30"/>
    </row>
    <row r="543">
      <c r="B543" s="17"/>
      <c r="C543" s="30"/>
    </row>
    <row r="544">
      <c r="B544" s="17"/>
      <c r="C544" s="30"/>
    </row>
    <row r="545">
      <c r="B545" s="17"/>
      <c r="C545" s="30"/>
    </row>
    <row r="546">
      <c r="B546" s="17"/>
      <c r="C546" s="30"/>
    </row>
    <row r="547">
      <c r="B547" s="17"/>
      <c r="C547" s="30"/>
    </row>
    <row r="548">
      <c r="B548" s="17"/>
      <c r="C548" s="30"/>
    </row>
    <row r="549">
      <c r="B549" s="17"/>
      <c r="C549" s="30"/>
    </row>
    <row r="550">
      <c r="B550" s="17"/>
      <c r="C550" s="30"/>
    </row>
    <row r="551">
      <c r="B551" s="17"/>
      <c r="C551" s="30"/>
    </row>
    <row r="552">
      <c r="B552" s="17"/>
      <c r="C552" s="30"/>
    </row>
    <row r="553">
      <c r="B553" s="17"/>
      <c r="C553" s="30"/>
    </row>
    <row r="554">
      <c r="B554" s="17"/>
      <c r="C554" s="30"/>
    </row>
    <row r="555">
      <c r="B555" s="17"/>
      <c r="C555" s="30"/>
    </row>
    <row r="556">
      <c r="B556" s="17"/>
      <c r="C556" s="30"/>
    </row>
    <row r="557">
      <c r="B557" s="17"/>
      <c r="C557" s="30"/>
    </row>
    <row r="558">
      <c r="B558" s="17"/>
      <c r="C558" s="30"/>
    </row>
    <row r="559">
      <c r="B559" s="17"/>
      <c r="C559" s="30"/>
    </row>
    <row r="560">
      <c r="B560" s="17"/>
      <c r="C560" s="30"/>
    </row>
    <row r="561">
      <c r="B561" s="17"/>
      <c r="C561" s="30"/>
    </row>
    <row r="562">
      <c r="B562" s="17"/>
      <c r="C562" s="30"/>
    </row>
    <row r="563">
      <c r="B563" s="17"/>
      <c r="C563" s="30"/>
    </row>
    <row r="564">
      <c r="B564" s="17"/>
      <c r="C564" s="30"/>
    </row>
    <row r="565">
      <c r="B565" s="17"/>
      <c r="C565" s="30"/>
    </row>
    <row r="566">
      <c r="B566" s="17"/>
      <c r="C566" s="30"/>
    </row>
    <row r="567">
      <c r="B567" s="17"/>
      <c r="C567" s="30"/>
    </row>
    <row r="568">
      <c r="B568" s="17"/>
      <c r="C568" s="30"/>
    </row>
    <row r="569">
      <c r="B569" s="17"/>
      <c r="C569" s="30"/>
    </row>
    <row r="570">
      <c r="B570" s="17"/>
      <c r="C570" s="30"/>
    </row>
    <row r="571">
      <c r="B571" s="17"/>
      <c r="C571" s="30"/>
    </row>
    <row r="572">
      <c r="B572" s="17"/>
      <c r="C572" s="30"/>
    </row>
    <row r="573">
      <c r="B573" s="17"/>
      <c r="C573" s="30"/>
    </row>
    <row r="574">
      <c r="B574" s="17"/>
      <c r="C574" s="30"/>
    </row>
    <row r="575">
      <c r="B575" s="17"/>
      <c r="C575" s="30"/>
    </row>
    <row r="576">
      <c r="B576" s="17"/>
      <c r="C576" s="30"/>
    </row>
    <row r="577">
      <c r="B577" s="17"/>
      <c r="C577" s="30"/>
    </row>
    <row r="578">
      <c r="B578" s="17"/>
      <c r="C578" s="30"/>
    </row>
    <row r="579">
      <c r="B579" s="17"/>
      <c r="C579" s="30"/>
    </row>
    <row r="580">
      <c r="B580" s="17"/>
      <c r="C580" s="30"/>
    </row>
    <row r="581">
      <c r="B581" s="17"/>
      <c r="C581" s="30"/>
    </row>
    <row r="582">
      <c r="B582" s="17"/>
      <c r="C582" s="30"/>
    </row>
    <row r="583">
      <c r="B583" s="17"/>
      <c r="C583" s="30"/>
    </row>
    <row r="584">
      <c r="B584" s="17"/>
      <c r="C584" s="30"/>
    </row>
    <row r="585">
      <c r="B585" s="17"/>
      <c r="C585" s="30"/>
    </row>
    <row r="586">
      <c r="B586" s="17"/>
      <c r="C586" s="30"/>
    </row>
    <row r="587">
      <c r="B587" s="17"/>
      <c r="C587" s="30"/>
    </row>
    <row r="588">
      <c r="B588" s="17"/>
      <c r="C588" s="30"/>
    </row>
    <row r="589">
      <c r="B589" s="17"/>
      <c r="C589" s="30"/>
    </row>
    <row r="590">
      <c r="B590" s="17"/>
      <c r="C590" s="30"/>
    </row>
    <row r="591">
      <c r="B591" s="17"/>
      <c r="C591" s="30"/>
    </row>
    <row r="592">
      <c r="B592" s="17"/>
      <c r="C592" s="30"/>
    </row>
    <row r="593">
      <c r="B593" s="17"/>
      <c r="C593" s="30"/>
    </row>
    <row r="594">
      <c r="B594" s="17"/>
      <c r="C594" s="30"/>
    </row>
    <row r="595">
      <c r="B595" s="17"/>
      <c r="C595" s="30"/>
    </row>
    <row r="596">
      <c r="B596" s="17"/>
      <c r="C596" s="30"/>
    </row>
    <row r="597">
      <c r="B597" s="17"/>
      <c r="C597" s="30"/>
    </row>
    <row r="598">
      <c r="B598" s="17"/>
      <c r="C598" s="30"/>
    </row>
    <row r="599">
      <c r="B599" s="17"/>
      <c r="C599" s="30"/>
    </row>
    <row r="600">
      <c r="B600" s="17"/>
      <c r="C600" s="30"/>
    </row>
    <row r="601">
      <c r="B601" s="17"/>
      <c r="C601" s="30"/>
    </row>
    <row r="602">
      <c r="B602" s="17"/>
      <c r="C602" s="30"/>
    </row>
    <row r="603">
      <c r="B603" s="17"/>
      <c r="C603" s="30"/>
    </row>
    <row r="604">
      <c r="B604" s="17"/>
      <c r="C604" s="30"/>
    </row>
    <row r="605">
      <c r="B605" s="17"/>
      <c r="C605" s="30"/>
    </row>
    <row r="606">
      <c r="B606" s="17"/>
      <c r="C606" s="30"/>
    </row>
    <row r="607">
      <c r="B607" s="17"/>
      <c r="C607" s="30"/>
    </row>
    <row r="608">
      <c r="B608" s="17"/>
      <c r="C608" s="30"/>
    </row>
    <row r="609">
      <c r="B609" s="17"/>
      <c r="C609" s="30"/>
    </row>
    <row r="610">
      <c r="B610" s="17"/>
      <c r="C610" s="30"/>
    </row>
    <row r="611">
      <c r="B611" s="17"/>
      <c r="C611" s="30"/>
    </row>
    <row r="612">
      <c r="B612" s="17"/>
      <c r="C612" s="30"/>
    </row>
    <row r="613">
      <c r="B613" s="17"/>
      <c r="C613" s="30"/>
    </row>
    <row r="614">
      <c r="B614" s="17"/>
      <c r="C614" s="30"/>
    </row>
    <row r="615">
      <c r="B615" s="17"/>
      <c r="C615" s="30"/>
    </row>
    <row r="616">
      <c r="B616" s="17"/>
      <c r="C616" s="30"/>
    </row>
    <row r="617">
      <c r="B617" s="17"/>
      <c r="C617" s="30"/>
    </row>
    <row r="618">
      <c r="B618" s="17"/>
      <c r="C618" s="30"/>
    </row>
    <row r="619">
      <c r="B619" s="17"/>
      <c r="C619" s="30"/>
    </row>
    <row r="620">
      <c r="B620" s="17"/>
      <c r="C620" s="30"/>
    </row>
    <row r="621">
      <c r="B621" s="17"/>
      <c r="C621" s="30"/>
    </row>
    <row r="622">
      <c r="B622" s="17"/>
      <c r="C622" s="30"/>
    </row>
    <row r="623">
      <c r="B623" s="17"/>
      <c r="C623" s="30"/>
    </row>
    <row r="624">
      <c r="B624" s="17"/>
      <c r="C624" s="30"/>
    </row>
    <row r="625">
      <c r="B625" s="17"/>
      <c r="C625" s="30"/>
    </row>
    <row r="626">
      <c r="B626" s="17"/>
      <c r="C626" s="30"/>
    </row>
    <row r="627">
      <c r="B627" s="17"/>
      <c r="C627" s="30"/>
    </row>
    <row r="628">
      <c r="B628" s="17"/>
      <c r="C628" s="30"/>
    </row>
    <row r="629">
      <c r="B629" s="17"/>
      <c r="C629" s="30"/>
    </row>
    <row r="630">
      <c r="B630" s="17"/>
      <c r="C630" s="30"/>
    </row>
    <row r="631">
      <c r="B631" s="17"/>
      <c r="C631" s="30"/>
    </row>
    <row r="632">
      <c r="B632" s="17"/>
      <c r="C632" s="30"/>
    </row>
    <row r="633">
      <c r="B633" s="17"/>
      <c r="C633" s="30"/>
    </row>
    <row r="634">
      <c r="B634" s="17"/>
      <c r="C634" s="30"/>
    </row>
    <row r="635">
      <c r="B635" s="17"/>
      <c r="C635" s="30"/>
    </row>
    <row r="636">
      <c r="B636" s="17"/>
      <c r="C636" s="30"/>
    </row>
    <row r="637">
      <c r="B637" s="17"/>
      <c r="C637" s="30"/>
    </row>
    <row r="638">
      <c r="B638" s="17"/>
      <c r="C638" s="30"/>
    </row>
    <row r="639">
      <c r="B639" s="17"/>
      <c r="C639" s="30"/>
    </row>
    <row r="640">
      <c r="B640" s="17"/>
      <c r="C640" s="30"/>
    </row>
    <row r="641">
      <c r="B641" s="17"/>
      <c r="C641" s="30"/>
    </row>
    <row r="642">
      <c r="B642" s="17"/>
      <c r="C642" s="30"/>
    </row>
    <row r="643">
      <c r="B643" s="17"/>
      <c r="C643" s="30"/>
    </row>
    <row r="644">
      <c r="B644" s="17"/>
      <c r="C644" s="30"/>
    </row>
    <row r="645">
      <c r="B645" s="17"/>
      <c r="C645" s="30"/>
    </row>
    <row r="646">
      <c r="B646" s="17"/>
      <c r="C646" s="30"/>
    </row>
    <row r="647">
      <c r="B647" s="17"/>
      <c r="C647" s="30"/>
    </row>
    <row r="648">
      <c r="B648" s="17"/>
      <c r="C648" s="30"/>
    </row>
    <row r="649">
      <c r="B649" s="17"/>
      <c r="C649" s="30"/>
    </row>
    <row r="650">
      <c r="B650" s="17"/>
      <c r="C650" s="30"/>
    </row>
    <row r="651">
      <c r="B651" s="17"/>
      <c r="C651" s="30"/>
    </row>
    <row r="652">
      <c r="B652" s="17"/>
      <c r="C652" s="30"/>
    </row>
    <row r="653">
      <c r="B653" s="17"/>
      <c r="C653" s="30"/>
    </row>
    <row r="654">
      <c r="B654" s="17"/>
      <c r="C654" s="30"/>
    </row>
    <row r="655">
      <c r="B655" s="17"/>
      <c r="C655" s="30"/>
    </row>
    <row r="656">
      <c r="B656" s="17"/>
      <c r="C656" s="30"/>
    </row>
    <row r="657">
      <c r="B657" s="17"/>
      <c r="C657" s="30"/>
    </row>
    <row r="658">
      <c r="B658" s="17"/>
      <c r="C658" s="30"/>
    </row>
    <row r="659">
      <c r="B659" s="17"/>
      <c r="C659" s="30"/>
    </row>
    <row r="660">
      <c r="B660" s="17"/>
      <c r="C660" s="30"/>
    </row>
    <row r="661">
      <c r="B661" s="17"/>
      <c r="C661" s="30"/>
    </row>
    <row r="662">
      <c r="B662" s="17"/>
      <c r="C662" s="30"/>
    </row>
    <row r="663">
      <c r="B663" s="17"/>
      <c r="C663" s="30"/>
    </row>
    <row r="664">
      <c r="B664" s="17"/>
      <c r="C664" s="30"/>
    </row>
    <row r="665">
      <c r="B665" s="17"/>
      <c r="C665" s="30"/>
    </row>
    <row r="666">
      <c r="B666" s="17"/>
      <c r="C666" s="30"/>
    </row>
    <row r="667">
      <c r="B667" s="17"/>
      <c r="C667" s="30"/>
    </row>
    <row r="668">
      <c r="B668" s="17"/>
      <c r="C668" s="30"/>
    </row>
    <row r="669">
      <c r="B669" s="17"/>
      <c r="C669" s="30"/>
    </row>
    <row r="670">
      <c r="B670" s="17"/>
      <c r="C670" s="30"/>
    </row>
    <row r="671">
      <c r="B671" s="17"/>
      <c r="C671" s="30"/>
    </row>
    <row r="672">
      <c r="B672" s="17"/>
      <c r="C672" s="30"/>
    </row>
    <row r="673">
      <c r="B673" s="17"/>
      <c r="C673" s="30"/>
    </row>
    <row r="674">
      <c r="B674" s="17"/>
      <c r="C674" s="30"/>
    </row>
    <row r="675">
      <c r="B675" s="17"/>
      <c r="C675" s="30"/>
    </row>
    <row r="676">
      <c r="B676" s="17"/>
      <c r="C676" s="30"/>
    </row>
    <row r="677">
      <c r="B677" s="17"/>
      <c r="C677" s="30"/>
    </row>
    <row r="678">
      <c r="B678" s="17"/>
      <c r="C678" s="30"/>
    </row>
    <row r="679">
      <c r="B679" s="17"/>
      <c r="C679" s="30"/>
    </row>
    <row r="680">
      <c r="B680" s="17"/>
      <c r="C680" s="30"/>
    </row>
    <row r="681">
      <c r="B681" s="17"/>
      <c r="C681" s="30"/>
    </row>
    <row r="682">
      <c r="B682" s="17"/>
      <c r="C682" s="30"/>
    </row>
    <row r="683">
      <c r="B683" s="17"/>
      <c r="C683" s="30"/>
    </row>
    <row r="684">
      <c r="B684" s="17"/>
      <c r="C684" s="30"/>
    </row>
    <row r="685">
      <c r="B685" s="17"/>
      <c r="C685" s="30"/>
    </row>
    <row r="686">
      <c r="B686" s="17"/>
      <c r="C686" s="30"/>
    </row>
    <row r="687">
      <c r="B687" s="17"/>
      <c r="C687" s="30"/>
    </row>
    <row r="688">
      <c r="B688" s="17"/>
      <c r="C688" s="30"/>
    </row>
    <row r="689">
      <c r="B689" s="17"/>
      <c r="C689" s="30"/>
    </row>
    <row r="690">
      <c r="B690" s="17"/>
      <c r="C690" s="30"/>
    </row>
    <row r="691">
      <c r="B691" s="17"/>
      <c r="C691" s="30"/>
    </row>
    <row r="692">
      <c r="B692" s="17"/>
      <c r="C692" s="30"/>
    </row>
    <row r="693">
      <c r="B693" s="17"/>
      <c r="C693" s="30"/>
    </row>
    <row r="694">
      <c r="B694" s="17"/>
      <c r="C694" s="30"/>
    </row>
    <row r="695">
      <c r="B695" s="17"/>
      <c r="C695" s="30"/>
    </row>
    <row r="696">
      <c r="B696" s="17"/>
      <c r="C696" s="30"/>
    </row>
    <row r="697">
      <c r="B697" s="17"/>
      <c r="C697" s="30"/>
    </row>
    <row r="698">
      <c r="B698" s="17"/>
      <c r="C698" s="30"/>
    </row>
    <row r="699">
      <c r="B699" s="17"/>
      <c r="C699" s="30"/>
    </row>
    <row r="700">
      <c r="B700" s="17"/>
      <c r="C700" s="30"/>
    </row>
    <row r="701">
      <c r="B701" s="17"/>
      <c r="C701" s="30"/>
    </row>
    <row r="702">
      <c r="B702" s="17"/>
      <c r="C702" s="30"/>
    </row>
    <row r="703">
      <c r="B703" s="17"/>
      <c r="C703" s="30"/>
    </row>
    <row r="704">
      <c r="B704" s="17"/>
      <c r="C704" s="30"/>
    </row>
    <row r="705">
      <c r="B705" s="17"/>
      <c r="C705" s="30"/>
    </row>
    <row r="706">
      <c r="B706" s="17"/>
      <c r="C706" s="30"/>
    </row>
    <row r="707">
      <c r="B707" s="17"/>
      <c r="C707" s="30"/>
    </row>
    <row r="708">
      <c r="B708" s="17"/>
      <c r="C708" s="30"/>
    </row>
    <row r="709">
      <c r="B709" s="17"/>
      <c r="C709" s="30"/>
    </row>
    <row r="710">
      <c r="B710" s="17"/>
      <c r="C710" s="30"/>
    </row>
    <row r="711">
      <c r="B711" s="17"/>
      <c r="C711" s="30"/>
    </row>
    <row r="712">
      <c r="B712" s="17"/>
      <c r="C712" s="30"/>
    </row>
    <row r="713">
      <c r="B713" s="17"/>
      <c r="C713" s="30"/>
    </row>
    <row r="714">
      <c r="B714" s="17"/>
      <c r="C714" s="30"/>
    </row>
    <row r="715">
      <c r="B715" s="17"/>
      <c r="C715" s="30"/>
    </row>
    <row r="716">
      <c r="B716" s="17"/>
      <c r="C716" s="30"/>
    </row>
    <row r="717">
      <c r="B717" s="17"/>
      <c r="C717" s="30"/>
    </row>
    <row r="718">
      <c r="B718" s="17"/>
      <c r="C718" s="30"/>
    </row>
    <row r="719">
      <c r="B719" s="17"/>
      <c r="C719" s="30"/>
    </row>
    <row r="720">
      <c r="B720" s="17"/>
      <c r="C720" s="30"/>
    </row>
    <row r="721">
      <c r="B721" s="17"/>
      <c r="C721" s="30"/>
    </row>
    <row r="722">
      <c r="B722" s="17"/>
      <c r="C722" s="30"/>
    </row>
    <row r="723">
      <c r="B723" s="17"/>
      <c r="C723" s="30"/>
    </row>
    <row r="724">
      <c r="B724" s="17"/>
      <c r="C724" s="30"/>
    </row>
    <row r="725">
      <c r="B725" s="17"/>
      <c r="C725" s="30"/>
    </row>
    <row r="726">
      <c r="B726" s="17"/>
      <c r="C726" s="30"/>
    </row>
    <row r="727">
      <c r="B727" s="17"/>
      <c r="C727" s="30"/>
    </row>
    <row r="728">
      <c r="B728" s="17"/>
      <c r="C728" s="30"/>
    </row>
    <row r="729">
      <c r="B729" s="17"/>
      <c r="C729" s="30"/>
    </row>
    <row r="730">
      <c r="B730" s="17"/>
      <c r="C730" s="30"/>
    </row>
    <row r="731">
      <c r="B731" s="17"/>
      <c r="C731" s="30"/>
    </row>
    <row r="732">
      <c r="B732" s="17"/>
      <c r="C732" s="30"/>
    </row>
    <row r="733">
      <c r="B733" s="17"/>
      <c r="C733" s="30"/>
    </row>
    <row r="734">
      <c r="B734" s="17"/>
      <c r="C734" s="30"/>
    </row>
    <row r="735">
      <c r="B735" s="17"/>
      <c r="C735" s="30"/>
    </row>
    <row r="736">
      <c r="B736" s="17"/>
      <c r="C736" s="30"/>
    </row>
    <row r="737">
      <c r="B737" s="17"/>
      <c r="C737" s="30"/>
    </row>
    <row r="738">
      <c r="B738" s="17"/>
      <c r="C738" s="30"/>
    </row>
    <row r="739">
      <c r="B739" s="17"/>
      <c r="C739" s="30"/>
    </row>
    <row r="740">
      <c r="B740" s="17"/>
      <c r="C740" s="30"/>
    </row>
    <row r="741">
      <c r="B741" s="17"/>
      <c r="C741" s="30"/>
    </row>
    <row r="742">
      <c r="B742" s="17"/>
      <c r="C742" s="30"/>
    </row>
    <row r="743">
      <c r="B743" s="17"/>
      <c r="C743" s="30"/>
    </row>
    <row r="744">
      <c r="B744" s="17"/>
      <c r="C744" s="30"/>
    </row>
    <row r="745">
      <c r="B745" s="17"/>
      <c r="C745" s="30"/>
    </row>
    <row r="746">
      <c r="B746" s="17"/>
      <c r="C746" s="30"/>
    </row>
    <row r="747">
      <c r="B747" s="17"/>
      <c r="C747" s="30"/>
    </row>
    <row r="748">
      <c r="B748" s="17"/>
      <c r="C748" s="30"/>
    </row>
    <row r="749">
      <c r="B749" s="17"/>
      <c r="C749" s="30"/>
    </row>
    <row r="750">
      <c r="B750" s="17"/>
      <c r="C750" s="30"/>
    </row>
    <row r="751">
      <c r="B751" s="17"/>
      <c r="C751" s="30"/>
    </row>
    <row r="752">
      <c r="B752" s="17"/>
      <c r="C752" s="30"/>
    </row>
    <row r="753">
      <c r="B753" s="17"/>
      <c r="C753" s="30"/>
    </row>
    <row r="754">
      <c r="B754" s="17"/>
      <c r="C754" s="30"/>
    </row>
    <row r="755">
      <c r="B755" s="17"/>
      <c r="C755" s="30"/>
    </row>
    <row r="756">
      <c r="B756" s="17"/>
      <c r="C756" s="30"/>
    </row>
    <row r="757">
      <c r="B757" s="17"/>
      <c r="C757" s="30"/>
    </row>
    <row r="758">
      <c r="B758" s="17"/>
      <c r="C758" s="30"/>
    </row>
    <row r="759">
      <c r="B759" s="17"/>
      <c r="C759" s="30"/>
    </row>
    <row r="760">
      <c r="B760" s="17"/>
      <c r="C760" s="30"/>
    </row>
    <row r="761">
      <c r="B761" s="17"/>
      <c r="C761" s="30"/>
    </row>
    <row r="762">
      <c r="B762" s="17"/>
      <c r="C762" s="30"/>
    </row>
    <row r="763">
      <c r="B763" s="17"/>
      <c r="C763" s="30"/>
    </row>
    <row r="764">
      <c r="B764" s="17"/>
      <c r="C764" s="30"/>
    </row>
    <row r="765">
      <c r="B765" s="17"/>
      <c r="C765" s="30"/>
    </row>
    <row r="766">
      <c r="B766" s="17"/>
      <c r="C766" s="30"/>
    </row>
    <row r="767">
      <c r="B767" s="17"/>
      <c r="C767" s="30"/>
    </row>
    <row r="768">
      <c r="B768" s="17"/>
      <c r="C768" s="30"/>
    </row>
    <row r="769">
      <c r="B769" s="17"/>
      <c r="C769" s="30"/>
    </row>
    <row r="770">
      <c r="B770" s="17"/>
      <c r="C770" s="30"/>
    </row>
    <row r="771">
      <c r="B771" s="17"/>
      <c r="C771" s="30"/>
    </row>
    <row r="772">
      <c r="B772" s="17"/>
      <c r="C772" s="30"/>
    </row>
    <row r="773">
      <c r="B773" s="17"/>
      <c r="C773" s="30"/>
    </row>
    <row r="774">
      <c r="B774" s="17"/>
      <c r="C774" s="30"/>
    </row>
    <row r="775">
      <c r="B775" s="17"/>
      <c r="C775" s="30"/>
    </row>
    <row r="776">
      <c r="B776" s="17"/>
      <c r="C776" s="30"/>
    </row>
    <row r="777">
      <c r="B777" s="17"/>
      <c r="C777" s="30"/>
    </row>
    <row r="778">
      <c r="B778" s="17"/>
      <c r="C778" s="30"/>
    </row>
    <row r="779">
      <c r="B779" s="17"/>
      <c r="C779" s="30"/>
    </row>
    <row r="780">
      <c r="B780" s="17"/>
      <c r="C780" s="30"/>
    </row>
    <row r="781">
      <c r="B781" s="17"/>
      <c r="C781" s="30"/>
    </row>
    <row r="782">
      <c r="B782" s="17"/>
      <c r="C782" s="30"/>
    </row>
    <row r="783">
      <c r="B783" s="17"/>
      <c r="C783" s="30"/>
    </row>
    <row r="784">
      <c r="B784" s="17"/>
      <c r="C784" s="30"/>
    </row>
    <row r="785">
      <c r="B785" s="17"/>
      <c r="C785" s="30"/>
    </row>
    <row r="786">
      <c r="B786" s="17"/>
      <c r="C786" s="30"/>
    </row>
    <row r="787">
      <c r="B787" s="17"/>
      <c r="C787" s="30"/>
    </row>
    <row r="788">
      <c r="B788" s="17"/>
      <c r="C788" s="30"/>
    </row>
    <row r="789">
      <c r="B789" s="17"/>
      <c r="C789" s="30"/>
    </row>
    <row r="790">
      <c r="B790" s="17"/>
      <c r="C790" s="30"/>
    </row>
    <row r="791">
      <c r="B791" s="17"/>
      <c r="C791" s="30"/>
    </row>
    <row r="792">
      <c r="B792" s="17"/>
      <c r="C792" s="30"/>
    </row>
    <row r="793">
      <c r="B793" s="17"/>
      <c r="C793" s="30"/>
    </row>
    <row r="794">
      <c r="B794" s="17"/>
      <c r="C794" s="30"/>
    </row>
    <row r="795">
      <c r="B795" s="17"/>
      <c r="C795" s="30"/>
    </row>
    <row r="796">
      <c r="B796" s="17"/>
      <c r="C796" s="30"/>
    </row>
    <row r="797">
      <c r="B797" s="17"/>
      <c r="C797" s="30"/>
    </row>
    <row r="798">
      <c r="B798" s="17"/>
      <c r="C798" s="30"/>
    </row>
    <row r="799">
      <c r="B799" s="17"/>
      <c r="C799" s="30"/>
    </row>
    <row r="800">
      <c r="B800" s="17"/>
      <c r="C800" s="30"/>
    </row>
    <row r="801">
      <c r="B801" s="17"/>
      <c r="C801" s="30"/>
    </row>
    <row r="802">
      <c r="B802" s="17"/>
      <c r="C802" s="30"/>
    </row>
    <row r="803">
      <c r="B803" s="17"/>
      <c r="C803" s="30"/>
    </row>
    <row r="804">
      <c r="B804" s="17"/>
      <c r="C804" s="30"/>
    </row>
    <row r="805">
      <c r="B805" s="17"/>
      <c r="C805" s="30"/>
    </row>
    <row r="806">
      <c r="B806" s="17"/>
      <c r="C806" s="30"/>
    </row>
    <row r="807">
      <c r="B807" s="17"/>
      <c r="C807" s="30"/>
    </row>
    <row r="808">
      <c r="B808" s="17"/>
      <c r="C808" s="30"/>
    </row>
    <row r="809">
      <c r="B809" s="17"/>
      <c r="C809" s="30"/>
    </row>
    <row r="810">
      <c r="B810" s="17"/>
      <c r="C810" s="30"/>
    </row>
    <row r="811">
      <c r="B811" s="17"/>
      <c r="C811" s="30"/>
    </row>
    <row r="812">
      <c r="B812" s="17"/>
      <c r="C812" s="30"/>
    </row>
    <row r="813">
      <c r="B813" s="17"/>
      <c r="C813" s="30"/>
    </row>
    <row r="814">
      <c r="B814" s="17"/>
      <c r="C814" s="30"/>
    </row>
    <row r="815">
      <c r="B815" s="17"/>
      <c r="C815" s="30"/>
    </row>
    <row r="816">
      <c r="B816" s="17"/>
      <c r="C816" s="30"/>
    </row>
    <row r="817">
      <c r="B817" s="17"/>
      <c r="C817" s="30"/>
    </row>
    <row r="818">
      <c r="B818" s="17"/>
      <c r="C818" s="30"/>
    </row>
    <row r="819">
      <c r="B819" s="17"/>
      <c r="C819" s="30"/>
    </row>
    <row r="820">
      <c r="B820" s="17"/>
      <c r="C820" s="30"/>
    </row>
    <row r="821">
      <c r="B821" s="17"/>
      <c r="C821" s="30"/>
    </row>
    <row r="822">
      <c r="B822" s="17"/>
      <c r="C822" s="30"/>
    </row>
    <row r="823">
      <c r="B823" s="17"/>
      <c r="C823" s="30"/>
    </row>
    <row r="824">
      <c r="B824" s="17"/>
      <c r="C824" s="30"/>
    </row>
    <row r="825">
      <c r="B825" s="17"/>
      <c r="C825" s="30"/>
    </row>
    <row r="826">
      <c r="B826" s="17"/>
      <c r="C826" s="30"/>
    </row>
    <row r="827">
      <c r="B827" s="17"/>
      <c r="C827" s="30"/>
    </row>
    <row r="828">
      <c r="B828" s="17"/>
      <c r="C828" s="30"/>
    </row>
    <row r="829">
      <c r="B829" s="17"/>
      <c r="C829" s="30"/>
    </row>
    <row r="830">
      <c r="B830" s="17"/>
      <c r="C830" s="30"/>
    </row>
    <row r="831">
      <c r="B831" s="17"/>
      <c r="C831" s="30"/>
    </row>
    <row r="832">
      <c r="B832" s="17"/>
      <c r="C832" s="30"/>
    </row>
    <row r="833">
      <c r="B833" s="17"/>
      <c r="C833" s="30"/>
    </row>
    <row r="834">
      <c r="B834" s="17"/>
      <c r="C834" s="30"/>
    </row>
    <row r="835">
      <c r="B835" s="17"/>
      <c r="C835" s="30"/>
    </row>
    <row r="836">
      <c r="B836" s="17"/>
      <c r="C836" s="30"/>
    </row>
    <row r="837">
      <c r="B837" s="17"/>
      <c r="C837" s="30"/>
    </row>
    <row r="838">
      <c r="B838" s="17"/>
      <c r="C838" s="30"/>
    </row>
    <row r="839">
      <c r="B839" s="17"/>
      <c r="C839" s="30"/>
    </row>
    <row r="840">
      <c r="B840" s="17"/>
      <c r="C840" s="30"/>
    </row>
    <row r="841">
      <c r="B841" s="17"/>
      <c r="C841" s="30"/>
    </row>
    <row r="842">
      <c r="B842" s="17"/>
      <c r="C842" s="30"/>
    </row>
    <row r="843">
      <c r="B843" s="17"/>
      <c r="C843" s="30"/>
    </row>
    <row r="844">
      <c r="B844" s="17"/>
      <c r="C844" s="30"/>
    </row>
    <row r="845">
      <c r="B845" s="17"/>
      <c r="C845" s="30"/>
    </row>
    <row r="846">
      <c r="B846" s="17"/>
      <c r="C846" s="30"/>
    </row>
    <row r="847">
      <c r="B847" s="17"/>
      <c r="C847" s="30"/>
    </row>
    <row r="848">
      <c r="B848" s="17"/>
      <c r="C848" s="30"/>
    </row>
    <row r="849">
      <c r="B849" s="17"/>
      <c r="C849" s="30"/>
    </row>
    <row r="850">
      <c r="B850" s="17"/>
      <c r="C850" s="30"/>
    </row>
    <row r="851">
      <c r="B851" s="17"/>
      <c r="C851" s="30"/>
    </row>
    <row r="852">
      <c r="B852" s="17"/>
      <c r="C852" s="30"/>
    </row>
    <row r="853">
      <c r="B853" s="17"/>
      <c r="C853" s="30"/>
    </row>
    <row r="854">
      <c r="B854" s="17"/>
      <c r="C854" s="30"/>
    </row>
    <row r="855">
      <c r="B855" s="17"/>
      <c r="C855" s="30"/>
    </row>
    <row r="856">
      <c r="B856" s="17"/>
      <c r="C856" s="30"/>
    </row>
    <row r="857">
      <c r="B857" s="17"/>
      <c r="C857" s="30"/>
    </row>
    <row r="858">
      <c r="B858" s="17"/>
      <c r="C858" s="30"/>
    </row>
    <row r="859">
      <c r="B859" s="17"/>
      <c r="C859" s="30"/>
    </row>
    <row r="860">
      <c r="B860" s="17"/>
      <c r="C860" s="30"/>
    </row>
    <row r="861">
      <c r="B861" s="17"/>
      <c r="C861" s="30"/>
    </row>
    <row r="862">
      <c r="B862" s="17"/>
      <c r="C862" s="30"/>
    </row>
    <row r="863">
      <c r="B863" s="17"/>
      <c r="C863" s="30"/>
    </row>
    <row r="864">
      <c r="B864" s="17"/>
      <c r="C864" s="30"/>
    </row>
    <row r="865">
      <c r="B865" s="17"/>
      <c r="C865" s="30"/>
    </row>
    <row r="866">
      <c r="B866" s="17"/>
      <c r="C866" s="30"/>
    </row>
    <row r="867">
      <c r="B867" s="17"/>
      <c r="C867" s="30"/>
    </row>
    <row r="868">
      <c r="B868" s="17"/>
      <c r="C868" s="30"/>
    </row>
    <row r="869">
      <c r="B869" s="17"/>
      <c r="C869" s="30"/>
    </row>
    <row r="870">
      <c r="B870" s="17"/>
      <c r="C870" s="30"/>
    </row>
    <row r="871">
      <c r="B871" s="17"/>
      <c r="C871" s="30"/>
    </row>
    <row r="872">
      <c r="B872" s="17"/>
      <c r="C872" s="30"/>
    </row>
    <row r="873">
      <c r="B873" s="17"/>
      <c r="C873" s="30"/>
    </row>
    <row r="874">
      <c r="B874" s="17"/>
      <c r="C874" s="30"/>
    </row>
    <row r="875">
      <c r="B875" s="17"/>
      <c r="C875" s="30"/>
    </row>
    <row r="876">
      <c r="B876" s="17"/>
      <c r="C876" s="30"/>
    </row>
    <row r="877">
      <c r="B877" s="17"/>
      <c r="C877" s="30"/>
    </row>
    <row r="878">
      <c r="B878" s="17"/>
      <c r="C878" s="30"/>
    </row>
    <row r="879">
      <c r="B879" s="17"/>
      <c r="C879" s="30"/>
    </row>
    <row r="880">
      <c r="B880" s="17"/>
      <c r="C880" s="30"/>
    </row>
    <row r="881">
      <c r="B881" s="17"/>
      <c r="C881" s="30"/>
    </row>
    <row r="882">
      <c r="B882" s="17"/>
      <c r="C882" s="30"/>
    </row>
    <row r="883">
      <c r="B883" s="17"/>
      <c r="C883" s="30"/>
    </row>
    <row r="884">
      <c r="B884" s="17"/>
      <c r="C884" s="30"/>
    </row>
    <row r="885">
      <c r="B885" s="17"/>
      <c r="C885" s="30"/>
    </row>
    <row r="886">
      <c r="B886" s="17"/>
      <c r="C886" s="30"/>
    </row>
    <row r="887">
      <c r="B887" s="17"/>
      <c r="C887" s="30"/>
    </row>
    <row r="888">
      <c r="B888" s="17"/>
      <c r="C888" s="30"/>
    </row>
    <row r="889">
      <c r="B889" s="17"/>
      <c r="C889" s="30"/>
    </row>
    <row r="890">
      <c r="B890" s="17"/>
      <c r="C890" s="30"/>
    </row>
    <row r="891">
      <c r="B891" s="17"/>
      <c r="C891" s="30"/>
    </row>
    <row r="892">
      <c r="B892" s="17"/>
      <c r="C892" s="30"/>
    </row>
    <row r="893">
      <c r="B893" s="17"/>
      <c r="C893" s="30"/>
    </row>
    <row r="894">
      <c r="B894" s="17"/>
      <c r="C894" s="30"/>
    </row>
    <row r="895">
      <c r="B895" s="17"/>
      <c r="C895" s="30"/>
    </row>
    <row r="896">
      <c r="B896" s="17"/>
      <c r="C896" s="30"/>
    </row>
    <row r="897">
      <c r="B897" s="17"/>
      <c r="C897" s="30"/>
    </row>
    <row r="898">
      <c r="B898" s="17"/>
      <c r="C898" s="30"/>
    </row>
    <row r="899">
      <c r="B899" s="17"/>
      <c r="C899" s="30"/>
    </row>
    <row r="900">
      <c r="B900" s="17"/>
      <c r="C900" s="30"/>
    </row>
    <row r="901">
      <c r="B901" s="17"/>
      <c r="C901" s="30"/>
    </row>
    <row r="902">
      <c r="B902" s="17"/>
      <c r="C902" s="30"/>
    </row>
    <row r="903">
      <c r="B903" s="17"/>
      <c r="C903" s="30"/>
    </row>
    <row r="904">
      <c r="B904" s="17"/>
      <c r="C904" s="30"/>
    </row>
    <row r="905">
      <c r="B905" s="17"/>
      <c r="C905" s="30"/>
    </row>
    <row r="906">
      <c r="B906" s="17"/>
      <c r="C906" s="30"/>
    </row>
    <row r="907">
      <c r="B907" s="17"/>
      <c r="C907" s="30"/>
    </row>
    <row r="908">
      <c r="B908" s="17"/>
      <c r="C908" s="30"/>
    </row>
    <row r="909">
      <c r="B909" s="17"/>
      <c r="C909" s="30"/>
    </row>
    <row r="910">
      <c r="B910" s="17"/>
      <c r="C910" s="30"/>
    </row>
    <row r="911">
      <c r="B911" s="17"/>
      <c r="C911" s="30"/>
    </row>
    <row r="912">
      <c r="B912" s="17"/>
      <c r="C912" s="30"/>
    </row>
    <row r="913">
      <c r="B913" s="17"/>
      <c r="C913" s="30"/>
    </row>
    <row r="914">
      <c r="B914" s="17"/>
      <c r="C914" s="30"/>
    </row>
    <row r="915">
      <c r="B915" s="17"/>
      <c r="C915" s="30"/>
    </row>
    <row r="916">
      <c r="B916" s="17"/>
      <c r="C916" s="30"/>
    </row>
    <row r="917">
      <c r="B917" s="17"/>
      <c r="C917" s="30"/>
    </row>
    <row r="918">
      <c r="B918" s="17"/>
      <c r="C918" s="30"/>
    </row>
    <row r="919">
      <c r="B919" s="17"/>
      <c r="C919" s="30"/>
    </row>
    <row r="920">
      <c r="B920" s="17"/>
      <c r="C920" s="30"/>
    </row>
    <row r="921">
      <c r="B921" s="17"/>
      <c r="C921" s="30"/>
    </row>
    <row r="922">
      <c r="B922" s="17"/>
      <c r="C922" s="30"/>
    </row>
    <row r="923">
      <c r="B923" s="17"/>
      <c r="C923" s="30"/>
    </row>
    <row r="924">
      <c r="B924" s="17"/>
      <c r="C924" s="30"/>
    </row>
    <row r="925">
      <c r="B925" s="17"/>
      <c r="C925" s="30"/>
    </row>
    <row r="926">
      <c r="B926" s="17"/>
      <c r="C926" s="30"/>
    </row>
    <row r="927">
      <c r="B927" s="17"/>
      <c r="C927" s="30"/>
    </row>
    <row r="928">
      <c r="B928" s="17"/>
      <c r="C928" s="30"/>
    </row>
    <row r="929">
      <c r="B929" s="17"/>
      <c r="C929" s="30"/>
    </row>
    <row r="930">
      <c r="B930" s="17"/>
      <c r="C930" s="30"/>
    </row>
    <row r="931">
      <c r="B931" s="17"/>
      <c r="C931" s="30"/>
    </row>
    <row r="932">
      <c r="B932" s="17"/>
      <c r="C932" s="30"/>
    </row>
    <row r="933">
      <c r="B933" s="17"/>
      <c r="C933" s="30"/>
    </row>
    <row r="934">
      <c r="B934" s="17"/>
      <c r="C934" s="30"/>
    </row>
    <row r="935">
      <c r="B935" s="17"/>
      <c r="C935" s="30"/>
    </row>
    <row r="936">
      <c r="B936" s="17"/>
      <c r="C936" s="30"/>
    </row>
    <row r="937">
      <c r="B937" s="17"/>
      <c r="C937" s="30"/>
    </row>
    <row r="938">
      <c r="B938" s="17"/>
      <c r="C938" s="30"/>
    </row>
    <row r="939">
      <c r="B939" s="17"/>
      <c r="C939" s="30"/>
    </row>
    <row r="940">
      <c r="B940" s="17"/>
      <c r="C940" s="30"/>
    </row>
    <row r="941">
      <c r="B941" s="17"/>
      <c r="C941" s="30"/>
    </row>
    <row r="942">
      <c r="B942" s="17"/>
      <c r="C942" s="30"/>
    </row>
    <row r="943">
      <c r="B943" s="17"/>
      <c r="C943" s="30"/>
    </row>
    <row r="944">
      <c r="B944" s="17"/>
      <c r="C944" s="30"/>
    </row>
    <row r="945">
      <c r="B945" s="17"/>
      <c r="C945" s="30"/>
    </row>
    <row r="946">
      <c r="B946" s="17"/>
      <c r="C946" s="30"/>
    </row>
    <row r="947">
      <c r="B947" s="17"/>
      <c r="C947" s="30"/>
    </row>
    <row r="948">
      <c r="B948" s="17"/>
      <c r="C948" s="30"/>
    </row>
    <row r="949">
      <c r="B949" s="17"/>
      <c r="C949" s="30"/>
    </row>
    <row r="950">
      <c r="B950" s="17"/>
      <c r="C950" s="30"/>
    </row>
    <row r="951">
      <c r="B951" s="17"/>
      <c r="C951" s="30"/>
    </row>
    <row r="952">
      <c r="B952" s="17"/>
      <c r="C952" s="30"/>
    </row>
    <row r="953">
      <c r="B953" s="17"/>
      <c r="C953" s="30"/>
    </row>
    <row r="954">
      <c r="B954" s="17"/>
      <c r="C954" s="30"/>
    </row>
    <row r="955">
      <c r="B955" s="17"/>
      <c r="C955" s="30"/>
    </row>
    <row r="956">
      <c r="B956" s="17"/>
      <c r="C956" s="30"/>
    </row>
    <row r="957">
      <c r="B957" s="17"/>
      <c r="C957" s="30"/>
    </row>
    <row r="958">
      <c r="B958" s="17"/>
      <c r="C958" s="30"/>
    </row>
    <row r="959">
      <c r="B959" s="17"/>
      <c r="C959" s="30"/>
    </row>
    <row r="960">
      <c r="B960" s="17"/>
      <c r="C960" s="30"/>
    </row>
    <row r="961">
      <c r="B961" s="17"/>
      <c r="C961" s="30"/>
    </row>
    <row r="962">
      <c r="B962" s="17"/>
      <c r="C962" s="30"/>
    </row>
    <row r="963">
      <c r="B963" s="17"/>
      <c r="C963" s="30"/>
    </row>
    <row r="964">
      <c r="B964" s="17"/>
      <c r="C964" s="30"/>
    </row>
    <row r="965">
      <c r="B965" s="17"/>
      <c r="C965" s="30"/>
    </row>
    <row r="966">
      <c r="B966" s="17"/>
      <c r="C966" s="30"/>
    </row>
    <row r="967">
      <c r="B967" s="17"/>
      <c r="C967" s="30"/>
    </row>
    <row r="968">
      <c r="B968" s="17"/>
      <c r="C968" s="30"/>
    </row>
    <row r="969">
      <c r="B969" s="17"/>
      <c r="C969" s="30"/>
    </row>
    <row r="970">
      <c r="B970" s="17"/>
      <c r="C970" s="30"/>
    </row>
    <row r="971">
      <c r="B971" s="17"/>
      <c r="C971" s="30"/>
    </row>
    <row r="972">
      <c r="B972" s="17"/>
      <c r="C972" s="30"/>
    </row>
    <row r="973">
      <c r="B973" s="17"/>
      <c r="C973" s="30"/>
    </row>
    <row r="974">
      <c r="B974" s="17"/>
      <c r="C974" s="30"/>
    </row>
    <row r="975">
      <c r="B975" s="17"/>
      <c r="C975" s="30"/>
    </row>
    <row r="976">
      <c r="B976" s="17"/>
      <c r="C976" s="30"/>
    </row>
    <row r="977">
      <c r="B977" s="17"/>
      <c r="C977" s="30"/>
    </row>
    <row r="978">
      <c r="B978" s="17"/>
      <c r="C978" s="30"/>
    </row>
    <row r="979">
      <c r="B979" s="17"/>
      <c r="C979" s="30"/>
    </row>
    <row r="980">
      <c r="B980" s="17"/>
      <c r="C980" s="30"/>
    </row>
    <row r="981">
      <c r="B981" s="17"/>
      <c r="C981" s="30"/>
    </row>
    <row r="982">
      <c r="B982" s="17"/>
      <c r="C982" s="30"/>
    </row>
    <row r="983">
      <c r="B983" s="17"/>
      <c r="C983" s="30"/>
    </row>
    <row r="984">
      <c r="B984" s="17"/>
      <c r="C984" s="30"/>
    </row>
    <row r="985">
      <c r="B985" s="17"/>
      <c r="C985" s="30"/>
    </row>
    <row r="986">
      <c r="B986" s="17"/>
      <c r="C986" s="30"/>
    </row>
    <row r="987">
      <c r="B987" s="17"/>
      <c r="C987" s="30"/>
    </row>
    <row r="988">
      <c r="B988" s="17"/>
      <c r="C988" s="30"/>
    </row>
    <row r="989">
      <c r="B989" s="17"/>
      <c r="C989" s="30"/>
    </row>
    <row r="990">
      <c r="B990" s="17"/>
      <c r="C990" s="30"/>
    </row>
    <row r="991">
      <c r="B991" s="17"/>
      <c r="C991" s="30"/>
    </row>
    <row r="992">
      <c r="B992" s="17"/>
      <c r="C992" s="30"/>
    </row>
    <row r="993">
      <c r="B993" s="17"/>
      <c r="C993" s="30"/>
    </row>
    <row r="994">
      <c r="B994" s="17"/>
      <c r="C994" s="30"/>
    </row>
    <row r="995">
      <c r="B995" s="17"/>
      <c r="C995" s="30"/>
    </row>
    <row r="996">
      <c r="B996" s="17"/>
      <c r="C996" s="30"/>
    </row>
    <row r="997">
      <c r="B997" s="17"/>
      <c r="C997" s="30"/>
    </row>
    <row r="998">
      <c r="B998" s="17"/>
      <c r="C998" s="30"/>
    </row>
  </sheetData>
  <conditionalFormatting sqref="E88">
    <cfRule type="cellIs" dxfId="1" priority="1" operator="equal">
      <formula>"TRUE"</formula>
    </cfRule>
  </conditionalFormatting>
  <conditionalFormatting sqref="E1:E87 E89:E998">
    <cfRule type="cellIs" dxfId="1" priority="2" operator="equal">
      <formula>"TRUE"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2" max="2" width="13.0"/>
    <col customWidth="1" min="4" max="4" width="37.25"/>
    <col customWidth="1" min="7" max="7" width="17.25"/>
    <col customWidth="1" min="8" max="8" width="17.88"/>
  </cols>
  <sheetData>
    <row r="1">
      <c r="A1" s="12" t="s">
        <v>21</v>
      </c>
      <c r="B1" s="14" t="s">
        <v>22</v>
      </c>
      <c r="C1" s="14" t="s">
        <v>2</v>
      </c>
      <c r="D1" s="14" t="s">
        <v>23</v>
      </c>
      <c r="E1" s="14" t="s">
        <v>77</v>
      </c>
      <c r="F1" s="15"/>
      <c r="G1" s="15"/>
      <c r="H1" s="15"/>
      <c r="I1" s="15"/>
      <c r="J1" s="15"/>
    </row>
    <row r="2">
      <c r="A2" s="15" t="s">
        <v>215</v>
      </c>
      <c r="B2" s="24">
        <v>60000.0</v>
      </c>
      <c r="C2" s="25">
        <v>45386.0</v>
      </c>
      <c r="E2" s="23" t="b">
        <v>1</v>
      </c>
    </row>
    <row r="3">
      <c r="A3" s="15" t="s">
        <v>216</v>
      </c>
      <c r="B3" s="24">
        <v>50000.0</v>
      </c>
      <c r="C3" s="25">
        <v>45384.0</v>
      </c>
      <c r="E3" s="23" t="b">
        <v>1</v>
      </c>
    </row>
    <row r="4">
      <c r="A4" s="15" t="s">
        <v>217</v>
      </c>
      <c r="B4" s="24">
        <v>80000.0</v>
      </c>
      <c r="C4" s="25">
        <v>45385.0</v>
      </c>
      <c r="E4" s="23" t="b">
        <v>1</v>
      </c>
      <c r="G4" s="31" t="s">
        <v>218</v>
      </c>
      <c r="H4" s="32">
        <f>sum(B2:B499)</f>
        <v>20527000</v>
      </c>
    </row>
    <row r="5">
      <c r="A5" s="15" t="s">
        <v>219</v>
      </c>
      <c r="B5" s="24">
        <v>450000.0</v>
      </c>
      <c r="C5" s="25">
        <v>45389.0</v>
      </c>
      <c r="D5" s="15"/>
      <c r="E5" s="23" t="b">
        <v>1</v>
      </c>
      <c r="G5" s="31" t="s">
        <v>220</v>
      </c>
      <c r="H5" s="32">
        <f t="array" ref="H5">SUM(B2:B499*E2:E499)
</f>
        <v>20527000</v>
      </c>
    </row>
    <row r="6">
      <c r="A6" s="15" t="s">
        <v>221</v>
      </c>
      <c r="B6" s="24">
        <v>60000.0</v>
      </c>
      <c r="C6" s="25">
        <v>45389.0</v>
      </c>
      <c r="E6" s="23" t="b">
        <v>1</v>
      </c>
      <c r="G6" s="31" t="s">
        <v>222</v>
      </c>
      <c r="H6" s="32">
        <f>sum('مصروفات المطبعة الجديدة'!B:B)</f>
        <v>18480500</v>
      </c>
    </row>
    <row r="7">
      <c r="A7" s="15" t="s">
        <v>223</v>
      </c>
      <c r="B7" s="24">
        <v>425000.0</v>
      </c>
      <c r="C7" s="25">
        <v>45389.0</v>
      </c>
      <c r="E7" s="23" t="b">
        <v>1</v>
      </c>
      <c r="G7" s="31" t="s">
        <v>224</v>
      </c>
      <c r="H7" s="32">
        <f>H4-H6</f>
        <v>2046500</v>
      </c>
    </row>
    <row r="8">
      <c r="A8" s="15" t="s">
        <v>225</v>
      </c>
      <c r="B8" s="24">
        <v>3045000.0</v>
      </c>
      <c r="C8" s="25">
        <v>45389.0</v>
      </c>
      <c r="E8" s="23" t="b">
        <v>1</v>
      </c>
      <c r="G8" s="31" t="s">
        <v>226</v>
      </c>
      <c r="H8" s="32">
        <f>H5-H6</f>
        <v>2046500</v>
      </c>
    </row>
    <row r="9">
      <c r="A9" s="15" t="s">
        <v>227</v>
      </c>
      <c r="B9" s="24">
        <v>50000.0</v>
      </c>
      <c r="C9" s="25">
        <v>45392.0</v>
      </c>
      <c r="E9" s="23" t="b">
        <v>1</v>
      </c>
      <c r="G9" s="15" t="s">
        <v>228</v>
      </c>
      <c r="H9" s="17">
        <f>H4-H5</f>
        <v>0</v>
      </c>
    </row>
    <row r="10">
      <c r="A10" s="15" t="s">
        <v>229</v>
      </c>
      <c r="B10" s="24">
        <v>25000.0</v>
      </c>
      <c r="C10" s="25">
        <v>45395.0</v>
      </c>
      <c r="E10" s="23" t="b">
        <v>1</v>
      </c>
    </row>
    <row r="11">
      <c r="A11" s="15" t="s">
        <v>230</v>
      </c>
      <c r="B11" s="24">
        <v>20000.0</v>
      </c>
      <c r="C11" s="25">
        <v>45394.0</v>
      </c>
      <c r="D11" s="15"/>
      <c r="E11" s="23" t="b">
        <v>1</v>
      </c>
    </row>
    <row r="12">
      <c r="A12" s="15" t="s">
        <v>231</v>
      </c>
      <c r="B12" s="24">
        <v>200000.0</v>
      </c>
      <c r="C12" s="25">
        <v>45400.0</v>
      </c>
      <c r="E12" s="23" t="b">
        <v>1</v>
      </c>
    </row>
    <row r="13">
      <c r="A13" s="15" t="s">
        <v>232</v>
      </c>
      <c r="B13" s="24">
        <v>420000.0</v>
      </c>
      <c r="C13" s="25">
        <v>45400.0</v>
      </c>
      <c r="D13" s="15"/>
      <c r="E13" s="23" t="b">
        <v>1</v>
      </c>
    </row>
    <row r="14">
      <c r="A14" s="15" t="s">
        <v>233</v>
      </c>
      <c r="B14" s="24">
        <v>150000.0</v>
      </c>
      <c r="C14" s="25">
        <v>45404.0</v>
      </c>
      <c r="E14" s="23" t="b">
        <v>1</v>
      </c>
    </row>
    <row r="15">
      <c r="A15" s="15" t="s">
        <v>234</v>
      </c>
      <c r="B15" s="24">
        <v>125000.0</v>
      </c>
      <c r="C15" s="25">
        <v>45405.0</v>
      </c>
      <c r="E15" s="23" t="b">
        <v>1</v>
      </c>
    </row>
    <row r="16">
      <c r="A16" s="15" t="s">
        <v>235</v>
      </c>
      <c r="B16" s="24">
        <v>200000.0</v>
      </c>
      <c r="C16" s="25">
        <v>45405.0</v>
      </c>
      <c r="D16" s="15"/>
      <c r="E16" s="23" t="b">
        <v>1</v>
      </c>
    </row>
    <row r="17">
      <c r="A17" s="15" t="s">
        <v>236</v>
      </c>
      <c r="B17" s="24">
        <v>570000.0</v>
      </c>
      <c r="C17" s="25">
        <v>45405.0</v>
      </c>
      <c r="D17" s="15"/>
      <c r="E17" s="23" t="b">
        <v>1</v>
      </c>
    </row>
    <row r="18">
      <c r="A18" s="15" t="s">
        <v>237</v>
      </c>
      <c r="B18" s="24">
        <v>325000.0</v>
      </c>
      <c r="C18" s="25">
        <v>45405.0</v>
      </c>
      <c r="E18" s="23" t="b">
        <v>1</v>
      </c>
    </row>
    <row r="19">
      <c r="A19" s="15" t="s">
        <v>238</v>
      </c>
      <c r="B19" s="24">
        <v>875000.0</v>
      </c>
      <c r="C19" s="25">
        <v>45406.0</v>
      </c>
      <c r="D19" s="23" t="s">
        <v>239</v>
      </c>
      <c r="E19" s="23" t="b">
        <v>1</v>
      </c>
    </row>
    <row r="20" hidden="1">
      <c r="A20" s="15"/>
      <c r="B20" s="24"/>
      <c r="C20" s="25"/>
    </row>
    <row r="21">
      <c r="A21" s="15" t="s">
        <v>240</v>
      </c>
      <c r="B21" s="24">
        <v>40000.0</v>
      </c>
      <c r="C21" s="25">
        <v>45405.0</v>
      </c>
      <c r="E21" s="23" t="b">
        <v>1</v>
      </c>
    </row>
    <row r="22">
      <c r="A22" s="15" t="s">
        <v>241</v>
      </c>
      <c r="B22" s="24">
        <v>120000.0</v>
      </c>
      <c r="C22" s="25">
        <v>45406.0</v>
      </c>
      <c r="E22" s="23" t="b">
        <v>1</v>
      </c>
    </row>
    <row r="23">
      <c r="A23" s="15" t="s">
        <v>242</v>
      </c>
      <c r="B23" s="24">
        <v>125000.0</v>
      </c>
      <c r="C23" s="25">
        <v>45406.0</v>
      </c>
      <c r="E23" s="23" t="b">
        <v>1</v>
      </c>
    </row>
    <row r="24">
      <c r="A24" s="15" t="s">
        <v>243</v>
      </c>
      <c r="B24" s="24">
        <v>85000.0</v>
      </c>
      <c r="C24" s="25">
        <v>45406.0</v>
      </c>
      <c r="E24" s="23" t="b">
        <v>1</v>
      </c>
    </row>
    <row r="25">
      <c r="A25" s="15" t="s">
        <v>244</v>
      </c>
      <c r="B25" s="24">
        <v>150000.0</v>
      </c>
      <c r="C25" s="25">
        <v>45406.0</v>
      </c>
      <c r="D25" s="15"/>
      <c r="E25" s="23" t="b">
        <v>1</v>
      </c>
    </row>
    <row r="26">
      <c r="A26" s="15" t="s">
        <v>245</v>
      </c>
      <c r="B26" s="24">
        <v>25000.0</v>
      </c>
      <c r="C26" s="25">
        <v>45407.0</v>
      </c>
      <c r="E26" s="23" t="b">
        <v>1</v>
      </c>
    </row>
    <row r="27">
      <c r="A27" s="15" t="s">
        <v>246</v>
      </c>
      <c r="B27" s="24">
        <v>30000.0</v>
      </c>
      <c r="C27" s="25">
        <v>45410.0</v>
      </c>
      <c r="E27" s="23" t="b">
        <v>1</v>
      </c>
    </row>
    <row r="28">
      <c r="A28" s="15" t="s">
        <v>247</v>
      </c>
      <c r="B28" s="24">
        <v>200000.0</v>
      </c>
      <c r="C28" s="25">
        <v>45410.0</v>
      </c>
      <c r="E28" s="23" t="b">
        <v>1</v>
      </c>
    </row>
    <row r="29">
      <c r="A29" s="15" t="s">
        <v>248</v>
      </c>
      <c r="B29" s="24">
        <v>35000.0</v>
      </c>
      <c r="C29" s="25">
        <v>45414.0</v>
      </c>
      <c r="E29" s="23" t="b">
        <v>1</v>
      </c>
    </row>
    <row r="30" hidden="1">
      <c r="A30" s="15"/>
      <c r="B30" s="24"/>
      <c r="C30" s="25"/>
    </row>
    <row r="31">
      <c r="A31" s="15" t="s">
        <v>249</v>
      </c>
      <c r="B31" s="24">
        <v>170000.0</v>
      </c>
      <c r="C31" s="25">
        <v>45416.0</v>
      </c>
      <c r="D31" s="15"/>
      <c r="E31" s="23" t="b">
        <v>1</v>
      </c>
    </row>
    <row r="32">
      <c r="A32" s="15" t="s">
        <v>250</v>
      </c>
      <c r="B32" s="24">
        <v>20000.0</v>
      </c>
      <c r="C32" s="25">
        <v>45416.0</v>
      </c>
      <c r="E32" s="23" t="b">
        <v>1</v>
      </c>
    </row>
    <row r="33">
      <c r="A33" s="15" t="s">
        <v>251</v>
      </c>
      <c r="B33" s="24">
        <v>105000.0</v>
      </c>
      <c r="C33" s="25">
        <v>45419.0</v>
      </c>
      <c r="E33" s="23" t="b">
        <v>1</v>
      </c>
    </row>
    <row r="34">
      <c r="A34" s="15" t="s">
        <v>252</v>
      </c>
      <c r="B34" s="24">
        <v>65000.0</v>
      </c>
      <c r="C34" s="25">
        <v>45419.0</v>
      </c>
      <c r="E34" s="23" t="b">
        <v>1</v>
      </c>
    </row>
    <row r="35" hidden="1">
      <c r="A35" s="15"/>
      <c r="B35" s="24"/>
      <c r="C35" s="25"/>
    </row>
    <row r="36">
      <c r="A36" s="15" t="s">
        <v>252</v>
      </c>
      <c r="B36" s="24">
        <v>50000.0</v>
      </c>
      <c r="C36" s="25">
        <v>45422.0</v>
      </c>
      <c r="E36" s="23" t="b">
        <v>1</v>
      </c>
    </row>
    <row r="37">
      <c r="A37" s="15" t="s">
        <v>253</v>
      </c>
      <c r="B37" s="24">
        <v>600000.0</v>
      </c>
      <c r="C37" s="25">
        <v>45422.0</v>
      </c>
      <c r="D37" s="15"/>
      <c r="E37" s="23" t="b">
        <v>1</v>
      </c>
    </row>
    <row r="38">
      <c r="A38" s="33" t="s">
        <v>254</v>
      </c>
      <c r="B38" s="24">
        <v>120000.0</v>
      </c>
      <c r="C38" s="25">
        <v>45423.0</v>
      </c>
      <c r="E38" s="23" t="b">
        <v>1</v>
      </c>
    </row>
    <row r="39">
      <c r="A39" s="15" t="s">
        <v>255</v>
      </c>
      <c r="B39" s="24">
        <v>125000.0</v>
      </c>
      <c r="C39" s="25">
        <v>45423.0</v>
      </c>
      <c r="E39" s="23" t="b">
        <v>1</v>
      </c>
    </row>
    <row r="40">
      <c r="A40" s="15" t="s">
        <v>256</v>
      </c>
      <c r="B40" s="24">
        <v>75000.0</v>
      </c>
      <c r="C40" s="25">
        <v>45424.0</v>
      </c>
      <c r="E40" s="23" t="b">
        <v>1</v>
      </c>
    </row>
    <row r="41">
      <c r="A41" s="15" t="s">
        <v>257</v>
      </c>
      <c r="B41" s="24">
        <v>125000.0</v>
      </c>
      <c r="C41" s="25">
        <v>45424.0</v>
      </c>
      <c r="E41" s="23" t="b">
        <v>1</v>
      </c>
    </row>
    <row r="42">
      <c r="A42" s="15" t="s">
        <v>258</v>
      </c>
      <c r="B42" s="24">
        <v>3000000.0</v>
      </c>
      <c r="C42" s="25">
        <v>45425.0</v>
      </c>
      <c r="D42" s="15"/>
      <c r="E42" s="23" t="b">
        <v>1</v>
      </c>
    </row>
    <row r="43">
      <c r="A43" s="15" t="s">
        <v>259</v>
      </c>
      <c r="B43" s="24">
        <v>50000.0</v>
      </c>
      <c r="C43" s="25">
        <v>45425.0</v>
      </c>
      <c r="E43" s="23" t="b">
        <v>1</v>
      </c>
    </row>
    <row r="44">
      <c r="A44" s="15" t="s">
        <v>252</v>
      </c>
      <c r="B44" s="24">
        <v>10000.0</v>
      </c>
      <c r="C44" s="25">
        <v>45425.0</v>
      </c>
      <c r="E44" s="23" t="b">
        <v>1</v>
      </c>
    </row>
    <row r="45">
      <c r="A45" s="15" t="s">
        <v>252</v>
      </c>
      <c r="B45" s="24">
        <v>15000.0</v>
      </c>
      <c r="C45" s="25">
        <v>45425.0</v>
      </c>
      <c r="D45" s="15"/>
      <c r="E45" s="23" t="b">
        <v>1</v>
      </c>
    </row>
    <row r="46">
      <c r="A46" s="33" t="s">
        <v>260</v>
      </c>
      <c r="B46" s="24">
        <v>80000.0</v>
      </c>
      <c r="C46" s="25">
        <v>45425.0</v>
      </c>
      <c r="D46" s="15"/>
      <c r="E46" s="23" t="b">
        <v>1</v>
      </c>
    </row>
    <row r="47">
      <c r="A47" s="33" t="s">
        <v>261</v>
      </c>
      <c r="B47" s="24">
        <v>30000.0</v>
      </c>
      <c r="C47" s="25">
        <v>45425.0</v>
      </c>
      <c r="E47" s="23" t="b">
        <v>1</v>
      </c>
    </row>
    <row r="48">
      <c r="A48" s="15" t="s">
        <v>262</v>
      </c>
      <c r="B48" s="24">
        <v>20000.0</v>
      </c>
      <c r="C48" s="25">
        <v>45426.0</v>
      </c>
      <c r="D48" s="15"/>
      <c r="E48" s="23" t="b">
        <v>1</v>
      </c>
    </row>
    <row r="49">
      <c r="A49" s="15" t="s">
        <v>263</v>
      </c>
      <c r="B49" s="24">
        <v>15000.0</v>
      </c>
      <c r="C49" s="25">
        <v>45426.0</v>
      </c>
      <c r="E49" s="23" t="b">
        <v>1</v>
      </c>
    </row>
    <row r="50">
      <c r="A50" s="33" t="s">
        <v>264</v>
      </c>
      <c r="B50" s="24">
        <v>125000.0</v>
      </c>
      <c r="C50" s="25">
        <v>45427.0</v>
      </c>
      <c r="E50" s="23" t="b">
        <v>1</v>
      </c>
    </row>
    <row r="51">
      <c r="A51" s="33" t="s">
        <v>265</v>
      </c>
      <c r="B51" s="24">
        <v>107000.0</v>
      </c>
      <c r="C51" s="25">
        <v>45435.0</v>
      </c>
      <c r="E51" s="23" t="b">
        <v>1</v>
      </c>
    </row>
    <row r="52">
      <c r="A52" s="33" t="s">
        <v>266</v>
      </c>
      <c r="B52" s="24">
        <v>50000.0</v>
      </c>
      <c r="C52" s="25">
        <v>45428.0</v>
      </c>
      <c r="E52" s="23" t="b">
        <v>1</v>
      </c>
    </row>
    <row r="53">
      <c r="A53" s="33" t="s">
        <v>267</v>
      </c>
      <c r="B53" s="24">
        <v>100000.0</v>
      </c>
      <c r="C53" s="25">
        <v>45428.0</v>
      </c>
      <c r="E53" s="23" t="b">
        <v>1</v>
      </c>
    </row>
    <row r="54">
      <c r="A54" s="33" t="s">
        <v>268</v>
      </c>
      <c r="B54" s="24">
        <v>35000.0</v>
      </c>
      <c r="C54" s="25">
        <v>45428.0</v>
      </c>
      <c r="D54" s="15"/>
      <c r="E54" s="23" t="b">
        <v>1</v>
      </c>
    </row>
    <row r="55">
      <c r="A55" s="33" t="s">
        <v>269</v>
      </c>
      <c r="B55" s="24">
        <v>125000.0</v>
      </c>
      <c r="C55" s="25">
        <v>45428.0</v>
      </c>
      <c r="E55" s="23" t="b">
        <v>1</v>
      </c>
    </row>
    <row r="56">
      <c r="A56" s="33" t="s">
        <v>270</v>
      </c>
      <c r="B56" s="24">
        <v>20000.0</v>
      </c>
      <c r="C56" s="25">
        <v>45428.0</v>
      </c>
      <c r="E56" s="23" t="b">
        <v>1</v>
      </c>
    </row>
    <row r="57">
      <c r="A57" s="33" t="s">
        <v>271</v>
      </c>
      <c r="B57" s="24">
        <v>350000.0</v>
      </c>
      <c r="C57" s="25">
        <v>45428.0</v>
      </c>
      <c r="D57" s="15"/>
      <c r="E57" s="23" t="b">
        <v>1</v>
      </c>
    </row>
    <row r="58">
      <c r="A58" s="15" t="s">
        <v>252</v>
      </c>
      <c r="B58" s="24">
        <v>15000.0</v>
      </c>
      <c r="C58" s="25">
        <v>45428.0</v>
      </c>
      <c r="E58" s="23" t="b">
        <v>1</v>
      </c>
    </row>
    <row r="59">
      <c r="A59" s="15" t="s">
        <v>256</v>
      </c>
      <c r="B59" s="24">
        <v>405000.0</v>
      </c>
      <c r="C59" s="25">
        <v>45428.0</v>
      </c>
      <c r="E59" s="23" t="b">
        <v>1</v>
      </c>
    </row>
    <row r="60">
      <c r="A60" s="15" t="s">
        <v>272</v>
      </c>
      <c r="B60" s="24">
        <v>50000.0</v>
      </c>
      <c r="C60" s="25">
        <v>45429.0</v>
      </c>
      <c r="E60" s="23" t="b">
        <v>1</v>
      </c>
    </row>
    <row r="61">
      <c r="A61" s="15" t="s">
        <v>273</v>
      </c>
      <c r="B61" s="24">
        <v>45000.0</v>
      </c>
      <c r="C61" s="25">
        <v>45429.0</v>
      </c>
      <c r="E61" s="23" t="b">
        <v>1</v>
      </c>
    </row>
    <row r="62">
      <c r="A62" s="15" t="s">
        <v>274</v>
      </c>
      <c r="B62" s="24">
        <v>50000.0</v>
      </c>
      <c r="C62" s="25">
        <v>45430.0</v>
      </c>
      <c r="E62" s="23" t="b">
        <v>1</v>
      </c>
    </row>
    <row r="63">
      <c r="A63" s="15" t="s">
        <v>275</v>
      </c>
      <c r="B63" s="24">
        <v>140000.0</v>
      </c>
      <c r="C63" s="25">
        <v>45431.0</v>
      </c>
      <c r="E63" s="23" t="b">
        <v>1</v>
      </c>
    </row>
    <row r="64">
      <c r="A64" s="15" t="s">
        <v>252</v>
      </c>
      <c r="B64" s="24">
        <v>10000.0</v>
      </c>
      <c r="C64" s="25">
        <v>45433.0</v>
      </c>
      <c r="E64" s="23" t="b">
        <v>1</v>
      </c>
    </row>
    <row r="65">
      <c r="A65" s="15" t="s">
        <v>276</v>
      </c>
      <c r="B65" s="24">
        <v>100000.0</v>
      </c>
      <c r="C65" s="25">
        <v>45433.0</v>
      </c>
      <c r="E65" s="23" t="b">
        <v>1</v>
      </c>
    </row>
    <row r="66">
      <c r="A66" s="33" t="s">
        <v>277</v>
      </c>
      <c r="B66" s="24">
        <v>35000.0</v>
      </c>
      <c r="C66" s="25">
        <v>45433.0</v>
      </c>
      <c r="E66" s="23" t="b">
        <v>1</v>
      </c>
    </row>
    <row r="67">
      <c r="A67" s="33" t="s">
        <v>278</v>
      </c>
      <c r="B67" s="24">
        <v>165000.0</v>
      </c>
      <c r="C67" s="25">
        <v>45433.0</v>
      </c>
      <c r="E67" s="23" t="b">
        <v>1</v>
      </c>
    </row>
    <row r="68">
      <c r="A68" s="33" t="s">
        <v>279</v>
      </c>
      <c r="B68" s="24">
        <v>90000.0</v>
      </c>
      <c r="C68" s="25">
        <v>45433.0</v>
      </c>
      <c r="E68" s="23" t="b">
        <v>1</v>
      </c>
    </row>
    <row r="69">
      <c r="A69" s="33" t="s">
        <v>280</v>
      </c>
      <c r="B69" s="24">
        <v>20000.0</v>
      </c>
      <c r="C69" s="25">
        <v>45433.0</v>
      </c>
      <c r="E69" s="23" t="b">
        <v>1</v>
      </c>
    </row>
    <row r="70">
      <c r="A70" s="15" t="s">
        <v>281</v>
      </c>
      <c r="B70" s="24">
        <v>40000.0</v>
      </c>
      <c r="C70" s="25">
        <v>45433.0</v>
      </c>
      <c r="E70" s="23" t="b">
        <v>1</v>
      </c>
    </row>
    <row r="71">
      <c r="A71" s="33" t="s">
        <v>282</v>
      </c>
      <c r="B71" s="24">
        <v>35000.0</v>
      </c>
      <c r="C71" s="25">
        <v>45433.0</v>
      </c>
      <c r="E71" s="23" t="b">
        <v>1</v>
      </c>
    </row>
    <row r="72">
      <c r="A72" s="15" t="s">
        <v>283</v>
      </c>
      <c r="B72" s="24">
        <v>150000.0</v>
      </c>
      <c r="C72" s="25">
        <v>45435.0</v>
      </c>
      <c r="E72" s="23" t="b">
        <v>1</v>
      </c>
    </row>
    <row r="73">
      <c r="A73" s="15" t="s">
        <v>284</v>
      </c>
      <c r="B73" s="24">
        <v>350000.0</v>
      </c>
      <c r="C73" s="25">
        <v>45435.0</v>
      </c>
      <c r="E73" s="23" t="b">
        <v>1</v>
      </c>
    </row>
    <row r="74">
      <c r="A74" s="15" t="s">
        <v>252</v>
      </c>
      <c r="B74" s="24">
        <v>10000.0</v>
      </c>
      <c r="C74" s="25">
        <v>45435.0</v>
      </c>
      <c r="E74" s="23" t="b">
        <v>1</v>
      </c>
    </row>
    <row r="75">
      <c r="A75" s="15" t="s">
        <v>285</v>
      </c>
      <c r="B75" s="24">
        <v>50000.0</v>
      </c>
      <c r="C75" s="25">
        <v>45435.0</v>
      </c>
      <c r="E75" s="23" t="b">
        <v>1</v>
      </c>
    </row>
    <row r="76">
      <c r="A76" s="15" t="s">
        <v>286</v>
      </c>
      <c r="B76" s="24">
        <v>300000.0</v>
      </c>
      <c r="C76" s="25">
        <v>45435.0</v>
      </c>
      <c r="E76" s="23" t="b">
        <v>1</v>
      </c>
    </row>
    <row r="77">
      <c r="A77" s="15" t="s">
        <v>287</v>
      </c>
      <c r="B77" s="24">
        <v>100000.0</v>
      </c>
      <c r="C77" s="25">
        <v>45435.0</v>
      </c>
      <c r="E77" s="23" t="b">
        <v>1</v>
      </c>
    </row>
    <row r="78">
      <c r="A78" s="15" t="s">
        <v>288</v>
      </c>
      <c r="B78" s="24">
        <v>200000.0</v>
      </c>
      <c r="C78" s="25">
        <v>45435.0</v>
      </c>
      <c r="E78" s="23" t="b">
        <v>1</v>
      </c>
    </row>
    <row r="79">
      <c r="A79" s="15" t="s">
        <v>289</v>
      </c>
      <c r="B79" s="24">
        <v>700000.0</v>
      </c>
      <c r="C79" s="25">
        <v>45437.0</v>
      </c>
      <c r="E79" s="23" t="b">
        <v>1</v>
      </c>
    </row>
    <row r="80">
      <c r="A80" s="33" t="s">
        <v>290</v>
      </c>
      <c r="B80" s="24">
        <v>40000.0</v>
      </c>
      <c r="C80" s="25">
        <v>45437.0</v>
      </c>
      <c r="E80" s="23" t="b">
        <v>1</v>
      </c>
    </row>
    <row r="81">
      <c r="A81" s="33" t="s">
        <v>291</v>
      </c>
      <c r="B81" s="24">
        <v>45000.0</v>
      </c>
      <c r="C81" s="25">
        <v>45437.0</v>
      </c>
      <c r="E81" s="23" t="b">
        <v>1</v>
      </c>
    </row>
    <row r="82">
      <c r="A82" s="15" t="s">
        <v>292</v>
      </c>
      <c r="B82" s="24">
        <v>10000.0</v>
      </c>
      <c r="C82" s="25">
        <v>45438.0</v>
      </c>
      <c r="E82" s="23" t="b">
        <v>1</v>
      </c>
    </row>
    <row r="83">
      <c r="A83" s="15" t="s">
        <v>293</v>
      </c>
      <c r="B83" s="24">
        <v>15000.0</v>
      </c>
      <c r="C83" s="25">
        <v>45438.0</v>
      </c>
      <c r="E83" s="23" t="b">
        <v>1</v>
      </c>
    </row>
    <row r="84">
      <c r="A84" s="15" t="s">
        <v>294</v>
      </c>
      <c r="B84" s="24">
        <v>25000.0</v>
      </c>
      <c r="C84" s="25">
        <v>45438.0</v>
      </c>
      <c r="E84" s="23" t="b">
        <v>1</v>
      </c>
    </row>
    <row r="85">
      <c r="A85" s="33" t="s">
        <v>295</v>
      </c>
      <c r="B85" s="24">
        <v>100000.0</v>
      </c>
      <c r="C85" s="25">
        <v>45438.0</v>
      </c>
      <c r="E85" s="23" t="b">
        <v>1</v>
      </c>
    </row>
    <row r="86">
      <c r="A86" s="33" t="s">
        <v>296</v>
      </c>
      <c r="B86" s="24">
        <v>500000.0</v>
      </c>
      <c r="C86" s="25">
        <v>45438.0</v>
      </c>
      <c r="E86" s="23" t="b">
        <v>1</v>
      </c>
    </row>
    <row r="87">
      <c r="A87" s="15" t="s">
        <v>297</v>
      </c>
      <c r="B87" s="24">
        <v>870000.0</v>
      </c>
      <c r="C87" s="25">
        <v>45439.0</v>
      </c>
      <c r="D87" s="15"/>
      <c r="E87" s="23" t="b">
        <v>1</v>
      </c>
    </row>
    <row r="88" hidden="1">
      <c r="A88" s="15"/>
      <c r="B88" s="24"/>
      <c r="C88" s="25"/>
    </row>
    <row r="89">
      <c r="A89" s="15" t="s">
        <v>298</v>
      </c>
      <c r="B89" s="24">
        <v>150000.0</v>
      </c>
      <c r="C89" s="25">
        <v>45439.0</v>
      </c>
      <c r="E89" s="23" t="b">
        <v>1</v>
      </c>
    </row>
    <row r="90" hidden="1">
      <c r="A90" s="15"/>
      <c r="B90" s="24"/>
      <c r="C90" s="25"/>
    </row>
    <row r="91">
      <c r="A91" s="15" t="s">
        <v>252</v>
      </c>
      <c r="B91" s="24">
        <v>15000.0</v>
      </c>
      <c r="C91" s="25">
        <v>45439.0</v>
      </c>
      <c r="E91" s="23" t="b">
        <v>1</v>
      </c>
    </row>
    <row r="92">
      <c r="A92" s="15" t="s">
        <v>299</v>
      </c>
      <c r="B92" s="24">
        <v>125000.0</v>
      </c>
      <c r="C92" s="25">
        <v>45440.0</v>
      </c>
      <c r="E92" s="23" t="b">
        <v>1</v>
      </c>
    </row>
    <row r="93">
      <c r="A93" s="15" t="s">
        <v>300</v>
      </c>
      <c r="B93" s="24">
        <v>25000.0</v>
      </c>
      <c r="C93" s="25">
        <v>45440.0</v>
      </c>
      <c r="E93" s="23" t="b">
        <v>1</v>
      </c>
    </row>
    <row r="94" hidden="1">
      <c r="A94" s="15"/>
      <c r="B94" s="24"/>
      <c r="C94" s="25"/>
    </row>
    <row r="95">
      <c r="A95" s="15" t="s">
        <v>301</v>
      </c>
      <c r="B95" s="24">
        <v>20000.0</v>
      </c>
      <c r="C95" s="25">
        <v>45440.0</v>
      </c>
      <c r="E95" s="23" t="b">
        <v>1</v>
      </c>
    </row>
    <row r="96">
      <c r="A96" s="15" t="s">
        <v>302</v>
      </c>
      <c r="B96" s="24">
        <v>395000.0</v>
      </c>
      <c r="C96" s="25">
        <v>45440.0</v>
      </c>
      <c r="E96" s="23" t="b">
        <v>1</v>
      </c>
    </row>
    <row r="97">
      <c r="A97" s="15" t="s">
        <v>303</v>
      </c>
      <c r="B97" s="24">
        <v>300000.0</v>
      </c>
      <c r="C97" s="25">
        <v>45441.0</v>
      </c>
      <c r="E97" s="23" t="b">
        <v>1</v>
      </c>
    </row>
    <row r="98">
      <c r="A98" s="15" t="s">
        <v>304</v>
      </c>
      <c r="B98" s="24">
        <v>25000.0</v>
      </c>
      <c r="C98" s="25">
        <v>45441.0</v>
      </c>
      <c r="E98" s="23" t="b">
        <v>1</v>
      </c>
    </row>
    <row r="99">
      <c r="A99" s="15" t="s">
        <v>305</v>
      </c>
      <c r="B99" s="24">
        <v>20000.0</v>
      </c>
      <c r="C99" s="25">
        <v>45441.0</v>
      </c>
      <c r="E99" s="23" t="b">
        <v>1</v>
      </c>
    </row>
    <row r="100">
      <c r="A100" s="15" t="s">
        <v>306</v>
      </c>
      <c r="B100" s="24">
        <v>30000.0</v>
      </c>
      <c r="C100" s="25">
        <v>45441.0</v>
      </c>
      <c r="E100" s="23" t="b">
        <v>1</v>
      </c>
    </row>
    <row r="101">
      <c r="A101" s="15" t="s">
        <v>307</v>
      </c>
      <c r="B101" s="24">
        <v>20000.0</v>
      </c>
      <c r="C101" s="25">
        <v>45441.0</v>
      </c>
      <c r="E101" s="23" t="b">
        <v>1</v>
      </c>
    </row>
    <row r="102">
      <c r="A102" s="15" t="s">
        <v>308</v>
      </c>
      <c r="B102" s="24">
        <v>10000.0</v>
      </c>
      <c r="C102" s="25">
        <v>45441.0</v>
      </c>
      <c r="E102" s="23" t="b">
        <v>1</v>
      </c>
    </row>
    <row r="103">
      <c r="A103" s="15" t="s">
        <v>309</v>
      </c>
      <c r="B103" s="24">
        <v>70000.0</v>
      </c>
      <c r="C103" s="25">
        <v>45441.0</v>
      </c>
      <c r="D103" s="15"/>
      <c r="E103" s="23" t="b">
        <v>1</v>
      </c>
    </row>
    <row r="104">
      <c r="A104" s="15" t="s">
        <v>310</v>
      </c>
      <c r="B104" s="24">
        <v>10000.0</v>
      </c>
      <c r="C104" s="25">
        <v>45441.0</v>
      </c>
      <c r="E104" s="23" t="b">
        <v>1</v>
      </c>
    </row>
    <row r="105">
      <c r="A105" s="15" t="s">
        <v>311</v>
      </c>
      <c r="B105" s="24">
        <v>15000.0</v>
      </c>
      <c r="C105" s="25">
        <v>45443.0</v>
      </c>
      <c r="E105" s="23" t="b">
        <v>1</v>
      </c>
    </row>
    <row r="106" hidden="1">
      <c r="A106" s="15"/>
      <c r="B106" s="24"/>
      <c r="C106" s="25"/>
    </row>
    <row r="107">
      <c r="A107" s="15" t="s">
        <v>312</v>
      </c>
      <c r="B107" s="24">
        <v>40000.0</v>
      </c>
      <c r="C107" s="25">
        <v>45443.0</v>
      </c>
      <c r="E107" s="23" t="b">
        <v>1</v>
      </c>
    </row>
    <row r="108">
      <c r="A108" s="15" t="s">
        <v>313</v>
      </c>
      <c r="B108" s="24">
        <v>200000.0</v>
      </c>
      <c r="C108" s="25">
        <v>45452.0</v>
      </c>
      <c r="E108" s="23" t="b">
        <v>1</v>
      </c>
    </row>
    <row r="109">
      <c r="A109" s="15" t="s">
        <v>314</v>
      </c>
      <c r="B109" s="24">
        <v>115000.0</v>
      </c>
      <c r="C109" s="25">
        <v>45453.0</v>
      </c>
      <c r="E109" s="23" t="b">
        <v>1</v>
      </c>
    </row>
    <row r="110">
      <c r="A110" s="15" t="s">
        <v>315</v>
      </c>
      <c r="B110" s="24">
        <v>460000.0</v>
      </c>
      <c r="C110" s="25">
        <v>45454.0</v>
      </c>
      <c r="E110" s="23" t="b">
        <v>1</v>
      </c>
    </row>
    <row r="111">
      <c r="A111" s="15" t="s">
        <v>316</v>
      </c>
      <c r="B111" s="24">
        <v>290000.0</v>
      </c>
      <c r="C111" s="25">
        <v>45455.0</v>
      </c>
      <c r="E111" s="23" t="b">
        <v>1</v>
      </c>
    </row>
    <row r="112" hidden="1">
      <c r="B112" s="24"/>
      <c r="C112" s="25"/>
    </row>
    <row r="113" hidden="1">
      <c r="B113" s="24"/>
      <c r="C113" s="25"/>
    </row>
    <row r="114" hidden="1">
      <c r="B114" s="24"/>
      <c r="C114" s="25"/>
    </row>
    <row r="115" hidden="1">
      <c r="B115" s="24"/>
      <c r="C115" s="25"/>
    </row>
    <row r="116" hidden="1">
      <c r="B116" s="24"/>
      <c r="C116" s="25"/>
    </row>
    <row r="117" hidden="1">
      <c r="B117" s="24"/>
      <c r="C117" s="25"/>
    </row>
    <row r="118" hidden="1">
      <c r="B118" s="24"/>
      <c r="C118" s="25"/>
    </row>
    <row r="119" hidden="1">
      <c r="B119" s="24"/>
      <c r="C119" s="25"/>
    </row>
    <row r="120" hidden="1">
      <c r="B120" s="24"/>
      <c r="C120" s="25"/>
    </row>
    <row r="121" hidden="1">
      <c r="B121" s="24"/>
      <c r="C121" s="25"/>
    </row>
    <row r="122" hidden="1">
      <c r="B122" s="24"/>
      <c r="C122" s="25"/>
    </row>
    <row r="123" hidden="1">
      <c r="B123" s="24"/>
      <c r="C123" s="25"/>
    </row>
    <row r="124" hidden="1">
      <c r="B124" s="24"/>
      <c r="C124" s="25"/>
    </row>
    <row r="125" hidden="1">
      <c r="B125" s="24"/>
      <c r="C125" s="25"/>
    </row>
    <row r="126" hidden="1">
      <c r="B126" s="24"/>
      <c r="C126" s="25"/>
    </row>
    <row r="127" hidden="1">
      <c r="B127" s="24"/>
      <c r="C127" s="25"/>
    </row>
    <row r="128" hidden="1">
      <c r="B128" s="24"/>
      <c r="C128" s="25"/>
    </row>
    <row r="129" hidden="1">
      <c r="B129" s="24"/>
      <c r="C129" s="25"/>
    </row>
  </sheetData>
  <autoFilter ref="$A$1:$E$129">
    <filterColumn colId="4">
      <filters>
        <filter val="TRUE"/>
      </filters>
    </filterColumn>
  </autoFilter>
  <conditionalFormatting sqref="E1:E995">
    <cfRule type="cellIs" dxfId="1" priority="1" operator="equal">
      <formula>"TRUE"</formula>
    </cfRule>
  </conditionalFormatting>
  <conditionalFormatting sqref="G4:H8">
    <cfRule type="notContainsBlanks" dxfId="2" priority="2">
      <formula>LEN(TRIM(G4))&gt;0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</row>
    <row r="2">
      <c r="A2" s="34"/>
      <c r="B2" s="35" t="s">
        <v>317</v>
      </c>
      <c r="C2" s="34"/>
      <c r="D2" s="34"/>
      <c r="E2" s="34"/>
      <c r="F2" s="34"/>
      <c r="G2" s="34"/>
      <c r="H2" s="34"/>
      <c r="I2" s="34"/>
      <c r="J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</row>
    <row r="4">
      <c r="A4" s="34"/>
      <c r="B4" s="36" t="s">
        <v>318</v>
      </c>
      <c r="C4" s="34"/>
      <c r="D4" s="34"/>
      <c r="E4" s="34"/>
      <c r="F4" s="34"/>
      <c r="G4" s="34"/>
      <c r="H4" s="34"/>
      <c r="I4" s="34"/>
      <c r="J4" s="34"/>
    </row>
    <row r="5">
      <c r="A5" s="37"/>
      <c r="B5" s="38"/>
      <c r="C5" s="34"/>
      <c r="D5" s="34"/>
      <c r="E5" s="34"/>
      <c r="F5" s="34"/>
      <c r="G5" s="34"/>
      <c r="H5" s="34"/>
      <c r="I5" s="34"/>
      <c r="J5" s="34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</row>
    <row r="7">
      <c r="A7" s="34"/>
      <c r="B7" s="36" t="s">
        <v>319</v>
      </c>
      <c r="C7" s="39" t="s">
        <v>320</v>
      </c>
      <c r="D7" s="39"/>
      <c r="E7" s="36" t="s">
        <v>321</v>
      </c>
      <c r="F7" s="39"/>
      <c r="G7" s="39"/>
      <c r="H7" s="39"/>
      <c r="I7" s="34"/>
      <c r="J7" s="34"/>
    </row>
    <row r="8">
      <c r="A8" s="37"/>
      <c r="B8" s="40" t="s">
        <v>239</v>
      </c>
      <c r="C8" s="41" t="s">
        <v>322</v>
      </c>
      <c r="D8" s="42"/>
      <c r="E8" s="43" t="s">
        <v>65</v>
      </c>
      <c r="H8" s="42"/>
      <c r="I8" s="34"/>
      <c r="J8" s="34"/>
    </row>
    <row r="9">
      <c r="A9" s="37"/>
      <c r="B9" s="44"/>
      <c r="C9" s="45"/>
      <c r="D9" s="44"/>
      <c r="E9" s="45"/>
      <c r="F9" s="45"/>
      <c r="G9" s="45"/>
      <c r="H9" s="44"/>
      <c r="I9" s="34"/>
      <c r="J9" s="34"/>
    </row>
    <row r="10">
      <c r="A10" s="34"/>
      <c r="B10" s="46"/>
      <c r="C10" s="46"/>
      <c r="D10" s="46"/>
      <c r="E10" s="46"/>
      <c r="F10" s="46"/>
      <c r="G10" s="34"/>
      <c r="H10" s="34"/>
      <c r="I10" s="34"/>
      <c r="J10" s="34"/>
    </row>
    <row r="11">
      <c r="A11" s="34"/>
      <c r="B11" s="36" t="s">
        <v>323</v>
      </c>
      <c r="C11" s="34" t="s">
        <v>239</v>
      </c>
      <c r="D11" s="34" t="s">
        <v>239</v>
      </c>
      <c r="E11" s="34" t="s">
        <v>239</v>
      </c>
      <c r="F11" s="34"/>
      <c r="G11" s="34"/>
      <c r="H11" s="34"/>
      <c r="I11" s="34"/>
      <c r="J11" s="34"/>
    </row>
    <row r="12">
      <c r="A12" s="37"/>
      <c r="B12" s="47" t="s">
        <v>324</v>
      </c>
      <c r="C12" s="34"/>
      <c r="D12" s="34"/>
      <c r="E12" s="34"/>
      <c r="F12" s="34"/>
      <c r="G12" s="34"/>
      <c r="H12" s="34"/>
      <c r="I12" s="34"/>
      <c r="J12" s="34"/>
    </row>
    <row r="13">
      <c r="A13" s="34"/>
      <c r="B13" s="48" t="s">
        <v>239</v>
      </c>
      <c r="C13" s="48" t="s">
        <v>239</v>
      </c>
      <c r="E13" s="34"/>
      <c r="F13" s="34"/>
      <c r="G13" s="34"/>
      <c r="H13" s="34"/>
      <c r="I13" s="34"/>
      <c r="J13" s="34"/>
    </row>
    <row r="14">
      <c r="A14" s="34"/>
      <c r="B14" s="39"/>
      <c r="C14" s="39"/>
      <c r="D14" s="39"/>
      <c r="E14" s="39"/>
      <c r="F14" s="39"/>
      <c r="G14" s="39"/>
      <c r="H14" s="39"/>
      <c r="I14" s="39"/>
      <c r="J14" s="39"/>
    </row>
    <row r="15">
      <c r="A15" s="49"/>
      <c r="B15" s="50" t="s">
        <v>325</v>
      </c>
      <c r="C15" s="50" t="s">
        <v>326</v>
      </c>
      <c r="D15" s="50" t="s">
        <v>327</v>
      </c>
      <c r="E15" s="50" t="s">
        <v>328</v>
      </c>
      <c r="F15" s="51" t="s">
        <v>329</v>
      </c>
      <c r="G15" s="52" t="s">
        <v>330</v>
      </c>
      <c r="H15" s="52" t="s">
        <v>331</v>
      </c>
      <c r="I15" s="50" t="s">
        <v>332</v>
      </c>
      <c r="J15" s="53" t="s">
        <v>333</v>
      </c>
    </row>
    <row r="16">
      <c r="A16" s="37"/>
      <c r="B16" s="54">
        <v>1.0</v>
      </c>
      <c r="C16" s="55"/>
      <c r="D16" s="55"/>
      <c r="E16" s="56">
        <v>0.49930555555555556</v>
      </c>
      <c r="F16" s="57">
        <v>0.75</v>
      </c>
      <c r="G16" s="58" t="s">
        <v>334</v>
      </c>
      <c r="H16" s="59" t="str">
        <f t="shared" ref="H16:H46" si="1">IF(F16 &gt;= E16, F16-E16, F16+1-E16)*24 - #REF! +(G16*2)</f>
        <v>#REF!</v>
      </c>
      <c r="I16" s="60"/>
      <c r="J16" s="61" t="str">
        <f t="shared" ref="J16:J46" si="2">H16-I16</f>
        <v>#REF!</v>
      </c>
    </row>
    <row r="17">
      <c r="A17" s="37"/>
      <c r="B17" s="54">
        <v>2.0</v>
      </c>
      <c r="C17" s="55"/>
      <c r="D17" s="55"/>
      <c r="E17" s="62">
        <v>0.375</v>
      </c>
      <c r="F17" s="57">
        <v>0.75</v>
      </c>
      <c r="G17" s="63"/>
      <c r="H17" s="59" t="str">
        <f t="shared" si="1"/>
        <v>#REF!</v>
      </c>
      <c r="I17" s="64"/>
      <c r="J17" s="61" t="str">
        <f t="shared" si="2"/>
        <v>#REF!</v>
      </c>
    </row>
    <row r="18">
      <c r="A18" s="37"/>
      <c r="B18" s="54">
        <v>3.0</v>
      </c>
      <c r="C18" s="55"/>
      <c r="D18" s="55"/>
      <c r="E18" s="62">
        <v>0.375</v>
      </c>
      <c r="F18" s="57">
        <v>0.75</v>
      </c>
      <c r="G18" s="63"/>
      <c r="H18" s="59" t="str">
        <f t="shared" si="1"/>
        <v>#REF!</v>
      </c>
      <c r="I18" s="64"/>
      <c r="J18" s="61" t="str">
        <f t="shared" si="2"/>
        <v>#REF!</v>
      </c>
    </row>
    <row r="19">
      <c r="A19" s="37"/>
      <c r="B19" s="54">
        <v>4.0</v>
      </c>
      <c r="C19" s="55"/>
      <c r="D19" s="55"/>
      <c r="E19" s="65"/>
      <c r="F19" s="66"/>
      <c r="G19" s="67"/>
      <c r="H19" s="59" t="str">
        <f t="shared" si="1"/>
        <v>#REF!</v>
      </c>
      <c r="I19" s="68"/>
      <c r="J19" s="61" t="str">
        <f t="shared" si="2"/>
        <v>#REF!</v>
      </c>
    </row>
    <row r="20">
      <c r="A20" s="37"/>
      <c r="B20" s="54">
        <v>5.0</v>
      </c>
      <c r="C20" s="55"/>
      <c r="D20" s="55"/>
      <c r="E20" s="65"/>
      <c r="F20" s="66"/>
      <c r="G20" s="63"/>
      <c r="H20" s="59" t="str">
        <f t="shared" si="1"/>
        <v>#REF!</v>
      </c>
      <c r="I20" s="64"/>
      <c r="J20" s="61" t="str">
        <f t="shared" si="2"/>
        <v>#REF!</v>
      </c>
    </row>
    <row r="21">
      <c r="A21" s="37"/>
      <c r="B21" s="54">
        <v>6.0</v>
      </c>
      <c r="C21" s="55"/>
      <c r="D21" s="55"/>
      <c r="E21" s="65"/>
      <c r="F21" s="66"/>
      <c r="G21" s="63"/>
      <c r="H21" s="59" t="str">
        <f t="shared" si="1"/>
        <v>#REF!</v>
      </c>
      <c r="I21" s="64"/>
      <c r="J21" s="61" t="str">
        <f t="shared" si="2"/>
        <v>#REF!</v>
      </c>
    </row>
    <row r="22">
      <c r="A22" s="37"/>
      <c r="B22" s="54">
        <v>7.0</v>
      </c>
      <c r="C22" s="55"/>
      <c r="D22" s="55"/>
      <c r="E22" s="65"/>
      <c r="F22" s="66"/>
      <c r="G22" s="63"/>
      <c r="H22" s="59" t="str">
        <f t="shared" si="1"/>
        <v>#REF!</v>
      </c>
      <c r="I22" s="64"/>
      <c r="J22" s="61" t="str">
        <f t="shared" si="2"/>
        <v>#REF!</v>
      </c>
    </row>
    <row r="23">
      <c r="A23" s="37"/>
      <c r="B23" s="54">
        <v>8.0</v>
      </c>
      <c r="C23" s="55"/>
      <c r="D23" s="55"/>
      <c r="E23" s="65"/>
      <c r="F23" s="66"/>
      <c r="G23" s="63"/>
      <c r="H23" s="59" t="str">
        <f t="shared" si="1"/>
        <v>#REF!</v>
      </c>
      <c r="I23" s="64"/>
      <c r="J23" s="61" t="str">
        <f t="shared" si="2"/>
        <v>#REF!</v>
      </c>
    </row>
    <row r="24">
      <c r="A24" s="37"/>
      <c r="B24" s="54">
        <v>9.0</v>
      </c>
      <c r="C24" s="55"/>
      <c r="D24" s="55"/>
      <c r="E24" s="65"/>
      <c r="F24" s="66"/>
      <c r="G24" s="63"/>
      <c r="H24" s="59" t="str">
        <f t="shared" si="1"/>
        <v>#REF!</v>
      </c>
      <c r="I24" s="64"/>
      <c r="J24" s="61" t="str">
        <f t="shared" si="2"/>
        <v>#REF!</v>
      </c>
    </row>
    <row r="25">
      <c r="A25" s="37"/>
      <c r="B25" s="54">
        <v>10.0</v>
      </c>
      <c r="C25" s="55"/>
      <c r="D25" s="55"/>
      <c r="E25" s="65"/>
      <c r="F25" s="66"/>
      <c r="G25" s="63"/>
      <c r="H25" s="59" t="str">
        <f t="shared" si="1"/>
        <v>#REF!</v>
      </c>
      <c r="I25" s="64"/>
      <c r="J25" s="61" t="str">
        <f t="shared" si="2"/>
        <v>#REF!</v>
      </c>
    </row>
    <row r="26">
      <c r="A26" s="37"/>
      <c r="B26" s="54">
        <v>11.0</v>
      </c>
      <c r="C26" s="55"/>
      <c r="D26" s="55"/>
      <c r="E26" s="65"/>
      <c r="F26" s="66"/>
      <c r="G26" s="63"/>
      <c r="H26" s="59" t="str">
        <f t="shared" si="1"/>
        <v>#REF!</v>
      </c>
      <c r="I26" s="64"/>
      <c r="J26" s="61" t="str">
        <f t="shared" si="2"/>
        <v>#REF!</v>
      </c>
    </row>
    <row r="27">
      <c r="A27" s="37"/>
      <c r="B27" s="54">
        <v>12.0</v>
      </c>
      <c r="C27" s="55"/>
      <c r="D27" s="55"/>
      <c r="E27" s="65"/>
      <c r="F27" s="66"/>
      <c r="G27" s="63"/>
      <c r="H27" s="59" t="str">
        <f t="shared" si="1"/>
        <v>#REF!</v>
      </c>
      <c r="I27" s="64"/>
      <c r="J27" s="61" t="str">
        <f t="shared" si="2"/>
        <v>#REF!</v>
      </c>
    </row>
    <row r="28">
      <c r="A28" s="37"/>
      <c r="B28" s="54">
        <v>13.0</v>
      </c>
      <c r="C28" s="55"/>
      <c r="D28" s="55"/>
      <c r="E28" s="65"/>
      <c r="F28" s="66"/>
      <c r="G28" s="63"/>
      <c r="H28" s="59" t="str">
        <f t="shared" si="1"/>
        <v>#REF!</v>
      </c>
      <c r="I28" s="64"/>
      <c r="J28" s="61" t="str">
        <f t="shared" si="2"/>
        <v>#REF!</v>
      </c>
    </row>
    <row r="29">
      <c r="A29" s="37"/>
      <c r="B29" s="54">
        <v>14.0</v>
      </c>
      <c r="C29" s="55"/>
      <c r="D29" s="55"/>
      <c r="E29" s="65"/>
      <c r="F29" s="66"/>
      <c r="G29" s="63"/>
      <c r="H29" s="59" t="str">
        <f t="shared" si="1"/>
        <v>#REF!</v>
      </c>
      <c r="I29" s="64"/>
      <c r="J29" s="61" t="str">
        <f t="shared" si="2"/>
        <v>#REF!</v>
      </c>
    </row>
    <row r="30">
      <c r="A30" s="37"/>
      <c r="B30" s="54">
        <v>15.0</v>
      </c>
      <c r="C30" s="55"/>
      <c r="D30" s="55"/>
      <c r="E30" s="65"/>
      <c r="F30" s="66"/>
      <c r="G30" s="63"/>
      <c r="H30" s="59" t="str">
        <f t="shared" si="1"/>
        <v>#REF!</v>
      </c>
      <c r="I30" s="64"/>
      <c r="J30" s="61" t="str">
        <f t="shared" si="2"/>
        <v>#REF!</v>
      </c>
    </row>
    <row r="31">
      <c r="A31" s="37"/>
      <c r="B31" s="54">
        <v>16.0</v>
      </c>
      <c r="C31" s="55"/>
      <c r="D31" s="55"/>
      <c r="E31" s="65"/>
      <c r="F31" s="66"/>
      <c r="G31" s="63"/>
      <c r="H31" s="59" t="str">
        <f t="shared" si="1"/>
        <v>#REF!</v>
      </c>
      <c r="I31" s="64"/>
      <c r="J31" s="61" t="str">
        <f t="shared" si="2"/>
        <v>#REF!</v>
      </c>
    </row>
    <row r="32">
      <c r="A32" s="37"/>
      <c r="B32" s="54">
        <v>17.0</v>
      </c>
      <c r="C32" s="55"/>
      <c r="D32" s="55"/>
      <c r="E32" s="65"/>
      <c r="F32" s="66"/>
      <c r="G32" s="63"/>
      <c r="H32" s="59" t="str">
        <f t="shared" si="1"/>
        <v>#REF!</v>
      </c>
      <c r="I32" s="64"/>
      <c r="J32" s="61" t="str">
        <f t="shared" si="2"/>
        <v>#REF!</v>
      </c>
    </row>
    <row r="33">
      <c r="A33" s="37"/>
      <c r="B33" s="54">
        <v>18.0</v>
      </c>
      <c r="C33" s="55"/>
      <c r="D33" s="55"/>
      <c r="E33" s="65"/>
      <c r="F33" s="66"/>
      <c r="G33" s="63"/>
      <c r="H33" s="59" t="str">
        <f t="shared" si="1"/>
        <v>#REF!</v>
      </c>
      <c r="I33" s="64"/>
      <c r="J33" s="61" t="str">
        <f t="shared" si="2"/>
        <v>#REF!</v>
      </c>
    </row>
    <row r="34">
      <c r="A34" s="37"/>
      <c r="B34" s="54">
        <v>19.0</v>
      </c>
      <c r="C34" s="55"/>
      <c r="D34" s="55"/>
      <c r="E34" s="65"/>
      <c r="F34" s="66"/>
      <c r="G34" s="63"/>
      <c r="H34" s="59" t="str">
        <f t="shared" si="1"/>
        <v>#REF!</v>
      </c>
      <c r="I34" s="64"/>
      <c r="J34" s="61" t="str">
        <f t="shared" si="2"/>
        <v>#REF!</v>
      </c>
    </row>
    <row r="35">
      <c r="A35" s="37"/>
      <c r="B35" s="54">
        <v>20.0</v>
      </c>
      <c r="C35" s="55"/>
      <c r="D35" s="55"/>
      <c r="E35" s="65"/>
      <c r="F35" s="66"/>
      <c r="G35" s="63"/>
      <c r="H35" s="59" t="str">
        <f t="shared" si="1"/>
        <v>#REF!</v>
      </c>
      <c r="I35" s="64"/>
      <c r="J35" s="61" t="str">
        <f t="shared" si="2"/>
        <v>#REF!</v>
      </c>
    </row>
    <row r="36">
      <c r="A36" s="37"/>
      <c r="B36" s="54">
        <v>21.0</v>
      </c>
      <c r="C36" s="55"/>
      <c r="D36" s="55"/>
      <c r="E36" s="65"/>
      <c r="F36" s="66"/>
      <c r="G36" s="63"/>
      <c r="H36" s="59" t="str">
        <f t="shared" si="1"/>
        <v>#REF!</v>
      </c>
      <c r="I36" s="64"/>
      <c r="J36" s="61" t="str">
        <f t="shared" si="2"/>
        <v>#REF!</v>
      </c>
    </row>
    <row r="37">
      <c r="A37" s="37"/>
      <c r="B37" s="54">
        <v>22.0</v>
      </c>
      <c r="C37" s="55"/>
      <c r="D37" s="55"/>
      <c r="E37" s="65"/>
      <c r="F37" s="66"/>
      <c r="G37" s="63"/>
      <c r="H37" s="59" t="str">
        <f t="shared" si="1"/>
        <v>#REF!</v>
      </c>
      <c r="I37" s="64"/>
      <c r="J37" s="61" t="str">
        <f t="shared" si="2"/>
        <v>#REF!</v>
      </c>
    </row>
    <row r="38">
      <c r="A38" s="37"/>
      <c r="B38" s="54">
        <v>23.0</v>
      </c>
      <c r="C38" s="55"/>
      <c r="D38" s="55"/>
      <c r="E38" s="65"/>
      <c r="F38" s="66"/>
      <c r="G38" s="63"/>
      <c r="H38" s="59" t="str">
        <f t="shared" si="1"/>
        <v>#REF!</v>
      </c>
      <c r="I38" s="64"/>
      <c r="J38" s="61" t="str">
        <f t="shared" si="2"/>
        <v>#REF!</v>
      </c>
    </row>
    <row r="39">
      <c r="A39" s="37"/>
      <c r="B39" s="54">
        <v>24.0</v>
      </c>
      <c r="C39" s="55"/>
      <c r="D39" s="55"/>
      <c r="E39" s="65"/>
      <c r="F39" s="66"/>
      <c r="G39" s="63"/>
      <c r="H39" s="59" t="str">
        <f t="shared" si="1"/>
        <v>#REF!</v>
      </c>
      <c r="I39" s="64"/>
      <c r="J39" s="61" t="str">
        <f t="shared" si="2"/>
        <v>#REF!</v>
      </c>
    </row>
    <row r="40">
      <c r="A40" s="37"/>
      <c r="B40" s="54">
        <v>25.0</v>
      </c>
      <c r="C40" s="55"/>
      <c r="D40" s="55"/>
      <c r="E40" s="65"/>
      <c r="F40" s="66"/>
      <c r="G40" s="63"/>
      <c r="H40" s="59" t="str">
        <f t="shared" si="1"/>
        <v>#REF!</v>
      </c>
      <c r="I40" s="64"/>
      <c r="J40" s="61" t="str">
        <f t="shared" si="2"/>
        <v>#REF!</v>
      </c>
    </row>
    <row r="41">
      <c r="A41" s="37"/>
      <c r="B41" s="54">
        <v>26.0</v>
      </c>
      <c r="C41" s="55"/>
      <c r="D41" s="55"/>
      <c r="E41" s="65"/>
      <c r="F41" s="66"/>
      <c r="G41" s="63"/>
      <c r="H41" s="59" t="str">
        <f t="shared" si="1"/>
        <v>#REF!</v>
      </c>
      <c r="I41" s="64"/>
      <c r="J41" s="61" t="str">
        <f t="shared" si="2"/>
        <v>#REF!</v>
      </c>
    </row>
    <row r="42">
      <c r="A42" s="37"/>
      <c r="B42" s="54">
        <v>27.0</v>
      </c>
      <c r="C42" s="55"/>
      <c r="D42" s="55"/>
      <c r="E42" s="65"/>
      <c r="F42" s="66"/>
      <c r="G42" s="63"/>
      <c r="H42" s="59" t="str">
        <f t="shared" si="1"/>
        <v>#REF!</v>
      </c>
      <c r="I42" s="64"/>
      <c r="J42" s="61" t="str">
        <f t="shared" si="2"/>
        <v>#REF!</v>
      </c>
    </row>
    <row r="43">
      <c r="A43" s="37"/>
      <c r="B43" s="54">
        <v>28.0</v>
      </c>
      <c r="C43" s="55"/>
      <c r="D43" s="55"/>
      <c r="E43" s="65"/>
      <c r="F43" s="66"/>
      <c r="G43" s="63"/>
      <c r="H43" s="59" t="str">
        <f t="shared" si="1"/>
        <v>#REF!</v>
      </c>
      <c r="I43" s="64"/>
      <c r="J43" s="61" t="str">
        <f t="shared" si="2"/>
        <v>#REF!</v>
      </c>
    </row>
    <row r="44">
      <c r="A44" s="37"/>
      <c r="B44" s="54">
        <v>29.0</v>
      </c>
      <c r="C44" s="55"/>
      <c r="D44" s="55"/>
      <c r="E44" s="65"/>
      <c r="F44" s="66"/>
      <c r="G44" s="63"/>
      <c r="H44" s="59" t="str">
        <f t="shared" si="1"/>
        <v>#REF!</v>
      </c>
      <c r="I44" s="64"/>
      <c r="J44" s="61" t="str">
        <f t="shared" si="2"/>
        <v>#REF!</v>
      </c>
    </row>
    <row r="45">
      <c r="A45" s="37"/>
      <c r="B45" s="54">
        <v>30.0</v>
      </c>
      <c r="C45" s="55"/>
      <c r="D45" s="55"/>
      <c r="E45" s="65"/>
      <c r="F45" s="66"/>
      <c r="G45" s="63"/>
      <c r="H45" s="59" t="str">
        <f t="shared" si="1"/>
        <v>#REF!</v>
      </c>
      <c r="I45" s="64"/>
      <c r="J45" s="61" t="str">
        <f t="shared" si="2"/>
        <v>#REF!</v>
      </c>
    </row>
    <row r="46">
      <c r="A46" s="37"/>
      <c r="B46" s="54">
        <v>31.0</v>
      </c>
      <c r="C46" s="55"/>
      <c r="D46" s="55"/>
      <c r="E46" s="65"/>
      <c r="F46" s="66"/>
      <c r="G46" s="63"/>
      <c r="H46" s="59" t="str">
        <f t="shared" si="1"/>
        <v>#REF!</v>
      </c>
      <c r="I46" s="64"/>
      <c r="J46" s="61" t="str">
        <f t="shared" si="2"/>
        <v>#REF!</v>
      </c>
    </row>
    <row r="47">
      <c r="A47" s="37"/>
      <c r="B47" s="69" t="s">
        <v>335</v>
      </c>
      <c r="C47" s="45"/>
      <c r="D47" s="45"/>
      <c r="E47" s="45"/>
      <c r="F47" s="44"/>
      <c r="G47" s="70"/>
      <c r="H47" s="70" t="str">
        <f t="shared" ref="H47:J47" si="3">SUM(H16:H46)</f>
        <v>#REF!</v>
      </c>
      <c r="I47" s="70">
        <f t="shared" si="3"/>
        <v>0</v>
      </c>
      <c r="J47" s="70" t="str">
        <f t="shared" si="3"/>
        <v>#REF!</v>
      </c>
    </row>
    <row r="48">
      <c r="A48" s="71"/>
      <c r="B48" s="34"/>
      <c r="C48" s="34"/>
      <c r="D48" s="34"/>
      <c r="E48" s="34"/>
      <c r="F48" s="34"/>
      <c r="G48" s="34"/>
      <c r="H48" s="34"/>
      <c r="I48" s="34"/>
      <c r="J48" s="34"/>
    </row>
    <row r="49">
      <c r="A49" s="71"/>
      <c r="B49" s="72"/>
      <c r="C49" s="39"/>
      <c r="D49" s="39"/>
      <c r="E49" s="39"/>
      <c r="F49" s="72" t="s">
        <v>336</v>
      </c>
      <c r="G49" s="34"/>
      <c r="H49" s="34"/>
      <c r="I49" s="34"/>
      <c r="J49" s="73" t="s">
        <v>337</v>
      </c>
    </row>
    <row r="50">
      <c r="A50" s="37"/>
      <c r="B50" s="46"/>
      <c r="F50" s="42"/>
      <c r="G50" s="34"/>
      <c r="H50" s="34"/>
      <c r="I50" s="34"/>
      <c r="J50" s="73" t="s">
        <v>338</v>
      </c>
    </row>
    <row r="51">
      <c r="A51" s="37"/>
      <c r="B51" s="45"/>
      <c r="C51" s="45"/>
      <c r="D51" s="45"/>
      <c r="E51" s="45"/>
      <c r="F51" s="44"/>
      <c r="G51" s="34"/>
      <c r="H51" s="34"/>
      <c r="I51" s="34"/>
      <c r="J51" s="73" t="s">
        <v>339</v>
      </c>
    </row>
    <row r="52">
      <c r="A52" s="71"/>
      <c r="B52" s="34"/>
      <c r="C52" s="34"/>
      <c r="D52" s="34"/>
      <c r="E52" s="34"/>
      <c r="F52" s="34"/>
      <c r="G52" s="34"/>
      <c r="H52" s="34"/>
      <c r="I52" s="34"/>
      <c r="J52" s="73" t="s">
        <v>340</v>
      </c>
    </row>
    <row r="53">
      <c r="A53" s="71"/>
      <c r="B53" s="36"/>
      <c r="C53" s="72" t="s">
        <v>2</v>
      </c>
      <c r="D53" s="39"/>
      <c r="E53" s="39"/>
      <c r="F53" s="72" t="s">
        <v>341</v>
      </c>
      <c r="G53" s="34"/>
      <c r="H53" s="34"/>
      <c r="I53" s="34"/>
      <c r="J53" s="73" t="s">
        <v>342</v>
      </c>
    </row>
    <row r="54">
      <c r="A54" s="37"/>
      <c r="B54" s="74" t="s">
        <v>239</v>
      </c>
      <c r="C54" s="45"/>
      <c r="D54" s="44"/>
      <c r="E54" s="74" t="s">
        <v>239</v>
      </c>
      <c r="F54" s="44"/>
      <c r="G54" s="34"/>
      <c r="H54" s="34"/>
      <c r="I54" s="34"/>
      <c r="J54" s="73" t="s">
        <v>343</v>
      </c>
    </row>
    <row r="55">
      <c r="A55" s="34"/>
      <c r="B55" s="34"/>
      <c r="C55" s="34"/>
      <c r="D55" s="34"/>
      <c r="E55" s="34"/>
      <c r="F55" s="34"/>
      <c r="G55" s="34"/>
      <c r="H55" s="34"/>
      <c r="I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73" t="s">
        <v>344</v>
      </c>
    </row>
    <row r="57">
      <c r="A57" s="71"/>
      <c r="B57" s="36"/>
      <c r="C57" s="72" t="s">
        <v>2</v>
      </c>
      <c r="D57" s="39"/>
      <c r="E57" s="39"/>
      <c r="F57" s="72" t="s">
        <v>345</v>
      </c>
      <c r="G57" s="34"/>
      <c r="H57" s="34"/>
      <c r="I57" s="34"/>
    </row>
    <row r="58">
      <c r="A58" s="37"/>
      <c r="B58" s="74" t="s">
        <v>239</v>
      </c>
      <c r="C58" s="45"/>
      <c r="D58" s="44"/>
      <c r="E58" s="74" t="s">
        <v>239</v>
      </c>
      <c r="F58" s="44"/>
      <c r="G58" s="34"/>
      <c r="H58" s="34"/>
      <c r="I58" s="34"/>
      <c r="J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</sheetData>
  <mergeCells count="10">
    <mergeCell ref="B54:D54"/>
    <mergeCell ref="B58:D58"/>
    <mergeCell ref="E58:F58"/>
    <mergeCell ref="B8:B9"/>
    <mergeCell ref="C8:D9"/>
    <mergeCell ref="E8:H9"/>
    <mergeCell ref="C13:D13"/>
    <mergeCell ref="B47:F47"/>
    <mergeCell ref="B50:F51"/>
    <mergeCell ref="E54:F5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>
      <c r="A2" s="34"/>
      <c r="B2" s="35" t="s">
        <v>317</v>
      </c>
      <c r="C2" s="34"/>
      <c r="D2" s="34"/>
      <c r="E2" s="34"/>
      <c r="F2" s="34"/>
      <c r="G2" s="34"/>
      <c r="H2" s="34"/>
      <c r="I2" s="34"/>
      <c r="J2" s="34"/>
      <c r="K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>
      <c r="A4" s="34"/>
      <c r="B4" s="36" t="s">
        <v>318</v>
      </c>
      <c r="C4" s="34"/>
      <c r="D4" s="34"/>
      <c r="E4" s="34"/>
      <c r="F4" s="34"/>
      <c r="G4" s="34"/>
      <c r="H4" s="34"/>
      <c r="I4" s="34"/>
      <c r="J4" s="34"/>
      <c r="K4" s="34"/>
    </row>
    <row r="5">
      <c r="A5" s="37"/>
      <c r="B5" s="38"/>
      <c r="C5" s="34"/>
      <c r="D5" s="34"/>
      <c r="E5" s="34"/>
      <c r="F5" s="34"/>
      <c r="G5" s="34"/>
      <c r="H5" s="34"/>
      <c r="I5" s="34"/>
      <c r="J5" s="34"/>
      <c r="K5" s="34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</row>
    <row r="7">
      <c r="A7" s="34"/>
      <c r="B7" s="36" t="s">
        <v>319</v>
      </c>
      <c r="C7" s="39" t="s">
        <v>320</v>
      </c>
      <c r="D7" s="39"/>
      <c r="E7" s="36" t="s">
        <v>321</v>
      </c>
      <c r="F7" s="39"/>
      <c r="G7" s="39"/>
      <c r="H7" s="39"/>
      <c r="I7" s="39"/>
      <c r="J7" s="34"/>
      <c r="K7" s="34"/>
    </row>
    <row r="8">
      <c r="A8" s="37"/>
      <c r="B8" s="40" t="s">
        <v>239</v>
      </c>
      <c r="C8" s="41" t="s">
        <v>322</v>
      </c>
      <c r="D8" s="42"/>
      <c r="E8" s="43" t="s">
        <v>65</v>
      </c>
      <c r="I8" s="42"/>
      <c r="J8" s="34"/>
      <c r="K8" s="34"/>
    </row>
    <row r="9">
      <c r="A9" s="37"/>
      <c r="B9" s="44"/>
      <c r="C9" s="45"/>
      <c r="D9" s="44"/>
      <c r="E9" s="45"/>
      <c r="F9" s="45"/>
      <c r="G9" s="45"/>
      <c r="H9" s="45"/>
      <c r="I9" s="44"/>
      <c r="J9" s="34"/>
      <c r="K9" s="34"/>
    </row>
    <row r="10">
      <c r="A10" s="34"/>
      <c r="B10" s="46"/>
      <c r="C10" s="46"/>
      <c r="D10" s="46"/>
      <c r="E10" s="46"/>
      <c r="F10" s="46"/>
      <c r="G10" s="34"/>
      <c r="H10" s="34"/>
      <c r="I10" s="34"/>
      <c r="J10" s="34"/>
      <c r="K10" s="34"/>
    </row>
    <row r="11">
      <c r="A11" s="34"/>
      <c r="B11" s="36" t="s">
        <v>323</v>
      </c>
      <c r="C11" s="34" t="s">
        <v>239</v>
      </c>
      <c r="D11" s="34" t="s">
        <v>239</v>
      </c>
      <c r="E11" s="34" t="s">
        <v>239</v>
      </c>
      <c r="F11" s="34"/>
      <c r="G11" s="34"/>
      <c r="H11" s="34"/>
      <c r="I11" s="34"/>
      <c r="J11" s="34"/>
      <c r="K11" s="34"/>
    </row>
    <row r="12">
      <c r="A12" s="37"/>
      <c r="B12" s="47" t="s">
        <v>324</v>
      </c>
      <c r="C12" s="34"/>
      <c r="D12" s="34"/>
      <c r="E12" s="34"/>
      <c r="F12" s="34"/>
      <c r="G12" s="34"/>
      <c r="H12" s="34"/>
      <c r="I12" s="34"/>
      <c r="J12" s="34"/>
      <c r="K12" s="34"/>
    </row>
    <row r="13">
      <c r="A13" s="34"/>
      <c r="B13" s="48" t="s">
        <v>239</v>
      </c>
      <c r="C13" s="48" t="s">
        <v>239</v>
      </c>
      <c r="E13" s="34"/>
      <c r="F13" s="34"/>
      <c r="G13" s="34"/>
      <c r="H13" s="34"/>
      <c r="I13" s="34"/>
      <c r="J13" s="34"/>
      <c r="K13" s="34"/>
    </row>
    <row r="14">
      <c r="A14" s="34"/>
      <c r="B14" s="39"/>
      <c r="C14" s="39"/>
      <c r="D14" s="39"/>
      <c r="E14" s="39"/>
      <c r="F14" s="39"/>
      <c r="G14" s="39"/>
      <c r="H14" s="39"/>
      <c r="I14" s="39"/>
      <c r="J14" s="39"/>
      <c r="K14" s="39"/>
    </row>
    <row r="15">
      <c r="A15" s="49"/>
      <c r="B15" s="50" t="s">
        <v>325</v>
      </c>
      <c r="C15" s="50" t="s">
        <v>326</v>
      </c>
      <c r="D15" s="50" t="s">
        <v>327</v>
      </c>
      <c r="E15" s="50" t="s">
        <v>328</v>
      </c>
      <c r="F15" s="51" t="s">
        <v>329</v>
      </c>
      <c r="G15" s="50" t="s">
        <v>346</v>
      </c>
      <c r="H15" s="52" t="s">
        <v>347</v>
      </c>
      <c r="I15" s="52" t="s">
        <v>331</v>
      </c>
      <c r="J15" s="50" t="s">
        <v>332</v>
      </c>
      <c r="K15" s="53" t="s">
        <v>333</v>
      </c>
    </row>
    <row r="16">
      <c r="A16" s="37"/>
      <c r="B16" s="54">
        <v>1.0</v>
      </c>
      <c r="C16" s="55"/>
      <c r="D16" s="55"/>
      <c r="E16" s="62">
        <v>0.375</v>
      </c>
      <c r="F16" s="57">
        <v>0.75</v>
      </c>
      <c r="G16" s="76">
        <v>1.0</v>
      </c>
      <c r="H16" s="67">
        <v>5.0</v>
      </c>
      <c r="I16" s="59">
        <f t="shared" ref="I16:I46" si="1">IF(F16 &gt;= E16, F16-E16, F16+1-E16)*24 - G16 +(H16*2)</f>
        <v>18</v>
      </c>
      <c r="J16" s="60"/>
      <c r="K16" s="61">
        <f t="shared" ref="K16:K46" si="2">I16-J16</f>
        <v>18</v>
      </c>
    </row>
    <row r="17">
      <c r="A17" s="37"/>
      <c r="B17" s="54">
        <v>2.0</v>
      </c>
      <c r="C17" s="55"/>
      <c r="D17" s="55"/>
      <c r="E17" s="62">
        <v>0.375</v>
      </c>
      <c r="F17" s="57">
        <v>0.75</v>
      </c>
      <c r="G17" s="77">
        <v>1.0</v>
      </c>
      <c r="H17" s="63"/>
      <c r="I17" s="59">
        <f t="shared" si="1"/>
        <v>8</v>
      </c>
      <c r="J17" s="64"/>
      <c r="K17" s="61">
        <f t="shared" si="2"/>
        <v>8</v>
      </c>
    </row>
    <row r="18">
      <c r="A18" s="37"/>
      <c r="B18" s="54">
        <v>3.0</v>
      </c>
      <c r="C18" s="55"/>
      <c r="D18" s="55"/>
      <c r="E18" s="62">
        <v>0.375</v>
      </c>
      <c r="F18" s="57">
        <v>0.75</v>
      </c>
      <c r="G18" s="77">
        <v>1.0</v>
      </c>
      <c r="H18" s="63"/>
      <c r="I18" s="59">
        <f t="shared" si="1"/>
        <v>8</v>
      </c>
      <c r="J18" s="64"/>
      <c r="K18" s="61">
        <f t="shared" si="2"/>
        <v>8</v>
      </c>
    </row>
    <row r="19">
      <c r="A19" s="37"/>
      <c r="B19" s="54">
        <v>4.0</v>
      </c>
      <c r="C19" s="55"/>
      <c r="D19" s="55"/>
      <c r="E19" s="65"/>
      <c r="F19" s="66"/>
      <c r="G19" s="55"/>
      <c r="H19" s="67"/>
      <c r="I19" s="59">
        <f t="shared" si="1"/>
        <v>0</v>
      </c>
      <c r="J19" s="68"/>
      <c r="K19" s="61">
        <f t="shared" si="2"/>
        <v>0</v>
      </c>
    </row>
    <row r="20">
      <c r="A20" s="37"/>
      <c r="B20" s="54">
        <v>5.0</v>
      </c>
      <c r="C20" s="55"/>
      <c r="D20" s="55"/>
      <c r="E20" s="65"/>
      <c r="F20" s="66"/>
      <c r="G20" s="55"/>
      <c r="H20" s="63"/>
      <c r="I20" s="59">
        <f t="shared" si="1"/>
        <v>0</v>
      </c>
      <c r="J20" s="64"/>
      <c r="K20" s="61">
        <f t="shared" si="2"/>
        <v>0</v>
      </c>
    </row>
    <row r="21">
      <c r="A21" s="37"/>
      <c r="B21" s="54">
        <v>6.0</v>
      </c>
      <c r="C21" s="55"/>
      <c r="D21" s="55"/>
      <c r="E21" s="65"/>
      <c r="F21" s="66"/>
      <c r="G21" s="55"/>
      <c r="H21" s="63"/>
      <c r="I21" s="59">
        <f t="shared" si="1"/>
        <v>0</v>
      </c>
      <c r="J21" s="64"/>
      <c r="K21" s="61">
        <f t="shared" si="2"/>
        <v>0</v>
      </c>
    </row>
    <row r="22">
      <c r="A22" s="37"/>
      <c r="B22" s="54">
        <v>7.0</v>
      </c>
      <c r="C22" s="55"/>
      <c r="D22" s="55"/>
      <c r="E22" s="65"/>
      <c r="F22" s="66"/>
      <c r="G22" s="55"/>
      <c r="H22" s="63"/>
      <c r="I22" s="59">
        <f t="shared" si="1"/>
        <v>0</v>
      </c>
      <c r="J22" s="64"/>
      <c r="K22" s="61">
        <f t="shared" si="2"/>
        <v>0</v>
      </c>
    </row>
    <row r="23">
      <c r="A23" s="37"/>
      <c r="B23" s="54">
        <v>8.0</v>
      </c>
      <c r="C23" s="55"/>
      <c r="D23" s="55"/>
      <c r="E23" s="65"/>
      <c r="F23" s="66"/>
      <c r="G23" s="55"/>
      <c r="H23" s="63"/>
      <c r="I23" s="59">
        <f t="shared" si="1"/>
        <v>0</v>
      </c>
      <c r="J23" s="64"/>
      <c r="K23" s="61">
        <f t="shared" si="2"/>
        <v>0</v>
      </c>
    </row>
    <row r="24">
      <c r="A24" s="37"/>
      <c r="B24" s="54">
        <v>9.0</v>
      </c>
      <c r="C24" s="55"/>
      <c r="D24" s="55"/>
      <c r="E24" s="65"/>
      <c r="F24" s="66"/>
      <c r="G24" s="55"/>
      <c r="H24" s="63"/>
      <c r="I24" s="59">
        <f t="shared" si="1"/>
        <v>0</v>
      </c>
      <c r="J24" s="64"/>
      <c r="K24" s="61">
        <f t="shared" si="2"/>
        <v>0</v>
      </c>
    </row>
    <row r="25">
      <c r="A25" s="37"/>
      <c r="B25" s="54">
        <v>10.0</v>
      </c>
      <c r="C25" s="55"/>
      <c r="D25" s="55"/>
      <c r="E25" s="65"/>
      <c r="F25" s="66"/>
      <c r="G25" s="55"/>
      <c r="H25" s="63"/>
      <c r="I25" s="59">
        <f t="shared" si="1"/>
        <v>0</v>
      </c>
      <c r="J25" s="64"/>
      <c r="K25" s="61">
        <f t="shared" si="2"/>
        <v>0</v>
      </c>
    </row>
    <row r="26">
      <c r="A26" s="37"/>
      <c r="B26" s="54">
        <v>11.0</v>
      </c>
      <c r="C26" s="55"/>
      <c r="D26" s="55"/>
      <c r="E26" s="65"/>
      <c r="F26" s="66"/>
      <c r="G26" s="55"/>
      <c r="H26" s="63"/>
      <c r="I26" s="59">
        <f t="shared" si="1"/>
        <v>0</v>
      </c>
      <c r="J26" s="64"/>
      <c r="K26" s="61">
        <f t="shared" si="2"/>
        <v>0</v>
      </c>
    </row>
    <row r="27">
      <c r="A27" s="37"/>
      <c r="B27" s="54">
        <v>12.0</v>
      </c>
      <c r="C27" s="55"/>
      <c r="D27" s="55"/>
      <c r="E27" s="65"/>
      <c r="F27" s="66"/>
      <c r="G27" s="55"/>
      <c r="H27" s="63"/>
      <c r="I27" s="59">
        <f t="shared" si="1"/>
        <v>0</v>
      </c>
      <c r="J27" s="64"/>
      <c r="K27" s="61">
        <f t="shared" si="2"/>
        <v>0</v>
      </c>
    </row>
    <row r="28">
      <c r="A28" s="37"/>
      <c r="B28" s="54">
        <v>13.0</v>
      </c>
      <c r="C28" s="55"/>
      <c r="D28" s="55"/>
      <c r="E28" s="65"/>
      <c r="F28" s="66"/>
      <c r="G28" s="55"/>
      <c r="H28" s="63"/>
      <c r="I28" s="59">
        <f t="shared" si="1"/>
        <v>0</v>
      </c>
      <c r="J28" s="64"/>
      <c r="K28" s="61">
        <f t="shared" si="2"/>
        <v>0</v>
      </c>
    </row>
    <row r="29">
      <c r="A29" s="37"/>
      <c r="B29" s="54">
        <v>14.0</v>
      </c>
      <c r="C29" s="55"/>
      <c r="D29" s="55"/>
      <c r="E29" s="65"/>
      <c r="F29" s="66"/>
      <c r="G29" s="55"/>
      <c r="H29" s="63"/>
      <c r="I29" s="59">
        <f t="shared" si="1"/>
        <v>0</v>
      </c>
      <c r="J29" s="64"/>
      <c r="K29" s="61">
        <f t="shared" si="2"/>
        <v>0</v>
      </c>
    </row>
    <row r="30">
      <c r="A30" s="37"/>
      <c r="B30" s="54">
        <v>15.0</v>
      </c>
      <c r="C30" s="55"/>
      <c r="D30" s="55"/>
      <c r="E30" s="65"/>
      <c r="F30" s="66"/>
      <c r="G30" s="55"/>
      <c r="H30" s="63"/>
      <c r="I30" s="59">
        <f t="shared" si="1"/>
        <v>0</v>
      </c>
      <c r="J30" s="64"/>
      <c r="K30" s="61">
        <f t="shared" si="2"/>
        <v>0</v>
      </c>
    </row>
    <row r="31">
      <c r="A31" s="37"/>
      <c r="B31" s="54">
        <v>16.0</v>
      </c>
      <c r="C31" s="55"/>
      <c r="D31" s="55"/>
      <c r="E31" s="65"/>
      <c r="F31" s="66"/>
      <c r="G31" s="55"/>
      <c r="H31" s="63"/>
      <c r="I31" s="59">
        <f t="shared" si="1"/>
        <v>0</v>
      </c>
      <c r="J31" s="64"/>
      <c r="K31" s="61">
        <f t="shared" si="2"/>
        <v>0</v>
      </c>
    </row>
    <row r="32">
      <c r="A32" s="37"/>
      <c r="B32" s="54">
        <v>17.0</v>
      </c>
      <c r="C32" s="55"/>
      <c r="D32" s="55"/>
      <c r="E32" s="65"/>
      <c r="F32" s="66"/>
      <c r="G32" s="55"/>
      <c r="H32" s="63"/>
      <c r="I32" s="59">
        <f t="shared" si="1"/>
        <v>0</v>
      </c>
      <c r="J32" s="64"/>
      <c r="K32" s="61">
        <f t="shared" si="2"/>
        <v>0</v>
      </c>
    </row>
    <row r="33">
      <c r="A33" s="37"/>
      <c r="B33" s="54">
        <v>18.0</v>
      </c>
      <c r="C33" s="55"/>
      <c r="D33" s="55"/>
      <c r="E33" s="65"/>
      <c r="F33" s="66"/>
      <c r="G33" s="55"/>
      <c r="H33" s="63"/>
      <c r="I33" s="59">
        <f t="shared" si="1"/>
        <v>0</v>
      </c>
      <c r="J33" s="64"/>
      <c r="K33" s="61">
        <f t="shared" si="2"/>
        <v>0</v>
      </c>
    </row>
    <row r="34">
      <c r="A34" s="37"/>
      <c r="B34" s="54">
        <v>19.0</v>
      </c>
      <c r="C34" s="55"/>
      <c r="D34" s="55"/>
      <c r="E34" s="65"/>
      <c r="F34" s="66"/>
      <c r="G34" s="55"/>
      <c r="H34" s="63"/>
      <c r="I34" s="59">
        <f t="shared" si="1"/>
        <v>0</v>
      </c>
      <c r="J34" s="64"/>
      <c r="K34" s="61">
        <f t="shared" si="2"/>
        <v>0</v>
      </c>
    </row>
    <row r="35">
      <c r="A35" s="37"/>
      <c r="B35" s="54">
        <v>20.0</v>
      </c>
      <c r="C35" s="55"/>
      <c r="D35" s="55"/>
      <c r="E35" s="65"/>
      <c r="F35" s="66"/>
      <c r="G35" s="55"/>
      <c r="H35" s="63"/>
      <c r="I35" s="59">
        <f t="shared" si="1"/>
        <v>0</v>
      </c>
      <c r="J35" s="64"/>
      <c r="K35" s="61">
        <f t="shared" si="2"/>
        <v>0</v>
      </c>
    </row>
    <row r="36">
      <c r="A36" s="37"/>
      <c r="B36" s="54">
        <v>21.0</v>
      </c>
      <c r="C36" s="55"/>
      <c r="D36" s="55"/>
      <c r="E36" s="65"/>
      <c r="F36" s="66"/>
      <c r="G36" s="55"/>
      <c r="H36" s="63"/>
      <c r="I36" s="59">
        <f t="shared" si="1"/>
        <v>0</v>
      </c>
      <c r="J36" s="64"/>
      <c r="K36" s="61">
        <f t="shared" si="2"/>
        <v>0</v>
      </c>
    </row>
    <row r="37">
      <c r="A37" s="37"/>
      <c r="B37" s="54">
        <v>22.0</v>
      </c>
      <c r="C37" s="55"/>
      <c r="D37" s="55"/>
      <c r="E37" s="65"/>
      <c r="F37" s="66"/>
      <c r="G37" s="55"/>
      <c r="H37" s="63"/>
      <c r="I37" s="59">
        <f t="shared" si="1"/>
        <v>0</v>
      </c>
      <c r="J37" s="64"/>
      <c r="K37" s="61">
        <f t="shared" si="2"/>
        <v>0</v>
      </c>
    </row>
    <row r="38">
      <c r="A38" s="37"/>
      <c r="B38" s="54">
        <v>23.0</v>
      </c>
      <c r="C38" s="55"/>
      <c r="D38" s="55"/>
      <c r="E38" s="65"/>
      <c r="F38" s="66"/>
      <c r="G38" s="55"/>
      <c r="H38" s="63"/>
      <c r="I38" s="59">
        <f t="shared" si="1"/>
        <v>0</v>
      </c>
      <c r="J38" s="64"/>
      <c r="K38" s="61">
        <f t="shared" si="2"/>
        <v>0</v>
      </c>
    </row>
    <row r="39">
      <c r="A39" s="37"/>
      <c r="B39" s="54">
        <v>24.0</v>
      </c>
      <c r="C39" s="55"/>
      <c r="D39" s="55"/>
      <c r="E39" s="65"/>
      <c r="F39" s="66"/>
      <c r="G39" s="55"/>
      <c r="H39" s="63"/>
      <c r="I39" s="59">
        <f t="shared" si="1"/>
        <v>0</v>
      </c>
      <c r="J39" s="64"/>
      <c r="K39" s="61">
        <f t="shared" si="2"/>
        <v>0</v>
      </c>
    </row>
    <row r="40">
      <c r="A40" s="37"/>
      <c r="B40" s="54">
        <v>25.0</v>
      </c>
      <c r="C40" s="55"/>
      <c r="D40" s="55"/>
      <c r="E40" s="65"/>
      <c r="F40" s="66"/>
      <c r="G40" s="55"/>
      <c r="H40" s="63"/>
      <c r="I40" s="59">
        <f t="shared" si="1"/>
        <v>0</v>
      </c>
      <c r="J40" s="64"/>
      <c r="K40" s="61">
        <f t="shared" si="2"/>
        <v>0</v>
      </c>
    </row>
    <row r="41">
      <c r="A41" s="37"/>
      <c r="B41" s="54">
        <v>26.0</v>
      </c>
      <c r="C41" s="55"/>
      <c r="D41" s="55"/>
      <c r="E41" s="65"/>
      <c r="F41" s="66"/>
      <c r="G41" s="55"/>
      <c r="H41" s="63"/>
      <c r="I41" s="59">
        <f t="shared" si="1"/>
        <v>0</v>
      </c>
      <c r="J41" s="64"/>
      <c r="K41" s="61">
        <f t="shared" si="2"/>
        <v>0</v>
      </c>
    </row>
    <row r="42">
      <c r="A42" s="37"/>
      <c r="B42" s="54">
        <v>27.0</v>
      </c>
      <c r="C42" s="55"/>
      <c r="D42" s="55"/>
      <c r="E42" s="65"/>
      <c r="F42" s="66"/>
      <c r="G42" s="55"/>
      <c r="H42" s="63"/>
      <c r="I42" s="59">
        <f t="shared" si="1"/>
        <v>0</v>
      </c>
      <c r="J42" s="64"/>
      <c r="K42" s="61">
        <f t="shared" si="2"/>
        <v>0</v>
      </c>
    </row>
    <row r="43">
      <c r="A43" s="37"/>
      <c r="B43" s="54">
        <v>28.0</v>
      </c>
      <c r="C43" s="55"/>
      <c r="D43" s="55"/>
      <c r="E43" s="65"/>
      <c r="F43" s="66"/>
      <c r="G43" s="55"/>
      <c r="H43" s="63"/>
      <c r="I43" s="59">
        <f t="shared" si="1"/>
        <v>0</v>
      </c>
      <c r="J43" s="64"/>
      <c r="K43" s="61">
        <f t="shared" si="2"/>
        <v>0</v>
      </c>
    </row>
    <row r="44">
      <c r="A44" s="37"/>
      <c r="B44" s="54">
        <v>29.0</v>
      </c>
      <c r="C44" s="55"/>
      <c r="D44" s="55"/>
      <c r="E44" s="65"/>
      <c r="F44" s="66"/>
      <c r="G44" s="55"/>
      <c r="H44" s="63"/>
      <c r="I44" s="59">
        <f t="shared" si="1"/>
        <v>0</v>
      </c>
      <c r="J44" s="64"/>
      <c r="K44" s="61">
        <f t="shared" si="2"/>
        <v>0</v>
      </c>
    </row>
    <row r="45">
      <c r="A45" s="37"/>
      <c r="B45" s="54">
        <v>30.0</v>
      </c>
      <c r="C45" s="55"/>
      <c r="D45" s="55"/>
      <c r="E45" s="65"/>
      <c r="F45" s="66"/>
      <c r="G45" s="55"/>
      <c r="H45" s="63"/>
      <c r="I45" s="59">
        <f t="shared" si="1"/>
        <v>0</v>
      </c>
      <c r="J45" s="64"/>
      <c r="K45" s="61">
        <f t="shared" si="2"/>
        <v>0</v>
      </c>
    </row>
    <row r="46">
      <c r="A46" s="37"/>
      <c r="B46" s="54">
        <v>31.0</v>
      </c>
      <c r="C46" s="55"/>
      <c r="D46" s="55"/>
      <c r="E46" s="65"/>
      <c r="F46" s="66"/>
      <c r="G46" s="55"/>
      <c r="H46" s="63"/>
      <c r="I46" s="59">
        <f t="shared" si="1"/>
        <v>0</v>
      </c>
      <c r="J46" s="64"/>
      <c r="K46" s="61">
        <f t="shared" si="2"/>
        <v>0</v>
      </c>
    </row>
    <row r="47">
      <c r="A47" s="37"/>
      <c r="B47" s="69" t="s">
        <v>335</v>
      </c>
      <c r="C47" s="45"/>
      <c r="D47" s="45"/>
      <c r="E47" s="45"/>
      <c r="F47" s="44"/>
      <c r="G47" s="70">
        <f>SUM(G16:G46)</f>
        <v>3</v>
      </c>
      <c r="H47" s="70"/>
      <c r="I47" s="70">
        <f t="shared" ref="I47:K47" si="3">SUM(I16:I46)</f>
        <v>34</v>
      </c>
      <c r="J47" s="70">
        <f t="shared" si="3"/>
        <v>0</v>
      </c>
      <c r="K47" s="70">
        <f t="shared" si="3"/>
        <v>34</v>
      </c>
    </row>
    <row r="48">
      <c r="A48" s="71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>
      <c r="A49" s="71"/>
      <c r="B49" s="72"/>
      <c r="C49" s="39"/>
      <c r="D49" s="39"/>
      <c r="E49" s="39"/>
      <c r="F49" s="72" t="s">
        <v>336</v>
      </c>
      <c r="G49" s="34"/>
      <c r="H49" s="34"/>
      <c r="I49" s="34"/>
      <c r="J49" s="34"/>
      <c r="K49" s="73" t="s">
        <v>337</v>
      </c>
    </row>
    <row r="50">
      <c r="A50" s="37"/>
      <c r="B50" s="46"/>
      <c r="F50" s="42"/>
      <c r="G50" s="34"/>
      <c r="H50" s="34"/>
      <c r="I50" s="34"/>
      <c r="J50" s="34"/>
      <c r="K50" s="73" t="s">
        <v>338</v>
      </c>
    </row>
    <row r="51">
      <c r="A51" s="37"/>
      <c r="B51" s="45"/>
      <c r="C51" s="45"/>
      <c r="D51" s="45"/>
      <c r="E51" s="45"/>
      <c r="F51" s="44"/>
      <c r="G51" s="34"/>
      <c r="H51" s="34"/>
      <c r="I51" s="34"/>
      <c r="J51" s="34"/>
      <c r="K51" s="73" t="s">
        <v>339</v>
      </c>
    </row>
    <row r="52">
      <c r="A52" s="71"/>
      <c r="B52" s="34"/>
      <c r="C52" s="34"/>
      <c r="D52" s="34"/>
      <c r="E52" s="34"/>
      <c r="F52" s="34"/>
      <c r="G52" s="34"/>
      <c r="H52" s="34"/>
      <c r="I52" s="34"/>
      <c r="J52" s="34"/>
      <c r="K52" s="73" t="s">
        <v>340</v>
      </c>
    </row>
    <row r="53">
      <c r="A53" s="71"/>
      <c r="B53" s="36"/>
      <c r="C53" s="72" t="s">
        <v>2</v>
      </c>
      <c r="D53" s="39"/>
      <c r="E53" s="39"/>
      <c r="F53" s="72" t="s">
        <v>341</v>
      </c>
      <c r="G53" s="34"/>
      <c r="H53" s="34"/>
      <c r="I53" s="34"/>
      <c r="J53" s="34"/>
      <c r="K53" s="73" t="s">
        <v>342</v>
      </c>
    </row>
    <row r="54">
      <c r="A54" s="37"/>
      <c r="B54" s="74" t="s">
        <v>239</v>
      </c>
      <c r="C54" s="45"/>
      <c r="D54" s="44"/>
      <c r="E54" s="74" t="s">
        <v>239</v>
      </c>
      <c r="F54" s="44"/>
      <c r="G54" s="34"/>
      <c r="H54" s="34"/>
      <c r="I54" s="34"/>
      <c r="J54" s="34"/>
      <c r="K54" s="73" t="s">
        <v>343</v>
      </c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73" t="s">
        <v>344</v>
      </c>
    </row>
    <row r="57">
      <c r="A57" s="71"/>
      <c r="B57" s="36"/>
      <c r="C57" s="72" t="s">
        <v>2</v>
      </c>
      <c r="D57" s="39"/>
      <c r="E57" s="39"/>
      <c r="F57" s="72" t="s">
        <v>345</v>
      </c>
      <c r="G57" s="34"/>
      <c r="H57" s="34"/>
      <c r="I57" s="34"/>
      <c r="J57" s="34"/>
    </row>
    <row r="58">
      <c r="A58" s="37"/>
      <c r="B58" s="74" t="s">
        <v>239</v>
      </c>
      <c r="C58" s="45"/>
      <c r="D58" s="44"/>
      <c r="E58" s="74" t="s">
        <v>239</v>
      </c>
      <c r="F58" s="44"/>
      <c r="G58" s="34"/>
      <c r="H58" s="34"/>
      <c r="I58" s="34"/>
      <c r="J58" s="34"/>
      <c r="K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</sheetData>
  <mergeCells count="10">
    <mergeCell ref="B54:D54"/>
    <mergeCell ref="B58:D58"/>
    <mergeCell ref="E58:F58"/>
    <mergeCell ref="B8:B9"/>
    <mergeCell ref="C8:D9"/>
    <mergeCell ref="E8:I9"/>
    <mergeCell ref="C13:D13"/>
    <mergeCell ref="B47:F47"/>
    <mergeCell ref="B50:F51"/>
    <mergeCell ref="E54:F5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1.38"/>
    <col customWidth="1" min="2" max="2" width="15.5"/>
    <col customWidth="1" min="4" max="4" width="21.38"/>
  </cols>
  <sheetData>
    <row r="1">
      <c r="A1" s="12" t="s">
        <v>348</v>
      </c>
      <c r="B1" s="14" t="s">
        <v>349</v>
      </c>
      <c r="C1" s="14" t="s">
        <v>350</v>
      </c>
      <c r="D1" s="14" t="s">
        <v>351</v>
      </c>
      <c r="E1" s="14" t="s">
        <v>352</v>
      </c>
      <c r="F1" s="15"/>
      <c r="G1" s="15"/>
      <c r="H1" s="15"/>
      <c r="I1" s="15"/>
      <c r="J1" s="15"/>
    </row>
    <row r="2">
      <c r="A2" s="15" t="s">
        <v>353</v>
      </c>
      <c r="B2" s="24"/>
      <c r="C2" s="24"/>
      <c r="E2" s="23" t="b">
        <v>0</v>
      </c>
    </row>
    <row r="3">
      <c r="A3" s="15" t="s">
        <v>353</v>
      </c>
      <c r="B3" s="24"/>
      <c r="C3" s="24"/>
      <c r="E3" s="23" t="b">
        <v>0</v>
      </c>
    </row>
    <row r="4">
      <c r="A4" s="15" t="s">
        <v>353</v>
      </c>
      <c r="B4" s="24"/>
      <c r="C4" s="24"/>
      <c r="E4" s="23" t="b">
        <v>0</v>
      </c>
    </row>
    <row r="5">
      <c r="A5" s="15" t="s">
        <v>353</v>
      </c>
      <c r="B5" s="24"/>
      <c r="C5" s="24"/>
      <c r="D5" s="15"/>
      <c r="E5" s="23" t="b">
        <v>0</v>
      </c>
    </row>
    <row r="6">
      <c r="A6" s="15" t="s">
        <v>353</v>
      </c>
      <c r="B6" s="24"/>
      <c r="C6" s="24"/>
      <c r="E6" s="23" t="b">
        <v>0</v>
      </c>
    </row>
    <row r="7">
      <c r="A7" s="15" t="s">
        <v>353</v>
      </c>
      <c r="B7" s="24"/>
      <c r="C7" s="24"/>
      <c r="E7" s="23" t="b">
        <v>0</v>
      </c>
    </row>
    <row r="8">
      <c r="A8" s="15" t="s">
        <v>353</v>
      </c>
      <c r="B8" s="24"/>
      <c r="C8" s="24"/>
      <c r="E8" s="23" t="b">
        <v>0</v>
      </c>
    </row>
    <row r="9">
      <c r="A9" s="15" t="s">
        <v>353</v>
      </c>
      <c r="B9" s="24"/>
      <c r="C9" s="24"/>
      <c r="E9" s="23" t="b">
        <v>0</v>
      </c>
    </row>
    <row r="10">
      <c r="A10" s="15" t="s">
        <v>354</v>
      </c>
      <c r="B10" s="24" t="s">
        <v>355</v>
      </c>
      <c r="C10" s="24">
        <v>6000.0</v>
      </c>
      <c r="D10" s="15" t="s">
        <v>356</v>
      </c>
      <c r="E10" s="23" t="b">
        <v>1</v>
      </c>
    </row>
    <row r="11">
      <c r="A11" s="15" t="s">
        <v>357</v>
      </c>
      <c r="B11" s="24" t="s">
        <v>358</v>
      </c>
      <c r="C11" s="24">
        <v>80000.0</v>
      </c>
      <c r="D11" s="15" t="s">
        <v>356</v>
      </c>
      <c r="E11" s="23" t="b">
        <v>1</v>
      </c>
    </row>
    <row r="12">
      <c r="A12" s="15"/>
      <c r="B12" s="24"/>
      <c r="C12" s="24"/>
      <c r="E12" s="23" t="b">
        <v>0</v>
      </c>
    </row>
    <row r="13">
      <c r="A13" s="15"/>
      <c r="B13" s="24"/>
      <c r="C13" s="24"/>
      <c r="E13" s="23" t="b">
        <v>0</v>
      </c>
    </row>
    <row r="14">
      <c r="A14" s="15"/>
      <c r="B14" s="24"/>
      <c r="C14" s="24"/>
      <c r="E14" s="23" t="b">
        <v>0</v>
      </c>
    </row>
    <row r="15">
      <c r="A15" s="15"/>
      <c r="B15" s="24"/>
      <c r="C15" s="24"/>
      <c r="E15" s="23" t="b">
        <v>0</v>
      </c>
    </row>
    <row r="16">
      <c r="A16" s="15"/>
      <c r="B16" s="24"/>
      <c r="C16" s="24"/>
      <c r="E16" s="23" t="b">
        <v>0</v>
      </c>
    </row>
    <row r="17">
      <c r="A17" s="15"/>
      <c r="B17" s="24"/>
      <c r="C17" s="24"/>
      <c r="E17" s="23" t="b">
        <v>0</v>
      </c>
    </row>
    <row r="18">
      <c r="A18" s="15"/>
      <c r="B18" s="24"/>
      <c r="C18" s="25"/>
      <c r="E18" s="23" t="b">
        <v>0</v>
      </c>
    </row>
    <row r="19">
      <c r="A19" s="15" t="s">
        <v>359</v>
      </c>
      <c r="B19" s="24"/>
      <c r="C19" s="25"/>
      <c r="E19" s="23" t="b">
        <v>0</v>
      </c>
    </row>
    <row r="20">
      <c r="A20" s="15" t="s">
        <v>360</v>
      </c>
      <c r="B20" s="24"/>
      <c r="C20" s="25"/>
      <c r="E20" s="78" t="b">
        <v>0</v>
      </c>
    </row>
    <row r="21">
      <c r="A21" s="15"/>
      <c r="B21" s="24"/>
      <c r="C21" s="25"/>
      <c r="E21" s="78" t="b">
        <v>0</v>
      </c>
    </row>
    <row r="22">
      <c r="A22" s="15"/>
      <c r="B22" s="24"/>
      <c r="C22" s="25"/>
      <c r="E22" s="78" t="b">
        <v>0</v>
      </c>
    </row>
    <row r="23">
      <c r="A23" s="15"/>
      <c r="B23" s="24"/>
      <c r="C23" s="25"/>
      <c r="E23" s="78" t="b">
        <v>0</v>
      </c>
    </row>
    <row r="24">
      <c r="B24" s="24"/>
      <c r="C24" s="25"/>
      <c r="E24" s="78" t="b">
        <v>0</v>
      </c>
    </row>
    <row r="25">
      <c r="B25" s="24"/>
      <c r="C25" s="25"/>
      <c r="E25" s="78" t="b">
        <v>0</v>
      </c>
    </row>
    <row r="26">
      <c r="B26" s="24"/>
      <c r="C26" s="25"/>
      <c r="E26" s="78" t="b">
        <v>0</v>
      </c>
    </row>
    <row r="27">
      <c r="B27" s="24"/>
      <c r="C27" s="25"/>
      <c r="E27" s="78" t="b">
        <v>0</v>
      </c>
    </row>
    <row r="28">
      <c r="B28" s="24"/>
      <c r="E28" s="78" t="b">
        <v>0</v>
      </c>
    </row>
    <row r="29">
      <c r="B29" s="24"/>
      <c r="E29" s="78" t="b">
        <v>0</v>
      </c>
    </row>
    <row r="30">
      <c r="B30" s="24"/>
      <c r="E30" s="78" t="b">
        <v>0</v>
      </c>
    </row>
    <row r="31">
      <c r="B31" s="24"/>
      <c r="E31" s="78" t="b">
        <v>0</v>
      </c>
    </row>
    <row r="32">
      <c r="B32" s="24"/>
      <c r="E32" s="78" t="b">
        <v>0</v>
      </c>
    </row>
    <row r="33">
      <c r="B33" s="24"/>
      <c r="E33" s="78" t="b">
        <v>0</v>
      </c>
    </row>
    <row r="34">
      <c r="B34" s="24"/>
      <c r="E34" s="78" t="b">
        <v>0</v>
      </c>
    </row>
    <row r="35">
      <c r="B35" s="24"/>
      <c r="E35" s="78" t="b">
        <v>0</v>
      </c>
    </row>
    <row r="36">
      <c r="B36" s="24"/>
      <c r="E36" s="78" t="b">
        <v>0</v>
      </c>
    </row>
    <row r="37">
      <c r="B37" s="24"/>
      <c r="E37" s="78" t="b">
        <v>0</v>
      </c>
    </row>
    <row r="38">
      <c r="B38" s="24"/>
      <c r="E38" s="78" t="b">
        <v>0</v>
      </c>
    </row>
    <row r="39">
      <c r="B39" s="24"/>
      <c r="E39" s="78" t="b">
        <v>0</v>
      </c>
    </row>
    <row r="40">
      <c r="B40" s="24"/>
      <c r="E40" s="78" t="b">
        <v>0</v>
      </c>
    </row>
    <row r="41">
      <c r="B41" s="17"/>
      <c r="E41" s="78" t="b">
        <v>0</v>
      </c>
    </row>
    <row r="42">
      <c r="B42" s="17"/>
      <c r="E42" s="78" t="b">
        <v>0</v>
      </c>
    </row>
    <row r="43">
      <c r="B43" s="17"/>
      <c r="E43" s="78" t="b">
        <v>0</v>
      </c>
    </row>
    <row r="44">
      <c r="B44" s="17"/>
      <c r="E44" s="78" t="b">
        <v>0</v>
      </c>
    </row>
    <row r="45">
      <c r="B45" s="17"/>
      <c r="E45" s="78" t="b">
        <v>0</v>
      </c>
    </row>
    <row r="46">
      <c r="B46" s="17"/>
      <c r="E46" s="78" t="b">
        <v>0</v>
      </c>
    </row>
    <row r="47">
      <c r="B47" s="17"/>
      <c r="E47" s="78" t="b">
        <v>0</v>
      </c>
    </row>
    <row r="48">
      <c r="B48" s="17"/>
      <c r="E48" s="78" t="b">
        <v>0</v>
      </c>
    </row>
    <row r="49">
      <c r="B49" s="17"/>
      <c r="E49" s="78" t="b">
        <v>0</v>
      </c>
    </row>
    <row r="50">
      <c r="B50" s="17"/>
      <c r="E50" s="78" t="b">
        <v>0</v>
      </c>
    </row>
    <row r="51">
      <c r="B51" s="17"/>
      <c r="E51" s="78" t="b">
        <v>0</v>
      </c>
    </row>
    <row r="52">
      <c r="B52" s="17"/>
      <c r="E52" s="78" t="b">
        <v>0</v>
      </c>
    </row>
    <row r="53">
      <c r="B53" s="17"/>
      <c r="E53" s="78" t="b">
        <v>0</v>
      </c>
    </row>
    <row r="54">
      <c r="E54" s="78" t="b">
        <v>0</v>
      </c>
    </row>
  </sheetData>
  <conditionalFormatting sqref="E1:E997">
    <cfRule type="cellIs" dxfId="1" priority="1" operator="equal">
      <formula>"TRUE"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79" t="s">
        <v>361</v>
      </c>
      <c r="B1" s="80"/>
      <c r="C1" s="80"/>
      <c r="D1" s="80"/>
      <c r="E1" s="80"/>
      <c r="F1" s="80"/>
      <c r="G1" s="81"/>
      <c r="H1" s="79" t="s">
        <v>361</v>
      </c>
      <c r="I1" s="80"/>
      <c r="J1" s="80"/>
      <c r="K1" s="80"/>
      <c r="L1" s="80"/>
      <c r="M1" s="80"/>
      <c r="N1" s="81"/>
    </row>
    <row r="2">
      <c r="A2" s="82" t="s">
        <v>362</v>
      </c>
      <c r="B2" s="83" t="s">
        <v>363</v>
      </c>
      <c r="C2" s="81"/>
      <c r="D2" s="84" t="s">
        <v>364</v>
      </c>
      <c r="E2" s="81"/>
      <c r="F2" s="83" t="s">
        <v>365</v>
      </c>
      <c r="G2" s="80"/>
      <c r="H2" s="82" t="s">
        <v>362</v>
      </c>
      <c r="I2" s="83" t="s">
        <v>42</v>
      </c>
      <c r="J2" s="80"/>
      <c r="K2" s="85" t="s">
        <v>364</v>
      </c>
      <c r="L2" s="81"/>
      <c r="M2" s="83" t="s">
        <v>365</v>
      </c>
      <c r="N2" s="80"/>
    </row>
    <row r="3">
      <c r="A3" s="82" t="s">
        <v>366</v>
      </c>
      <c r="B3" s="83" t="s">
        <v>367</v>
      </c>
      <c r="C3" s="81"/>
      <c r="D3" s="84" t="s">
        <v>368</v>
      </c>
      <c r="E3" s="81"/>
      <c r="F3" s="86" t="s">
        <v>369</v>
      </c>
      <c r="G3" s="80"/>
      <c r="H3" s="82" t="s">
        <v>366</v>
      </c>
      <c r="I3" s="83" t="s">
        <v>367</v>
      </c>
      <c r="J3" s="80"/>
      <c r="K3" s="85" t="s">
        <v>368</v>
      </c>
      <c r="L3" s="81"/>
      <c r="M3" s="86" t="s">
        <v>369</v>
      </c>
      <c r="N3" s="80"/>
    </row>
    <row r="4">
      <c r="A4" s="87" t="s">
        <v>325</v>
      </c>
      <c r="B4" s="87" t="s">
        <v>2</v>
      </c>
      <c r="C4" s="87" t="s">
        <v>370</v>
      </c>
      <c r="D4" s="87" t="s">
        <v>329</v>
      </c>
      <c r="E4" s="87" t="s">
        <v>371</v>
      </c>
      <c r="F4" s="87" t="s">
        <v>372</v>
      </c>
      <c r="G4" s="87" t="s">
        <v>373</v>
      </c>
      <c r="H4" s="87" t="s">
        <v>325</v>
      </c>
      <c r="I4" s="87" t="s">
        <v>2</v>
      </c>
      <c r="J4" s="87" t="s">
        <v>370</v>
      </c>
      <c r="K4" s="87" t="s">
        <v>329</v>
      </c>
      <c r="L4" s="87" t="s">
        <v>371</v>
      </c>
      <c r="M4" s="87" t="s">
        <v>372</v>
      </c>
      <c r="N4" s="87" t="s">
        <v>373</v>
      </c>
    </row>
    <row r="5" ht="21.0" customHeight="1">
      <c r="A5" s="88" t="s">
        <v>374</v>
      </c>
      <c r="B5" s="89"/>
      <c r="C5" s="90"/>
      <c r="D5" s="90"/>
      <c r="E5" s="90"/>
      <c r="F5" s="90"/>
      <c r="G5" s="90"/>
      <c r="H5" s="91" t="s">
        <v>374</v>
      </c>
      <c r="I5" s="92"/>
      <c r="J5" s="90"/>
      <c r="K5" s="90"/>
      <c r="L5" s="90"/>
      <c r="M5" s="90"/>
      <c r="N5" s="90"/>
    </row>
    <row r="6" ht="21.0" customHeight="1">
      <c r="A6" s="88" t="s">
        <v>375</v>
      </c>
      <c r="B6" s="89"/>
      <c r="C6" s="90"/>
      <c r="D6" s="90"/>
      <c r="E6" s="90"/>
      <c r="F6" s="90"/>
      <c r="G6" s="90"/>
      <c r="H6" s="91" t="s">
        <v>375</v>
      </c>
      <c r="I6" s="92"/>
      <c r="J6" s="90"/>
      <c r="K6" s="90"/>
      <c r="L6" s="90"/>
      <c r="M6" s="90"/>
      <c r="N6" s="90"/>
    </row>
    <row r="7" ht="21.0" customHeight="1">
      <c r="A7" s="88" t="s">
        <v>376</v>
      </c>
      <c r="B7" s="89">
        <v>45383.0</v>
      </c>
      <c r="C7" s="90"/>
      <c r="D7" s="90"/>
      <c r="E7" s="90"/>
      <c r="F7" s="90"/>
      <c r="G7" s="90"/>
      <c r="H7" s="91" t="s">
        <v>376</v>
      </c>
      <c r="I7" s="89">
        <v>45383.0</v>
      </c>
      <c r="J7" s="90"/>
      <c r="K7" s="90"/>
      <c r="L7" s="90"/>
      <c r="M7" s="90"/>
      <c r="N7" s="90"/>
    </row>
    <row r="8" ht="21.0" customHeight="1">
      <c r="A8" s="88" t="s">
        <v>377</v>
      </c>
      <c r="B8" s="89">
        <v>45384.0</v>
      </c>
      <c r="C8" s="90"/>
      <c r="D8" s="90"/>
      <c r="E8" s="90"/>
      <c r="F8" s="90"/>
      <c r="G8" s="90"/>
      <c r="H8" s="91" t="s">
        <v>377</v>
      </c>
      <c r="I8" s="89">
        <v>45384.0</v>
      </c>
      <c r="J8" s="90"/>
      <c r="K8" s="90"/>
      <c r="L8" s="90"/>
      <c r="M8" s="90"/>
      <c r="N8" s="90"/>
    </row>
    <row r="9" ht="21.0" customHeight="1">
      <c r="A9" s="88" t="s">
        <v>378</v>
      </c>
      <c r="B9" s="89">
        <v>45385.0</v>
      </c>
      <c r="C9" s="90"/>
      <c r="D9" s="90"/>
      <c r="E9" s="90"/>
      <c r="F9" s="90"/>
      <c r="G9" s="90"/>
      <c r="H9" s="91" t="s">
        <v>378</v>
      </c>
      <c r="I9" s="89">
        <v>45385.0</v>
      </c>
      <c r="J9" s="90"/>
      <c r="K9" s="90"/>
      <c r="L9" s="90"/>
      <c r="M9" s="90"/>
      <c r="N9" s="90"/>
    </row>
    <row r="10" ht="21.0" customHeight="1">
      <c r="A10" s="88" t="s">
        <v>379</v>
      </c>
      <c r="B10" s="89">
        <v>45386.0</v>
      </c>
      <c r="C10" s="90"/>
      <c r="D10" s="90"/>
      <c r="E10" s="90"/>
      <c r="F10" s="90"/>
      <c r="G10" s="90"/>
      <c r="H10" s="91" t="s">
        <v>379</v>
      </c>
      <c r="I10" s="89">
        <v>45386.0</v>
      </c>
      <c r="J10" s="90"/>
      <c r="K10" s="90"/>
      <c r="L10" s="90"/>
      <c r="M10" s="90"/>
      <c r="N10" s="90"/>
    </row>
    <row r="11" ht="21.0" customHeight="1">
      <c r="A11" s="88" t="s">
        <v>380</v>
      </c>
      <c r="B11" s="89">
        <v>45387.0</v>
      </c>
      <c r="C11" s="90"/>
      <c r="D11" s="90"/>
      <c r="E11" s="90"/>
      <c r="F11" s="90"/>
      <c r="G11" s="90"/>
      <c r="H11" s="91" t="s">
        <v>380</v>
      </c>
      <c r="I11" s="89">
        <v>45387.0</v>
      </c>
      <c r="J11" s="90"/>
      <c r="K11" s="90"/>
      <c r="L11" s="90"/>
      <c r="M11" s="90"/>
      <c r="N11" s="90"/>
    </row>
    <row r="12" ht="21.0" customHeight="1">
      <c r="A12" s="93" t="s">
        <v>331</v>
      </c>
      <c r="B12" s="94"/>
      <c r="C12" s="95"/>
      <c r="D12" s="96"/>
      <c r="E12" s="96"/>
      <c r="F12" s="96"/>
      <c r="G12" s="96"/>
      <c r="H12" s="97" t="s">
        <v>331</v>
      </c>
      <c r="I12" s="92"/>
      <c r="J12" s="95"/>
      <c r="K12" s="96"/>
      <c r="L12" s="96"/>
      <c r="M12" s="96"/>
      <c r="N12" s="96"/>
    </row>
    <row r="13">
      <c r="A13" s="98"/>
      <c r="B13" s="98"/>
      <c r="C13" s="99"/>
      <c r="D13" s="100"/>
      <c r="E13" s="100"/>
      <c r="F13" s="100"/>
      <c r="G13" s="101" t="s">
        <v>381</v>
      </c>
      <c r="H13" s="102"/>
      <c r="I13" s="102"/>
      <c r="J13" s="99"/>
      <c r="K13" s="100"/>
      <c r="L13" s="100"/>
      <c r="M13" s="100"/>
      <c r="N13" s="101" t="s">
        <v>381</v>
      </c>
    </row>
    <row r="14">
      <c r="A14" s="103"/>
      <c r="B14" s="103"/>
      <c r="C14" s="104" t="s">
        <v>382</v>
      </c>
      <c r="G14" s="105"/>
      <c r="H14" s="106"/>
      <c r="I14" s="106"/>
      <c r="J14" s="104" t="s">
        <v>382</v>
      </c>
      <c r="N14" s="105"/>
    </row>
    <row r="15">
      <c r="A15" s="107" t="s">
        <v>383</v>
      </c>
      <c r="B15" s="107" t="s">
        <v>384</v>
      </c>
      <c r="C15" s="104" t="s">
        <v>382</v>
      </c>
      <c r="G15" s="105"/>
      <c r="H15" s="108" t="s">
        <v>383</v>
      </c>
      <c r="I15" s="108" t="s">
        <v>384</v>
      </c>
      <c r="J15" s="104" t="s">
        <v>382</v>
      </c>
      <c r="N15" s="105"/>
    </row>
    <row r="16">
      <c r="A16" s="98"/>
      <c r="B16" s="98"/>
      <c r="C16" s="104" t="s">
        <v>382</v>
      </c>
      <c r="G16" s="105"/>
      <c r="H16" s="102"/>
      <c r="I16" s="102"/>
      <c r="J16" s="104" t="s">
        <v>382</v>
      </c>
      <c r="N16" s="105"/>
    </row>
    <row r="17">
      <c r="A17" s="107" t="s">
        <v>2</v>
      </c>
      <c r="B17" s="109"/>
      <c r="C17" s="104" t="s">
        <v>382</v>
      </c>
      <c r="G17" s="105"/>
      <c r="H17" s="108" t="s">
        <v>2</v>
      </c>
      <c r="I17" s="110"/>
      <c r="J17" s="104" t="s">
        <v>382</v>
      </c>
      <c r="N17" s="105"/>
    </row>
    <row r="18">
      <c r="A18" s="98"/>
      <c r="B18" s="98"/>
      <c r="C18" s="104" t="s">
        <v>382</v>
      </c>
      <c r="G18" s="105"/>
      <c r="H18" s="102"/>
      <c r="I18" s="102"/>
      <c r="J18" s="104" t="s">
        <v>382</v>
      </c>
      <c r="N18" s="105"/>
    </row>
    <row r="19">
      <c r="A19" s="111"/>
      <c r="B19" s="111"/>
      <c r="C19" s="104" t="s">
        <v>382</v>
      </c>
      <c r="G19" s="105"/>
      <c r="H19" s="111"/>
      <c r="I19" s="111"/>
      <c r="J19" s="104" t="s">
        <v>382</v>
      </c>
      <c r="N19" s="105"/>
    </row>
    <row r="20">
      <c r="A20" s="111"/>
      <c r="B20" s="111"/>
      <c r="C20" s="104" t="s">
        <v>382</v>
      </c>
      <c r="G20" s="105"/>
      <c r="H20" s="112"/>
      <c r="I20" s="112"/>
      <c r="J20" s="104" t="s">
        <v>382</v>
      </c>
      <c r="N20" s="105"/>
    </row>
    <row r="21">
      <c r="A21" s="111"/>
      <c r="B21" s="111"/>
      <c r="C21" s="104" t="s">
        <v>382</v>
      </c>
      <c r="G21" s="105"/>
      <c r="H21" s="111"/>
      <c r="I21" s="111"/>
      <c r="J21" s="104" t="s">
        <v>382</v>
      </c>
      <c r="N21" s="105"/>
    </row>
    <row r="22">
      <c r="A22" s="111"/>
      <c r="B22" s="111"/>
      <c r="C22" s="104" t="s">
        <v>382</v>
      </c>
      <c r="G22" s="105"/>
      <c r="H22" s="112"/>
      <c r="I22" s="112"/>
      <c r="J22" s="104" t="s">
        <v>382</v>
      </c>
      <c r="N22" s="105"/>
    </row>
    <row r="23">
      <c r="A23" s="111"/>
      <c r="B23" s="111"/>
      <c r="C23" s="104" t="s">
        <v>382</v>
      </c>
      <c r="G23" s="105"/>
      <c r="H23" s="111"/>
      <c r="I23" s="111"/>
      <c r="J23" s="104" t="s">
        <v>382</v>
      </c>
      <c r="N23" s="105"/>
    </row>
    <row r="24">
      <c r="A24" s="111"/>
      <c r="B24" s="111"/>
      <c r="C24" s="104" t="s">
        <v>382</v>
      </c>
      <c r="G24" s="105"/>
      <c r="H24" s="112"/>
      <c r="I24" s="112"/>
      <c r="J24" s="104" t="s">
        <v>382</v>
      </c>
      <c r="N24" s="105"/>
    </row>
    <row r="25">
      <c r="A25" s="111"/>
      <c r="B25" s="111"/>
      <c r="C25" s="104" t="s">
        <v>382</v>
      </c>
      <c r="G25" s="105"/>
      <c r="H25" s="111"/>
      <c r="I25" s="111"/>
      <c r="J25" s="104" t="s">
        <v>382</v>
      </c>
      <c r="N25" s="105"/>
    </row>
    <row r="26">
      <c r="A26" s="111"/>
      <c r="B26" s="111"/>
      <c r="C26" s="104" t="s">
        <v>382</v>
      </c>
      <c r="G26" s="105"/>
      <c r="H26" s="112"/>
      <c r="I26" s="112"/>
      <c r="J26" s="104" t="s">
        <v>382</v>
      </c>
      <c r="N26" s="105"/>
    </row>
    <row r="27">
      <c r="A27" s="111"/>
      <c r="B27" s="111"/>
      <c r="C27" s="104" t="s">
        <v>382</v>
      </c>
      <c r="G27" s="105"/>
      <c r="H27" s="111"/>
      <c r="I27" s="111"/>
      <c r="J27" s="104" t="s">
        <v>382</v>
      </c>
      <c r="N27" s="105"/>
    </row>
    <row r="28">
      <c r="A28" s="111"/>
      <c r="B28" s="111"/>
      <c r="C28" s="104" t="s">
        <v>382</v>
      </c>
      <c r="G28" s="105"/>
      <c r="H28" s="111"/>
      <c r="I28" s="111"/>
      <c r="J28" s="104" t="s">
        <v>382</v>
      </c>
      <c r="N28" s="105"/>
    </row>
    <row r="29">
      <c r="A29" s="111"/>
      <c r="B29" s="111"/>
      <c r="C29" s="104" t="s">
        <v>382</v>
      </c>
      <c r="G29" s="105"/>
      <c r="H29" s="112"/>
      <c r="I29" s="112"/>
      <c r="J29" s="104" t="s">
        <v>382</v>
      </c>
      <c r="N29" s="105"/>
    </row>
    <row r="30">
      <c r="A30" s="111"/>
      <c r="B30" s="111"/>
      <c r="C30" s="104" t="s">
        <v>382</v>
      </c>
      <c r="G30" s="105"/>
      <c r="H30" s="112"/>
      <c r="I30" s="112"/>
      <c r="J30" s="104" t="s">
        <v>382</v>
      </c>
      <c r="N30" s="105"/>
    </row>
    <row r="31">
      <c r="A31" s="111"/>
      <c r="B31" s="111"/>
      <c r="C31" s="104" t="s">
        <v>382</v>
      </c>
      <c r="G31" s="105"/>
      <c r="H31" s="112"/>
      <c r="I31" s="112"/>
      <c r="J31" s="104" t="s">
        <v>382</v>
      </c>
      <c r="N31" s="105"/>
    </row>
    <row r="32">
      <c r="A32" s="111"/>
      <c r="B32" s="111"/>
      <c r="C32" s="104" t="s">
        <v>382</v>
      </c>
      <c r="G32" s="105"/>
      <c r="H32" s="112"/>
      <c r="I32" s="112"/>
      <c r="J32" s="104" t="s">
        <v>382</v>
      </c>
      <c r="N32" s="105"/>
    </row>
    <row r="33">
      <c r="A33" s="111"/>
      <c r="B33" s="111"/>
      <c r="C33" s="104" t="s">
        <v>382</v>
      </c>
      <c r="G33" s="105"/>
      <c r="H33" s="112"/>
      <c r="I33" s="112"/>
      <c r="J33" s="104" t="s">
        <v>382</v>
      </c>
      <c r="N33" s="105"/>
    </row>
    <row r="34">
      <c r="A34" s="111"/>
      <c r="B34" s="111"/>
      <c r="C34" s="104" t="s">
        <v>382</v>
      </c>
      <c r="G34" s="105"/>
      <c r="H34" s="112"/>
      <c r="I34" s="112"/>
      <c r="J34" s="104" t="s">
        <v>382</v>
      </c>
      <c r="N34" s="105"/>
    </row>
    <row r="35">
      <c r="A35" s="111"/>
      <c r="B35" s="111"/>
      <c r="C35" s="104" t="s">
        <v>382</v>
      </c>
      <c r="G35" s="105"/>
      <c r="H35" s="111"/>
      <c r="I35" s="111"/>
      <c r="J35" s="104" t="s">
        <v>382</v>
      </c>
      <c r="N35" s="105"/>
    </row>
    <row r="36">
      <c r="A36" s="111"/>
      <c r="B36" s="111"/>
      <c r="C36" s="104" t="s">
        <v>382</v>
      </c>
      <c r="G36" s="105"/>
      <c r="H36" s="112"/>
      <c r="I36" s="112"/>
      <c r="J36" s="104" t="s">
        <v>382</v>
      </c>
      <c r="N36" s="105"/>
    </row>
    <row r="37">
      <c r="A37" s="111"/>
      <c r="B37" s="111"/>
      <c r="C37" s="104" t="s">
        <v>382</v>
      </c>
      <c r="G37" s="105"/>
      <c r="H37" s="111"/>
      <c r="I37" s="111"/>
      <c r="J37" s="104" t="s">
        <v>382</v>
      </c>
      <c r="N37" s="105"/>
    </row>
    <row r="38">
      <c r="A38" s="111"/>
      <c r="B38" s="111"/>
      <c r="C38" s="104" t="s">
        <v>382</v>
      </c>
      <c r="G38" s="105"/>
      <c r="H38" s="112"/>
      <c r="I38" s="112"/>
      <c r="J38" s="104" t="s">
        <v>382</v>
      </c>
      <c r="N38" s="105"/>
    </row>
    <row r="39">
      <c r="A39" s="111"/>
      <c r="B39" s="111"/>
      <c r="C39" s="113" t="s">
        <v>382</v>
      </c>
      <c r="D39" s="114"/>
      <c r="E39" s="114"/>
      <c r="F39" s="114"/>
      <c r="G39" s="115"/>
      <c r="H39" s="111"/>
      <c r="I39" s="111"/>
      <c r="J39" s="113" t="s">
        <v>382</v>
      </c>
      <c r="K39" s="114"/>
      <c r="L39" s="114"/>
      <c r="M39" s="114"/>
      <c r="N39" s="115"/>
    </row>
  </sheetData>
  <mergeCells count="66">
    <mergeCell ref="J32:N32"/>
    <mergeCell ref="J33:N33"/>
    <mergeCell ref="J25:N25"/>
    <mergeCell ref="J26:N26"/>
    <mergeCell ref="J27:N27"/>
    <mergeCell ref="J28:N28"/>
    <mergeCell ref="J29:N29"/>
    <mergeCell ref="J30:N30"/>
    <mergeCell ref="J31:N31"/>
    <mergeCell ref="J35:N35"/>
    <mergeCell ref="J36:N36"/>
    <mergeCell ref="C31:G31"/>
    <mergeCell ref="C32:G32"/>
    <mergeCell ref="C33:G33"/>
    <mergeCell ref="C34:G34"/>
    <mergeCell ref="J34:N34"/>
    <mergeCell ref="C35:G35"/>
    <mergeCell ref="C36:G36"/>
    <mergeCell ref="A1:G1"/>
    <mergeCell ref="H1:N1"/>
    <mergeCell ref="D2:E2"/>
    <mergeCell ref="F2:G2"/>
    <mergeCell ref="I2:J2"/>
    <mergeCell ref="K2:L2"/>
    <mergeCell ref="M2:N2"/>
    <mergeCell ref="B2:C2"/>
    <mergeCell ref="B3:C3"/>
    <mergeCell ref="D3:E3"/>
    <mergeCell ref="F3:G3"/>
    <mergeCell ref="I3:J3"/>
    <mergeCell ref="K3:L3"/>
    <mergeCell ref="M3:N3"/>
    <mergeCell ref="C14:G14"/>
    <mergeCell ref="J14:N14"/>
    <mergeCell ref="C15:G15"/>
    <mergeCell ref="J15:N15"/>
    <mergeCell ref="C16:G16"/>
    <mergeCell ref="J16:N16"/>
    <mergeCell ref="J17:N17"/>
    <mergeCell ref="C17:G17"/>
    <mergeCell ref="C18:G18"/>
    <mergeCell ref="C19:G19"/>
    <mergeCell ref="C20:G20"/>
    <mergeCell ref="C21:G21"/>
    <mergeCell ref="C22:G22"/>
    <mergeCell ref="C23:G23"/>
    <mergeCell ref="J18:N18"/>
    <mergeCell ref="J19:N19"/>
    <mergeCell ref="J20:N20"/>
    <mergeCell ref="J21:N21"/>
    <mergeCell ref="J22:N22"/>
    <mergeCell ref="J23:N23"/>
    <mergeCell ref="J24:N24"/>
    <mergeCell ref="C24:G24"/>
    <mergeCell ref="C25:G25"/>
    <mergeCell ref="C26:G26"/>
    <mergeCell ref="C27:G27"/>
    <mergeCell ref="C28:G28"/>
    <mergeCell ref="C29:G29"/>
    <mergeCell ref="C30:G30"/>
    <mergeCell ref="C37:G37"/>
    <mergeCell ref="J37:N37"/>
    <mergeCell ref="C38:G38"/>
    <mergeCell ref="J38:N38"/>
    <mergeCell ref="C39:G39"/>
    <mergeCell ref="J39:N39"/>
  </mergeCells>
  <printOptions horizontalCentered="1" verticalCentered="1"/>
  <pageMargins bottom="0.0" footer="0.0" header="0.0" left="0.0" right="0.0" top="0.0"/>
  <pageSetup fitToHeight="0"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2.75"/>
    <col customWidth="1" min="2" max="2" width="25.38"/>
    <col customWidth="1" min="3" max="3" width="14.25"/>
    <col customWidth="1" min="4" max="5" width="33.38"/>
    <col customWidth="1" min="6" max="6" width="7.38"/>
  </cols>
  <sheetData>
    <row r="1">
      <c r="A1" s="12" t="s">
        <v>21</v>
      </c>
      <c r="B1" s="14" t="s">
        <v>22</v>
      </c>
      <c r="C1" s="14" t="s">
        <v>385</v>
      </c>
      <c r="D1" s="14" t="s">
        <v>23</v>
      </c>
      <c r="E1" s="14"/>
      <c r="F1" s="14" t="s">
        <v>77</v>
      </c>
      <c r="G1" s="78" t="str">
        <f>B1 * (0.15 * EXP(-2.707 * 10^-8 * B1))</f>
        <v>#VALUE!</v>
      </c>
      <c r="H1" s="15"/>
      <c r="I1" s="15"/>
      <c r="J1" s="15"/>
      <c r="K1" s="17"/>
    </row>
    <row r="2" ht="15.0" customHeight="1">
      <c r="A2" s="116" t="s">
        <v>254</v>
      </c>
      <c r="B2" s="117">
        <v>120000.0</v>
      </c>
      <c r="C2" s="118">
        <v>45423.0</v>
      </c>
      <c r="D2" s="119">
        <v>0.5</v>
      </c>
      <c r="E2" s="120">
        <f t="shared" ref="E2:E28" si="1">D2*B2</f>
        <v>60000</v>
      </c>
      <c r="F2" s="23" t="b">
        <v>0</v>
      </c>
      <c r="G2" s="121">
        <f t="shared" ref="G2:G27" si="2">B2 * (0.18 * EXP(-10 * 10^-7 * B2))</f>
        <v>19157.48143</v>
      </c>
      <c r="H2" s="119">
        <v>10000.0</v>
      </c>
      <c r="I2" s="122">
        <f>sum(G2:G17)/sum(B2:B17)</f>
        <v>0.1541679333</v>
      </c>
      <c r="J2" s="122"/>
      <c r="K2" s="120">
        <f>H2 * (0.18 * EXP(-10 * 10^-8 * H2))</f>
        <v>1798.2009</v>
      </c>
      <c r="L2" s="123">
        <f t="shared" ref="L2:L339" si="3">K2/H2</f>
        <v>0.17982009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</row>
    <row r="3">
      <c r="A3" s="124" t="s">
        <v>260</v>
      </c>
      <c r="B3" s="117">
        <v>80000.0</v>
      </c>
      <c r="C3" s="118">
        <v>45425.0</v>
      </c>
      <c r="D3" s="119">
        <v>0.5</v>
      </c>
      <c r="E3" s="120">
        <f t="shared" si="1"/>
        <v>40000</v>
      </c>
      <c r="F3" s="23" t="b">
        <v>0</v>
      </c>
      <c r="G3" s="121">
        <f t="shared" si="2"/>
        <v>13292.87539</v>
      </c>
      <c r="H3" s="119">
        <v>15000.0</v>
      </c>
      <c r="I3" s="122"/>
      <c r="J3" s="122"/>
      <c r="K3" s="120">
        <f t="shared" ref="K3:K340" si="4">H3 * (0.18 * EXP(-10 * 10^-7 * H3))</f>
        <v>2659.802237</v>
      </c>
      <c r="L3" s="123">
        <f t="shared" si="3"/>
        <v>0.1773201491</v>
      </c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</row>
    <row r="4">
      <c r="A4" s="124" t="s">
        <v>261</v>
      </c>
      <c r="B4" s="117">
        <v>30000.0</v>
      </c>
      <c r="C4" s="118">
        <v>45425.0</v>
      </c>
      <c r="D4" s="119">
        <v>0.5</v>
      </c>
      <c r="E4" s="120">
        <f t="shared" si="1"/>
        <v>15000</v>
      </c>
      <c r="F4" s="23" t="b">
        <v>0</v>
      </c>
      <c r="G4" s="121">
        <f t="shared" si="2"/>
        <v>5240.405881</v>
      </c>
      <c r="H4" s="119">
        <v>20000.0</v>
      </c>
      <c r="I4" s="122"/>
      <c r="J4" s="122"/>
      <c r="K4" s="120">
        <f t="shared" si="4"/>
        <v>3528.715224</v>
      </c>
      <c r="L4" s="123">
        <f t="shared" si="3"/>
        <v>0.1764357612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</row>
    <row r="5">
      <c r="A5" s="124" t="s">
        <v>264</v>
      </c>
      <c r="B5" s="117">
        <v>125000.0</v>
      </c>
      <c r="C5" s="118">
        <v>45427.0</v>
      </c>
      <c r="D5" s="119">
        <v>0.5</v>
      </c>
      <c r="E5" s="120">
        <f t="shared" si="1"/>
        <v>62500</v>
      </c>
      <c r="F5" s="23" t="b">
        <v>0</v>
      </c>
      <c r="G5" s="121">
        <f t="shared" si="2"/>
        <v>19856.18031</v>
      </c>
      <c r="H5" s="119">
        <v>25000.0</v>
      </c>
      <c r="I5" s="122"/>
      <c r="J5" s="122"/>
      <c r="K5" s="120">
        <f t="shared" si="4"/>
        <v>4388.894604</v>
      </c>
      <c r="L5" s="123">
        <f t="shared" si="3"/>
        <v>0.1755557842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</row>
    <row r="6">
      <c r="A6" s="124" t="s">
        <v>386</v>
      </c>
      <c r="B6" s="117">
        <v>107000.0</v>
      </c>
      <c r="C6" s="118">
        <v>45435.0</v>
      </c>
      <c r="D6" s="119">
        <v>0.5</v>
      </c>
      <c r="E6" s="120">
        <f t="shared" si="1"/>
        <v>53500</v>
      </c>
      <c r="F6" s="23" t="b">
        <v>0</v>
      </c>
      <c r="G6" s="121">
        <f t="shared" si="2"/>
        <v>17305.60446</v>
      </c>
      <c r="H6" s="119">
        <v>30000.0</v>
      </c>
      <c r="I6" s="122"/>
      <c r="J6" s="122"/>
      <c r="K6" s="120">
        <f t="shared" si="4"/>
        <v>5240.405881</v>
      </c>
      <c r="L6" s="123">
        <f t="shared" si="3"/>
        <v>0.174680196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</row>
    <row r="7">
      <c r="A7" s="124" t="s">
        <v>266</v>
      </c>
      <c r="B7" s="117">
        <v>50000.0</v>
      </c>
      <c r="C7" s="118">
        <v>45428.0</v>
      </c>
      <c r="D7" s="119">
        <v>0.0</v>
      </c>
      <c r="E7" s="120">
        <f t="shared" si="1"/>
        <v>0</v>
      </c>
      <c r="F7" s="23" t="b">
        <v>0</v>
      </c>
      <c r="G7" s="121">
        <f t="shared" si="2"/>
        <v>8561.064821</v>
      </c>
      <c r="H7" s="119">
        <v>35000.0</v>
      </c>
      <c r="I7" s="122"/>
      <c r="J7" s="122"/>
      <c r="K7" s="120">
        <f t="shared" si="4"/>
        <v>6083.314122</v>
      </c>
      <c r="L7" s="123">
        <f t="shared" si="3"/>
        <v>0.1738089749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</row>
    <row r="8">
      <c r="A8" s="124" t="s">
        <v>267</v>
      </c>
      <c r="B8" s="117">
        <v>100000.0</v>
      </c>
      <c r="C8" s="118">
        <v>45428.0</v>
      </c>
      <c r="D8" s="119">
        <v>0.0</v>
      </c>
      <c r="E8" s="120">
        <f t="shared" si="1"/>
        <v>0</v>
      </c>
      <c r="F8" s="23" t="b">
        <v>0</v>
      </c>
      <c r="G8" s="121">
        <f t="shared" si="2"/>
        <v>16287.07352</v>
      </c>
      <c r="H8" s="119">
        <v>40000.0</v>
      </c>
      <c r="I8" s="122"/>
      <c r="J8" s="122"/>
      <c r="K8" s="120">
        <f t="shared" si="4"/>
        <v>6917.683962</v>
      </c>
      <c r="L8" s="123">
        <f t="shared" si="3"/>
        <v>0.172942099</v>
      </c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>
      <c r="A9" s="124" t="s">
        <v>268</v>
      </c>
      <c r="B9" s="117">
        <v>35000.0</v>
      </c>
      <c r="C9" s="118">
        <v>45428.0</v>
      </c>
      <c r="D9" s="119">
        <v>0.5</v>
      </c>
      <c r="E9" s="120">
        <f t="shared" si="1"/>
        <v>17500</v>
      </c>
      <c r="F9" s="23" t="b">
        <v>0</v>
      </c>
      <c r="G9" s="121">
        <f t="shared" si="2"/>
        <v>6083.314122</v>
      </c>
      <c r="H9" s="119">
        <v>45000.0</v>
      </c>
      <c r="I9" s="122"/>
      <c r="J9" s="122"/>
      <c r="K9" s="120">
        <f t="shared" si="4"/>
        <v>7743.579603</v>
      </c>
      <c r="L9" s="123">
        <f t="shared" si="3"/>
        <v>0.1720795467</v>
      </c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>
      <c r="A10" s="124" t="s">
        <v>269</v>
      </c>
      <c r="B10" s="117">
        <v>125000.0</v>
      </c>
      <c r="C10" s="118">
        <v>45428.0</v>
      </c>
      <c r="D10" s="119">
        <v>0.0</v>
      </c>
      <c r="E10" s="120">
        <f t="shared" si="1"/>
        <v>0</v>
      </c>
      <c r="F10" s="23" t="b">
        <v>0</v>
      </c>
      <c r="G10" s="121">
        <f t="shared" si="2"/>
        <v>19856.18031</v>
      </c>
      <c r="H10" s="119">
        <v>50000.0</v>
      </c>
      <c r="I10" s="122"/>
      <c r="J10" s="122"/>
      <c r="K10" s="120">
        <f t="shared" si="4"/>
        <v>8561.064821</v>
      </c>
      <c r="L10" s="123">
        <f t="shared" si="3"/>
        <v>0.1712212964</v>
      </c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>
      <c r="A11" s="124" t="s">
        <v>270</v>
      </c>
      <c r="B11" s="117">
        <v>20000.0</v>
      </c>
      <c r="C11" s="118">
        <v>45428.0</v>
      </c>
      <c r="D11" s="119">
        <v>0.5</v>
      </c>
      <c r="E11" s="120">
        <f t="shared" si="1"/>
        <v>10000</v>
      </c>
      <c r="F11" s="23" t="b">
        <v>0</v>
      </c>
      <c r="G11" s="121">
        <f t="shared" si="2"/>
        <v>3528.715224</v>
      </c>
      <c r="H11" s="119">
        <v>55000.0</v>
      </c>
      <c r="I11" s="122"/>
      <c r="J11" s="122"/>
      <c r="K11" s="120">
        <f t="shared" si="4"/>
        <v>9370.202965</v>
      </c>
      <c r="L11" s="123">
        <f t="shared" si="3"/>
        <v>0.1703673266</v>
      </c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>
      <c r="A12" s="124" t="s">
        <v>271</v>
      </c>
      <c r="B12" s="117">
        <v>350000.0</v>
      </c>
      <c r="C12" s="118">
        <v>45428.0</v>
      </c>
      <c r="D12" s="119">
        <v>0.25</v>
      </c>
      <c r="E12" s="120">
        <f t="shared" si="1"/>
        <v>87500</v>
      </c>
      <c r="F12" s="23" t="b">
        <v>0</v>
      </c>
      <c r="G12" s="121">
        <f t="shared" si="2"/>
        <v>44395.34965</v>
      </c>
      <c r="H12" s="119">
        <v>60000.0</v>
      </c>
      <c r="I12" s="122"/>
      <c r="J12" s="122"/>
      <c r="K12" s="120">
        <f t="shared" si="4"/>
        <v>10171.05696</v>
      </c>
      <c r="L12" s="123">
        <f t="shared" si="3"/>
        <v>0.169517616</v>
      </c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>
      <c r="A13" s="124" t="s">
        <v>277</v>
      </c>
      <c r="B13" s="117">
        <v>35000.0</v>
      </c>
      <c r="C13" s="118">
        <v>45433.0</v>
      </c>
      <c r="D13" s="119">
        <v>0.25</v>
      </c>
      <c r="E13" s="120">
        <f t="shared" si="1"/>
        <v>8750</v>
      </c>
      <c r="F13" s="23" t="b">
        <v>0</v>
      </c>
      <c r="G13" s="121">
        <f t="shared" si="2"/>
        <v>6083.314122</v>
      </c>
      <c r="H13" s="119">
        <v>65000.0</v>
      </c>
      <c r="I13" s="122"/>
      <c r="J13" s="122"/>
      <c r="K13" s="120">
        <f t="shared" si="4"/>
        <v>10963.68932</v>
      </c>
      <c r="L13" s="123">
        <f t="shared" si="3"/>
        <v>0.1686721434</v>
      </c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>
      <c r="A14" s="124" t="s">
        <v>278</v>
      </c>
      <c r="B14" s="117">
        <v>165000.0</v>
      </c>
      <c r="C14" s="118">
        <v>45433.0</v>
      </c>
      <c r="D14" s="119">
        <v>0.5</v>
      </c>
      <c r="E14" s="120">
        <f t="shared" si="1"/>
        <v>82500</v>
      </c>
      <c r="F14" s="23" t="b">
        <v>0</v>
      </c>
      <c r="G14" s="121">
        <f t="shared" si="2"/>
        <v>25182.44301</v>
      </c>
      <c r="H14" s="119">
        <v>70000.0</v>
      </c>
      <c r="I14" s="122"/>
      <c r="J14" s="122"/>
      <c r="K14" s="120">
        <f t="shared" si="4"/>
        <v>11748.16213</v>
      </c>
      <c r="L14" s="123">
        <f t="shared" si="3"/>
        <v>0.1678308876</v>
      </c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>
      <c r="A15" s="124" t="s">
        <v>279</v>
      </c>
      <c r="B15" s="117">
        <v>90000.0</v>
      </c>
      <c r="C15" s="118">
        <v>45433.0</v>
      </c>
      <c r="D15" s="119">
        <v>0.25</v>
      </c>
      <c r="E15" s="120">
        <f t="shared" si="1"/>
        <v>22500</v>
      </c>
      <c r="F15" s="23" t="b">
        <v>0</v>
      </c>
      <c r="G15" s="121">
        <f t="shared" si="2"/>
        <v>14805.6852</v>
      </c>
      <c r="H15" s="119">
        <v>75000.0</v>
      </c>
      <c r="I15" s="122"/>
      <c r="J15" s="122"/>
      <c r="K15" s="120">
        <f t="shared" si="4"/>
        <v>12524.53707</v>
      </c>
      <c r="L15" s="123">
        <f t="shared" si="3"/>
        <v>0.1669938275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>
      <c r="A16" s="124" t="s">
        <v>280</v>
      </c>
      <c r="B16" s="117">
        <v>20000.0</v>
      </c>
      <c r="C16" s="118">
        <v>45433.0</v>
      </c>
      <c r="D16" s="119">
        <v>0.5</v>
      </c>
      <c r="E16" s="120">
        <f t="shared" si="1"/>
        <v>10000</v>
      </c>
      <c r="F16" s="23" t="b">
        <v>0</v>
      </c>
      <c r="G16" s="121">
        <f t="shared" si="2"/>
        <v>3528.715224</v>
      </c>
      <c r="H16" s="119">
        <v>80000.0</v>
      </c>
      <c r="I16" s="122"/>
      <c r="J16" s="122"/>
      <c r="K16" s="120">
        <f t="shared" si="4"/>
        <v>13292.87539</v>
      </c>
      <c r="L16" s="123">
        <f t="shared" si="3"/>
        <v>0.1661609423</v>
      </c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>
      <c r="A17" s="124" t="s">
        <v>282</v>
      </c>
      <c r="B17" s="117">
        <v>35000.0</v>
      </c>
      <c r="C17" s="118">
        <v>45433.0</v>
      </c>
      <c r="D17" s="119">
        <v>0.5</v>
      </c>
      <c r="E17" s="120">
        <f t="shared" si="1"/>
        <v>17500</v>
      </c>
      <c r="F17" s="23" t="b">
        <v>0</v>
      </c>
      <c r="G17" s="121">
        <f t="shared" si="2"/>
        <v>6083.314122</v>
      </c>
      <c r="H17" s="119">
        <v>85000.0</v>
      </c>
      <c r="I17" s="122"/>
      <c r="J17" s="122"/>
      <c r="K17" s="120">
        <f t="shared" si="4"/>
        <v>14053.23795</v>
      </c>
      <c r="L17" s="123">
        <f t="shared" si="3"/>
        <v>0.1653322112</v>
      </c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>
      <c r="A18" s="124" t="s">
        <v>290</v>
      </c>
      <c r="B18" s="117">
        <v>40000.0</v>
      </c>
      <c r="C18" s="118">
        <v>45437.0</v>
      </c>
      <c r="D18" s="23">
        <v>0.5</v>
      </c>
      <c r="E18" s="120">
        <f t="shared" si="1"/>
        <v>20000</v>
      </c>
      <c r="F18" s="23" t="b">
        <v>0</v>
      </c>
      <c r="G18" s="121">
        <f t="shared" si="2"/>
        <v>6917.683962</v>
      </c>
      <c r="H18" s="119">
        <v>90000.0</v>
      </c>
      <c r="J18" s="122"/>
      <c r="K18" s="120">
        <f t="shared" si="4"/>
        <v>14805.6852</v>
      </c>
      <c r="L18" s="123">
        <f t="shared" si="3"/>
        <v>0.1645076133</v>
      </c>
    </row>
    <row r="19">
      <c r="A19" s="124" t="s">
        <v>291</v>
      </c>
      <c r="B19" s="117">
        <v>45000.0</v>
      </c>
      <c r="C19" s="118">
        <v>45437.0</v>
      </c>
      <c r="D19" s="23">
        <v>0.5</v>
      </c>
      <c r="E19" s="120">
        <f t="shared" si="1"/>
        <v>22500</v>
      </c>
      <c r="F19" s="23" t="b">
        <v>0</v>
      </c>
      <c r="G19" s="121">
        <f t="shared" si="2"/>
        <v>7743.579603</v>
      </c>
      <c r="H19" s="119">
        <v>95000.0</v>
      </c>
      <c r="J19" s="122"/>
      <c r="K19" s="120">
        <f t="shared" si="4"/>
        <v>15550.27718</v>
      </c>
      <c r="L19" s="123">
        <f t="shared" si="3"/>
        <v>0.1636871282</v>
      </c>
    </row>
    <row r="20">
      <c r="A20" s="124" t="s">
        <v>295</v>
      </c>
      <c r="B20" s="125">
        <v>120000.0</v>
      </c>
      <c r="C20" s="118">
        <v>45438.0</v>
      </c>
      <c r="D20" s="23">
        <v>0.0</v>
      </c>
      <c r="E20" s="120">
        <f t="shared" si="1"/>
        <v>0</v>
      </c>
      <c r="F20" s="23" t="b">
        <v>0</v>
      </c>
      <c r="G20" s="121">
        <f t="shared" si="2"/>
        <v>19157.48143</v>
      </c>
      <c r="H20" s="119">
        <v>100000.0</v>
      </c>
      <c r="J20" s="122"/>
      <c r="K20" s="120">
        <f t="shared" si="4"/>
        <v>16287.07352</v>
      </c>
      <c r="L20" s="123">
        <f t="shared" si="3"/>
        <v>0.1628707352</v>
      </c>
    </row>
    <row r="21">
      <c r="A21" s="124" t="s">
        <v>296</v>
      </c>
      <c r="B21" s="117">
        <v>500000.0</v>
      </c>
      <c r="C21" s="118">
        <v>45438.0</v>
      </c>
      <c r="D21" s="23">
        <v>0.25</v>
      </c>
      <c r="E21" s="120">
        <f t="shared" si="1"/>
        <v>125000</v>
      </c>
      <c r="F21" s="23" t="b">
        <v>0</v>
      </c>
      <c r="G21" s="121">
        <f t="shared" si="2"/>
        <v>54587.75937</v>
      </c>
      <c r="H21" s="119">
        <v>105000.0</v>
      </c>
      <c r="J21" s="122"/>
      <c r="K21" s="120">
        <f t="shared" si="4"/>
        <v>17016.13348</v>
      </c>
      <c r="L21" s="123">
        <f t="shared" si="3"/>
        <v>0.1620584141</v>
      </c>
    </row>
    <row r="22">
      <c r="A22" s="126" t="s">
        <v>387</v>
      </c>
      <c r="B22" s="117">
        <v>25000.0</v>
      </c>
      <c r="C22" s="118">
        <v>45439.0</v>
      </c>
      <c r="D22" s="23">
        <v>0.0</v>
      </c>
      <c r="E22" s="120">
        <f t="shared" si="1"/>
        <v>0</v>
      </c>
      <c r="F22" s="23" t="b">
        <v>0</v>
      </c>
      <c r="G22" s="121">
        <f t="shared" si="2"/>
        <v>4388.894604</v>
      </c>
      <c r="H22" s="119">
        <v>110000.0</v>
      </c>
      <c r="J22" s="122"/>
      <c r="K22" s="120">
        <f t="shared" si="4"/>
        <v>17737.51588</v>
      </c>
      <c r="L22" s="123">
        <f t="shared" si="3"/>
        <v>0.1612501444</v>
      </c>
    </row>
    <row r="23">
      <c r="A23" s="15" t="s">
        <v>304</v>
      </c>
      <c r="B23" s="24">
        <v>25000.0</v>
      </c>
      <c r="C23" s="25">
        <v>45441.0</v>
      </c>
      <c r="D23" s="23">
        <v>1.0</v>
      </c>
      <c r="E23" s="120">
        <f t="shared" si="1"/>
        <v>25000</v>
      </c>
      <c r="F23" s="23" t="b">
        <v>0</v>
      </c>
      <c r="G23" s="121">
        <f t="shared" si="2"/>
        <v>4388.894604</v>
      </c>
      <c r="H23" s="119">
        <v>115000.0</v>
      </c>
      <c r="J23" s="122"/>
      <c r="K23" s="120">
        <f t="shared" si="4"/>
        <v>18451.27918</v>
      </c>
      <c r="L23" s="123">
        <f t="shared" si="3"/>
        <v>0.1604459059</v>
      </c>
    </row>
    <row r="24">
      <c r="A24" s="15" t="s">
        <v>305</v>
      </c>
      <c r="B24" s="24">
        <v>20000.0</v>
      </c>
      <c r="C24" s="25">
        <v>45441.0</v>
      </c>
      <c r="D24" s="23">
        <v>1.0</v>
      </c>
      <c r="E24" s="120">
        <f t="shared" si="1"/>
        <v>20000</v>
      </c>
      <c r="F24" s="23" t="b">
        <v>0</v>
      </c>
      <c r="G24" s="121">
        <f t="shared" si="2"/>
        <v>3528.715224</v>
      </c>
      <c r="H24" s="119">
        <v>120000.0</v>
      </c>
      <c r="J24" s="122"/>
      <c r="K24" s="120">
        <f t="shared" si="4"/>
        <v>19157.48143</v>
      </c>
      <c r="L24" s="123">
        <f t="shared" si="3"/>
        <v>0.1596456786</v>
      </c>
    </row>
    <row r="25">
      <c r="A25" s="15" t="s">
        <v>306</v>
      </c>
      <c r="B25" s="24">
        <v>30000.0</v>
      </c>
      <c r="C25" s="25">
        <v>45441.0</v>
      </c>
      <c r="D25" s="23">
        <v>1.0</v>
      </c>
      <c r="E25" s="120">
        <f t="shared" si="1"/>
        <v>30000</v>
      </c>
      <c r="F25" s="23" t="b">
        <v>0</v>
      </c>
      <c r="G25" s="121">
        <f t="shared" si="2"/>
        <v>5240.405881</v>
      </c>
      <c r="H25" s="119">
        <v>125000.0</v>
      </c>
      <c r="J25" s="122"/>
      <c r="K25" s="120">
        <f t="shared" si="4"/>
        <v>19856.18031</v>
      </c>
      <c r="L25" s="123">
        <f t="shared" si="3"/>
        <v>0.1588494425</v>
      </c>
    </row>
    <row r="26">
      <c r="A26" s="15" t="s">
        <v>307</v>
      </c>
      <c r="B26" s="24">
        <v>20000.0</v>
      </c>
      <c r="C26" s="25">
        <v>45441.0</v>
      </c>
      <c r="D26" s="23">
        <v>1.0</v>
      </c>
      <c r="E26" s="120">
        <f t="shared" si="1"/>
        <v>20000</v>
      </c>
      <c r="F26" s="23" t="b">
        <v>0</v>
      </c>
      <c r="G26" s="121">
        <f t="shared" si="2"/>
        <v>3528.715224</v>
      </c>
      <c r="H26" s="119">
        <v>130000.0</v>
      </c>
      <c r="J26" s="122"/>
      <c r="K26" s="120">
        <f t="shared" si="4"/>
        <v>20547.43308</v>
      </c>
      <c r="L26" s="123">
        <f t="shared" si="3"/>
        <v>0.1580571776</v>
      </c>
    </row>
    <row r="27">
      <c r="A27" s="15" t="s">
        <v>308</v>
      </c>
      <c r="B27" s="24">
        <v>10000.0</v>
      </c>
      <c r="C27" s="25">
        <v>45441.0</v>
      </c>
      <c r="D27" s="23">
        <v>1.0</v>
      </c>
      <c r="E27" s="120">
        <f t="shared" si="1"/>
        <v>10000</v>
      </c>
      <c r="F27" s="23" t="b">
        <v>0</v>
      </c>
      <c r="G27" s="121">
        <f t="shared" si="2"/>
        <v>1782.089701</v>
      </c>
      <c r="H27" s="119">
        <v>135000.0</v>
      </c>
      <c r="J27" s="122"/>
      <c r="K27" s="120">
        <f t="shared" si="4"/>
        <v>21231.29665</v>
      </c>
      <c r="L27" s="123">
        <f t="shared" si="3"/>
        <v>0.1572688641</v>
      </c>
    </row>
    <row r="28">
      <c r="A28" s="15" t="s">
        <v>388</v>
      </c>
      <c r="B28" s="16">
        <v>40000.0</v>
      </c>
      <c r="C28" s="25">
        <v>45442.0</v>
      </c>
      <c r="D28" s="119">
        <v>1.0</v>
      </c>
      <c r="E28" s="120">
        <f t="shared" si="1"/>
        <v>40000</v>
      </c>
      <c r="F28" s="23" t="b">
        <v>0</v>
      </c>
      <c r="G28" s="121">
        <f t="shared" ref="G28:G86" si="5">B28 * (0.18 * EXP(-10 * 10^-8 * B28))</f>
        <v>7171.257523</v>
      </c>
      <c r="H28" s="119">
        <v>140000.0</v>
      </c>
      <c r="J28" s="122"/>
      <c r="K28" s="120">
        <f t="shared" si="4"/>
        <v>21907.82753</v>
      </c>
      <c r="L28" s="123">
        <f t="shared" si="3"/>
        <v>0.1564844824</v>
      </c>
    </row>
    <row r="29">
      <c r="B29" s="16"/>
      <c r="F29" s="23" t="b">
        <v>0</v>
      </c>
      <c r="G29" s="121">
        <f t="shared" si="5"/>
        <v>0</v>
      </c>
      <c r="H29" s="119">
        <v>145000.0</v>
      </c>
      <c r="J29" s="122"/>
      <c r="K29" s="120">
        <f t="shared" si="4"/>
        <v>22577.08185</v>
      </c>
      <c r="L29" s="123">
        <f t="shared" si="3"/>
        <v>0.1557040128</v>
      </c>
    </row>
    <row r="30">
      <c r="B30" s="16"/>
      <c r="F30" s="23" t="b">
        <v>0</v>
      </c>
      <c r="G30" s="121">
        <f t="shared" si="5"/>
        <v>0</v>
      </c>
      <c r="H30" s="119">
        <v>150000.0</v>
      </c>
      <c r="J30" s="122"/>
      <c r="K30" s="120">
        <f t="shared" si="4"/>
        <v>23239.11536</v>
      </c>
      <c r="L30" s="123">
        <f t="shared" si="3"/>
        <v>0.1549274358</v>
      </c>
    </row>
    <row r="31">
      <c r="B31" s="16"/>
      <c r="F31" s="23" t="b">
        <v>0</v>
      </c>
      <c r="G31" s="121">
        <f t="shared" si="5"/>
        <v>0</v>
      </c>
      <c r="H31" s="119">
        <v>155000.0</v>
      </c>
      <c r="J31" s="122"/>
      <c r="K31" s="120">
        <f t="shared" si="4"/>
        <v>23893.98345</v>
      </c>
      <c r="L31" s="123">
        <f t="shared" si="3"/>
        <v>0.1541547319</v>
      </c>
    </row>
    <row r="32">
      <c r="B32" s="16"/>
      <c r="F32" s="23" t="b">
        <v>0</v>
      </c>
      <c r="G32" s="121">
        <f t="shared" si="5"/>
        <v>0</v>
      </c>
      <c r="H32" s="119">
        <v>160000.0</v>
      </c>
      <c r="J32" s="122"/>
      <c r="K32" s="120">
        <f t="shared" si="4"/>
        <v>24541.74112</v>
      </c>
      <c r="L32" s="123">
        <f t="shared" si="3"/>
        <v>0.153385882</v>
      </c>
    </row>
    <row r="33">
      <c r="B33" s="16"/>
      <c r="F33" s="23" t="b">
        <v>0</v>
      </c>
      <c r="G33" s="121">
        <f t="shared" si="5"/>
        <v>0</v>
      </c>
      <c r="H33" s="119">
        <v>165000.0</v>
      </c>
      <c r="J33" s="122"/>
      <c r="K33" s="120">
        <f t="shared" si="4"/>
        <v>25182.44301</v>
      </c>
      <c r="L33" s="123">
        <f t="shared" si="3"/>
        <v>0.1526208667</v>
      </c>
    </row>
    <row r="34">
      <c r="B34" s="16"/>
      <c r="F34" s="23" t="b">
        <v>0</v>
      </c>
      <c r="G34" s="121">
        <f t="shared" si="5"/>
        <v>0</v>
      </c>
      <c r="H34" s="119">
        <v>170000.0</v>
      </c>
      <c r="J34" s="122"/>
      <c r="K34" s="120">
        <f t="shared" si="4"/>
        <v>25816.14339</v>
      </c>
      <c r="L34" s="123">
        <f t="shared" si="3"/>
        <v>0.151859667</v>
      </c>
    </row>
    <row r="35">
      <c r="B35" s="16"/>
      <c r="G35" s="121">
        <f t="shared" si="5"/>
        <v>0</v>
      </c>
      <c r="H35" s="119">
        <v>175000.0</v>
      </c>
      <c r="K35" s="120">
        <f t="shared" si="4"/>
        <v>26442.89615</v>
      </c>
      <c r="L35" s="123">
        <f t="shared" si="3"/>
        <v>0.1511022637</v>
      </c>
    </row>
    <row r="36">
      <c r="B36" s="16"/>
      <c r="G36" s="121">
        <f t="shared" si="5"/>
        <v>0</v>
      </c>
      <c r="H36" s="119">
        <v>180000.0</v>
      </c>
      <c r="K36" s="120">
        <f t="shared" si="4"/>
        <v>27062.75485</v>
      </c>
      <c r="L36" s="123">
        <f t="shared" si="3"/>
        <v>0.1503486381</v>
      </c>
    </row>
    <row r="37">
      <c r="B37" s="16"/>
      <c r="G37" s="121">
        <f t="shared" si="5"/>
        <v>0</v>
      </c>
      <c r="H37" s="119">
        <v>185000.0</v>
      </c>
      <c r="K37" s="120">
        <f t="shared" si="4"/>
        <v>27675.77265</v>
      </c>
      <c r="L37" s="123">
        <f t="shared" si="3"/>
        <v>0.1495987711</v>
      </c>
    </row>
    <row r="38">
      <c r="B38" s="16"/>
      <c r="G38" s="121">
        <f t="shared" si="5"/>
        <v>0</v>
      </c>
      <c r="H38" s="119">
        <v>190000.0</v>
      </c>
      <c r="K38" s="120">
        <f t="shared" si="4"/>
        <v>28282.00238</v>
      </c>
      <c r="L38" s="123">
        <f t="shared" si="3"/>
        <v>0.1488526441</v>
      </c>
    </row>
    <row r="39">
      <c r="B39" s="16"/>
      <c r="G39" s="121">
        <f t="shared" si="5"/>
        <v>0</v>
      </c>
      <c r="H39" s="119">
        <v>195000.0</v>
      </c>
      <c r="K39" s="120">
        <f t="shared" si="4"/>
        <v>28881.4965</v>
      </c>
      <c r="L39" s="123">
        <f t="shared" si="3"/>
        <v>0.1481102385</v>
      </c>
    </row>
    <row r="40">
      <c r="B40" s="16"/>
      <c r="G40" s="121">
        <f t="shared" si="5"/>
        <v>0</v>
      </c>
      <c r="H40" s="119">
        <v>200000.0</v>
      </c>
      <c r="K40" s="120">
        <f t="shared" si="4"/>
        <v>29474.30711</v>
      </c>
      <c r="L40" s="123">
        <f t="shared" si="3"/>
        <v>0.1473715356</v>
      </c>
    </row>
    <row r="41">
      <c r="B41" s="16"/>
      <c r="G41" s="121">
        <f t="shared" si="5"/>
        <v>0</v>
      </c>
      <c r="H41" s="119">
        <v>205000.0</v>
      </c>
      <c r="K41" s="120">
        <f t="shared" si="4"/>
        <v>30060.48598</v>
      </c>
      <c r="L41" s="123">
        <f t="shared" si="3"/>
        <v>0.146636517</v>
      </c>
    </row>
    <row r="42">
      <c r="B42" s="16"/>
      <c r="G42" s="121">
        <f t="shared" si="5"/>
        <v>0</v>
      </c>
      <c r="H42" s="119">
        <v>210000.0</v>
      </c>
      <c r="K42" s="120">
        <f t="shared" si="4"/>
        <v>30640.0845</v>
      </c>
      <c r="L42" s="123">
        <f t="shared" si="3"/>
        <v>0.1459051643</v>
      </c>
    </row>
    <row r="43">
      <c r="B43" s="16"/>
      <c r="G43" s="121">
        <f t="shared" si="5"/>
        <v>0</v>
      </c>
      <c r="H43" s="119">
        <v>215000.0</v>
      </c>
      <c r="K43" s="120">
        <f t="shared" si="4"/>
        <v>31213.15373</v>
      </c>
      <c r="L43" s="123">
        <f t="shared" si="3"/>
        <v>0.1451774592</v>
      </c>
    </row>
    <row r="44">
      <c r="B44" s="16"/>
      <c r="G44" s="121">
        <f t="shared" si="5"/>
        <v>0</v>
      </c>
      <c r="H44" s="119">
        <v>220000.0</v>
      </c>
      <c r="K44" s="120">
        <f t="shared" si="4"/>
        <v>31779.7444</v>
      </c>
      <c r="L44" s="123">
        <f t="shared" si="3"/>
        <v>0.1444533836</v>
      </c>
    </row>
    <row r="45">
      <c r="B45" s="16"/>
      <c r="G45" s="121">
        <f t="shared" si="5"/>
        <v>0</v>
      </c>
      <c r="H45" s="119">
        <v>225000.0</v>
      </c>
      <c r="K45" s="120">
        <f t="shared" si="4"/>
        <v>32339.90686</v>
      </c>
      <c r="L45" s="123">
        <f t="shared" si="3"/>
        <v>0.1437329194</v>
      </c>
    </row>
    <row r="46">
      <c r="B46" s="16"/>
      <c r="G46" s="121">
        <f t="shared" si="5"/>
        <v>0</v>
      </c>
      <c r="H46" s="119">
        <v>230000.0</v>
      </c>
      <c r="K46" s="120">
        <f t="shared" si="4"/>
        <v>32893.69114</v>
      </c>
      <c r="L46" s="123">
        <f t="shared" si="3"/>
        <v>0.1430160485</v>
      </c>
    </row>
    <row r="47">
      <c r="B47" s="16"/>
      <c r="G47" s="121">
        <f t="shared" si="5"/>
        <v>0</v>
      </c>
      <c r="H47" s="119">
        <v>235000.0</v>
      </c>
      <c r="K47" s="120">
        <f t="shared" si="4"/>
        <v>33441.14694</v>
      </c>
      <c r="L47" s="123">
        <f t="shared" si="3"/>
        <v>0.1423027529</v>
      </c>
    </row>
    <row r="48">
      <c r="B48" s="16"/>
      <c r="G48" s="121">
        <f t="shared" si="5"/>
        <v>0</v>
      </c>
      <c r="H48" s="119">
        <v>240000.0</v>
      </c>
      <c r="K48" s="120">
        <f t="shared" si="4"/>
        <v>33982.3236</v>
      </c>
      <c r="L48" s="123">
        <f t="shared" si="3"/>
        <v>0.141593015</v>
      </c>
    </row>
    <row r="49">
      <c r="B49" s="16"/>
      <c r="G49" s="121">
        <f t="shared" si="5"/>
        <v>0</v>
      </c>
      <c r="H49" s="119">
        <v>245000.0</v>
      </c>
      <c r="K49" s="120">
        <f t="shared" si="4"/>
        <v>34517.27014</v>
      </c>
      <c r="L49" s="123">
        <f t="shared" si="3"/>
        <v>0.1408868169</v>
      </c>
    </row>
    <row r="50">
      <c r="B50" s="16"/>
      <c r="G50" s="121">
        <f t="shared" si="5"/>
        <v>0</v>
      </c>
      <c r="H50" s="119">
        <v>250000.0</v>
      </c>
      <c r="K50" s="120">
        <f t="shared" si="4"/>
        <v>35046.03524</v>
      </c>
      <c r="L50" s="123">
        <f t="shared" si="3"/>
        <v>0.140184141</v>
      </c>
    </row>
    <row r="51">
      <c r="B51" s="16"/>
      <c r="G51" s="121">
        <f t="shared" si="5"/>
        <v>0</v>
      </c>
      <c r="H51" s="119">
        <v>255000.0</v>
      </c>
      <c r="K51" s="120">
        <f t="shared" si="4"/>
        <v>35568.66726</v>
      </c>
      <c r="L51" s="123">
        <f t="shared" si="3"/>
        <v>0.1394849696</v>
      </c>
    </row>
    <row r="52">
      <c r="B52" s="16"/>
      <c r="G52" s="121">
        <f t="shared" si="5"/>
        <v>0</v>
      </c>
      <c r="H52" s="119">
        <v>260000.0</v>
      </c>
      <c r="K52" s="120">
        <f t="shared" si="4"/>
        <v>36085.21422</v>
      </c>
      <c r="L52" s="123">
        <f t="shared" si="3"/>
        <v>0.1387892854</v>
      </c>
    </row>
    <row r="53">
      <c r="B53" s="16"/>
      <c r="G53" s="121">
        <f t="shared" si="5"/>
        <v>0</v>
      </c>
      <c r="H53" s="119">
        <v>265000.0</v>
      </c>
      <c r="K53" s="120">
        <f t="shared" si="4"/>
        <v>36595.72381</v>
      </c>
      <c r="L53" s="123">
        <f t="shared" si="3"/>
        <v>0.138097071</v>
      </c>
    </row>
    <row r="54">
      <c r="B54" s="16"/>
      <c r="G54" s="121">
        <f t="shared" si="5"/>
        <v>0</v>
      </c>
      <c r="H54" s="119">
        <v>270000.0</v>
      </c>
      <c r="K54" s="120">
        <f t="shared" si="4"/>
        <v>37100.24342</v>
      </c>
      <c r="L54" s="123">
        <f t="shared" si="3"/>
        <v>0.137408309</v>
      </c>
    </row>
    <row r="55">
      <c r="B55" s="16"/>
      <c r="G55" s="121">
        <f t="shared" si="5"/>
        <v>0</v>
      </c>
      <c r="H55" s="119">
        <v>275000.0</v>
      </c>
      <c r="K55" s="120">
        <f t="shared" si="4"/>
        <v>37598.8201</v>
      </c>
      <c r="L55" s="123">
        <f t="shared" si="3"/>
        <v>0.1367229822</v>
      </c>
    </row>
    <row r="56">
      <c r="B56" s="16"/>
      <c r="G56" s="121">
        <f t="shared" si="5"/>
        <v>0</v>
      </c>
      <c r="H56" s="119">
        <v>280000.0</v>
      </c>
      <c r="K56" s="120">
        <f t="shared" si="4"/>
        <v>38091.50057</v>
      </c>
      <c r="L56" s="123">
        <f t="shared" si="3"/>
        <v>0.1360410735</v>
      </c>
    </row>
    <row r="57">
      <c r="B57" s="16"/>
      <c r="G57" s="121">
        <f t="shared" si="5"/>
        <v>0</v>
      </c>
      <c r="H57" s="119">
        <v>285000.0</v>
      </c>
      <c r="K57" s="120">
        <f t="shared" si="4"/>
        <v>38578.33125</v>
      </c>
      <c r="L57" s="123">
        <f t="shared" si="3"/>
        <v>0.1353625658</v>
      </c>
    </row>
    <row r="58">
      <c r="B58" s="16"/>
      <c r="G58" s="121">
        <f t="shared" si="5"/>
        <v>0</v>
      </c>
      <c r="H58" s="119">
        <v>290000.0</v>
      </c>
      <c r="K58" s="120">
        <f t="shared" si="4"/>
        <v>39059.35823</v>
      </c>
      <c r="L58" s="123">
        <f t="shared" si="3"/>
        <v>0.1346874422</v>
      </c>
    </row>
    <row r="59">
      <c r="B59" s="16"/>
      <c r="G59" s="121">
        <f t="shared" si="5"/>
        <v>0</v>
      </c>
      <c r="H59" s="119">
        <v>295000.0</v>
      </c>
      <c r="K59" s="120">
        <f t="shared" si="4"/>
        <v>39534.62729</v>
      </c>
      <c r="L59" s="123">
        <f t="shared" si="3"/>
        <v>0.1340156857</v>
      </c>
    </row>
    <row r="60">
      <c r="B60" s="16"/>
      <c r="G60" s="121">
        <f t="shared" si="5"/>
        <v>0</v>
      </c>
      <c r="H60" s="119">
        <v>300000.0</v>
      </c>
      <c r="K60" s="120">
        <f t="shared" si="4"/>
        <v>40004.18392</v>
      </c>
      <c r="L60" s="123">
        <f t="shared" si="3"/>
        <v>0.1333472797</v>
      </c>
    </row>
    <row r="61">
      <c r="B61" s="16"/>
      <c r="G61" s="121">
        <f t="shared" si="5"/>
        <v>0</v>
      </c>
      <c r="H61" s="119">
        <v>305000.0</v>
      </c>
      <c r="K61" s="120">
        <f t="shared" si="4"/>
        <v>40468.07325</v>
      </c>
      <c r="L61" s="123">
        <f t="shared" si="3"/>
        <v>0.1326822074</v>
      </c>
    </row>
    <row r="62">
      <c r="B62" s="16"/>
      <c r="G62" s="121">
        <f t="shared" si="5"/>
        <v>0</v>
      </c>
      <c r="H62" s="119">
        <v>310000.0</v>
      </c>
      <c r="K62" s="120">
        <f t="shared" si="4"/>
        <v>40926.34016</v>
      </c>
      <c r="L62" s="123">
        <f t="shared" si="3"/>
        <v>0.1320204521</v>
      </c>
    </row>
    <row r="63">
      <c r="B63" s="16"/>
      <c r="G63" s="121">
        <f t="shared" si="5"/>
        <v>0</v>
      </c>
      <c r="H63" s="119">
        <v>315000.0</v>
      </c>
      <c r="K63" s="120">
        <f t="shared" si="4"/>
        <v>41379.02917</v>
      </c>
      <c r="L63" s="123">
        <f t="shared" si="3"/>
        <v>0.1313619974</v>
      </c>
    </row>
    <row r="64">
      <c r="B64" s="16"/>
      <c r="G64" s="121">
        <f t="shared" si="5"/>
        <v>0</v>
      </c>
      <c r="H64" s="119">
        <v>320000.0</v>
      </c>
      <c r="K64" s="120">
        <f t="shared" si="4"/>
        <v>41826.18454</v>
      </c>
      <c r="L64" s="123">
        <f t="shared" si="3"/>
        <v>0.1307068267</v>
      </c>
    </row>
    <row r="65">
      <c r="B65" s="16"/>
      <c r="G65" s="121">
        <f t="shared" si="5"/>
        <v>0</v>
      </c>
      <c r="H65" s="119">
        <v>325000.0</v>
      </c>
      <c r="K65" s="120">
        <f t="shared" si="4"/>
        <v>42267.85019</v>
      </c>
      <c r="L65" s="123">
        <f t="shared" si="3"/>
        <v>0.1300549237</v>
      </c>
    </row>
    <row r="66">
      <c r="B66" s="16"/>
      <c r="G66" s="121">
        <f t="shared" si="5"/>
        <v>0</v>
      </c>
      <c r="H66" s="119">
        <v>330000.0</v>
      </c>
      <c r="K66" s="120">
        <f t="shared" si="4"/>
        <v>42704.06977</v>
      </c>
      <c r="L66" s="123">
        <f t="shared" si="3"/>
        <v>0.129406272</v>
      </c>
    </row>
    <row r="67">
      <c r="B67" s="16"/>
      <c r="G67" s="121">
        <f t="shared" si="5"/>
        <v>0</v>
      </c>
      <c r="H67" s="119">
        <v>335000.0</v>
      </c>
      <c r="K67" s="120">
        <f t="shared" si="4"/>
        <v>43134.88661</v>
      </c>
      <c r="L67" s="123">
        <f t="shared" si="3"/>
        <v>0.1287608555</v>
      </c>
    </row>
    <row r="68">
      <c r="B68" s="16"/>
      <c r="G68" s="121">
        <f t="shared" si="5"/>
        <v>0</v>
      </c>
      <c r="H68" s="119">
        <v>340000.0</v>
      </c>
      <c r="K68" s="120">
        <f t="shared" si="4"/>
        <v>43560.34375</v>
      </c>
      <c r="L68" s="123">
        <f t="shared" si="3"/>
        <v>0.1281186581</v>
      </c>
    </row>
    <row r="69">
      <c r="B69" s="16"/>
      <c r="G69" s="121">
        <f t="shared" si="5"/>
        <v>0</v>
      </c>
      <c r="H69" s="119">
        <v>345000.0</v>
      </c>
      <c r="K69" s="120">
        <f t="shared" si="4"/>
        <v>43980.48395</v>
      </c>
      <c r="L69" s="123">
        <f t="shared" si="3"/>
        <v>0.1274796636</v>
      </c>
    </row>
    <row r="70">
      <c r="B70" s="16"/>
      <c r="G70" s="121">
        <f t="shared" si="5"/>
        <v>0</v>
      </c>
      <c r="H70" s="119">
        <v>350000.0</v>
      </c>
      <c r="K70" s="120">
        <f t="shared" si="4"/>
        <v>44395.34965</v>
      </c>
      <c r="L70" s="123">
        <f t="shared" si="3"/>
        <v>0.1268438561</v>
      </c>
    </row>
    <row r="71">
      <c r="B71" s="16"/>
      <c r="G71" s="121">
        <f t="shared" si="5"/>
        <v>0</v>
      </c>
      <c r="H71" s="119">
        <v>355000.0</v>
      </c>
      <c r="K71" s="120">
        <f t="shared" si="4"/>
        <v>44804.98302</v>
      </c>
      <c r="L71" s="123">
        <f t="shared" si="3"/>
        <v>0.1262112198</v>
      </c>
    </row>
    <row r="72">
      <c r="B72" s="16"/>
      <c r="G72" s="121">
        <f t="shared" si="5"/>
        <v>0</v>
      </c>
      <c r="H72" s="119">
        <v>360000.0</v>
      </c>
      <c r="K72" s="120">
        <f t="shared" si="4"/>
        <v>45209.42593</v>
      </c>
      <c r="L72" s="123">
        <f t="shared" si="3"/>
        <v>0.1255817387</v>
      </c>
    </row>
    <row r="73">
      <c r="B73" s="16"/>
      <c r="G73" s="121">
        <f t="shared" si="5"/>
        <v>0</v>
      </c>
      <c r="H73" s="119">
        <v>365000.0</v>
      </c>
      <c r="K73" s="120">
        <f t="shared" si="4"/>
        <v>45608.71996</v>
      </c>
      <c r="L73" s="123">
        <f t="shared" si="3"/>
        <v>0.1249553972</v>
      </c>
    </row>
    <row r="74">
      <c r="B74" s="16"/>
      <c r="G74" s="121">
        <f t="shared" si="5"/>
        <v>0</v>
      </c>
      <c r="H74" s="119">
        <v>370000.0</v>
      </c>
      <c r="K74" s="120">
        <f t="shared" si="4"/>
        <v>46002.90642</v>
      </c>
      <c r="L74" s="123">
        <f t="shared" si="3"/>
        <v>0.1243321795</v>
      </c>
    </row>
    <row r="75">
      <c r="B75" s="16"/>
      <c r="G75" s="121">
        <f t="shared" si="5"/>
        <v>0</v>
      </c>
      <c r="H75" s="119">
        <v>375000.0</v>
      </c>
      <c r="K75" s="120">
        <f t="shared" si="4"/>
        <v>46392.02632</v>
      </c>
      <c r="L75" s="123">
        <f t="shared" si="3"/>
        <v>0.1237120702</v>
      </c>
    </row>
    <row r="76">
      <c r="B76" s="16"/>
      <c r="G76" s="121">
        <f t="shared" si="5"/>
        <v>0</v>
      </c>
      <c r="H76" s="119">
        <v>380000.0</v>
      </c>
      <c r="K76" s="120">
        <f t="shared" si="4"/>
        <v>46776.12039</v>
      </c>
      <c r="L76" s="123">
        <f t="shared" si="3"/>
        <v>0.1230950537</v>
      </c>
    </row>
    <row r="77">
      <c r="B77" s="16"/>
      <c r="G77" s="121">
        <f t="shared" si="5"/>
        <v>0</v>
      </c>
      <c r="H77" s="119">
        <v>385000.0</v>
      </c>
      <c r="K77" s="120">
        <f t="shared" si="4"/>
        <v>47155.22909</v>
      </c>
      <c r="L77" s="123">
        <f t="shared" si="3"/>
        <v>0.1224811145</v>
      </c>
    </row>
    <row r="78">
      <c r="B78" s="16"/>
      <c r="G78" s="121">
        <f t="shared" si="5"/>
        <v>0</v>
      </c>
      <c r="H78" s="119">
        <v>390000.0</v>
      </c>
      <c r="K78" s="120">
        <f t="shared" si="4"/>
        <v>47529.39259</v>
      </c>
      <c r="L78" s="123">
        <f t="shared" si="3"/>
        <v>0.1218702374</v>
      </c>
    </row>
    <row r="79">
      <c r="B79" s="16"/>
      <c r="G79" s="121">
        <f t="shared" si="5"/>
        <v>0</v>
      </c>
      <c r="H79" s="119">
        <v>395000.0</v>
      </c>
      <c r="K79" s="120">
        <f t="shared" si="4"/>
        <v>47898.65079</v>
      </c>
      <c r="L79" s="123">
        <f t="shared" si="3"/>
        <v>0.1212624071</v>
      </c>
    </row>
    <row r="80">
      <c r="B80" s="16"/>
      <c r="G80" s="121">
        <f t="shared" si="5"/>
        <v>0</v>
      </c>
      <c r="H80" s="119">
        <v>400000.0</v>
      </c>
      <c r="K80" s="120">
        <f t="shared" si="4"/>
        <v>48263.04331</v>
      </c>
      <c r="L80" s="123">
        <f t="shared" si="3"/>
        <v>0.1206576083</v>
      </c>
    </row>
    <row r="81">
      <c r="B81" s="16"/>
      <c r="G81" s="121">
        <f t="shared" si="5"/>
        <v>0</v>
      </c>
      <c r="H81" s="119">
        <v>405000.0</v>
      </c>
      <c r="K81" s="120">
        <f t="shared" si="4"/>
        <v>48622.60951</v>
      </c>
      <c r="L81" s="123">
        <f t="shared" si="3"/>
        <v>0.120055826</v>
      </c>
    </row>
    <row r="82">
      <c r="B82" s="16"/>
      <c r="G82" s="121">
        <f t="shared" si="5"/>
        <v>0</v>
      </c>
      <c r="H82" s="119">
        <v>410000.0</v>
      </c>
      <c r="K82" s="120">
        <f t="shared" si="4"/>
        <v>48977.38846</v>
      </c>
      <c r="L82" s="123">
        <f t="shared" si="3"/>
        <v>0.119457045</v>
      </c>
    </row>
    <row r="83">
      <c r="B83" s="16"/>
      <c r="G83" s="121">
        <f t="shared" si="5"/>
        <v>0</v>
      </c>
      <c r="H83" s="119">
        <v>415000.0</v>
      </c>
      <c r="K83" s="120">
        <f t="shared" si="4"/>
        <v>49327.41897</v>
      </c>
      <c r="L83" s="123">
        <f t="shared" si="3"/>
        <v>0.1188612505</v>
      </c>
    </row>
    <row r="84">
      <c r="B84" s="16"/>
      <c r="G84" s="121">
        <f t="shared" si="5"/>
        <v>0</v>
      </c>
      <c r="H84" s="119">
        <v>420000.0</v>
      </c>
      <c r="K84" s="120">
        <f t="shared" si="4"/>
        <v>49672.73958</v>
      </c>
      <c r="L84" s="123">
        <f t="shared" si="3"/>
        <v>0.1182684276</v>
      </c>
    </row>
    <row r="85">
      <c r="B85" s="16"/>
      <c r="G85" s="121">
        <f t="shared" si="5"/>
        <v>0</v>
      </c>
      <c r="H85" s="119">
        <v>425000.0</v>
      </c>
      <c r="K85" s="120">
        <f t="shared" si="4"/>
        <v>50013.38856</v>
      </c>
      <c r="L85" s="123">
        <f t="shared" si="3"/>
        <v>0.1176785613</v>
      </c>
    </row>
    <row r="86">
      <c r="B86" s="16"/>
      <c r="G86" s="121">
        <f t="shared" si="5"/>
        <v>0</v>
      </c>
      <c r="H86" s="119">
        <v>430000.0</v>
      </c>
      <c r="K86" s="120">
        <f t="shared" si="4"/>
        <v>50349.40393</v>
      </c>
      <c r="L86" s="123">
        <f t="shared" si="3"/>
        <v>0.1170916371</v>
      </c>
    </row>
    <row r="87">
      <c r="B87" s="16"/>
      <c r="G87" s="17">
        <f t="shared" ref="G87:G107" si="6">B87 * (0.15 * EXP(-2.707 * 10^-8 * B87))</f>
        <v>0</v>
      </c>
      <c r="H87" s="119">
        <v>435000.0</v>
      </c>
      <c r="K87" s="120">
        <f t="shared" si="4"/>
        <v>50680.82343</v>
      </c>
      <c r="L87" s="123">
        <f t="shared" si="3"/>
        <v>0.1165076401</v>
      </c>
    </row>
    <row r="88">
      <c r="B88" s="16"/>
      <c r="G88" s="17">
        <f t="shared" si="6"/>
        <v>0</v>
      </c>
      <c r="H88" s="119">
        <v>440000.0</v>
      </c>
      <c r="K88" s="120">
        <f t="shared" si="4"/>
        <v>51007.68455</v>
      </c>
      <c r="L88" s="123">
        <f t="shared" si="3"/>
        <v>0.1159265558</v>
      </c>
    </row>
    <row r="89">
      <c r="B89" s="16"/>
      <c r="G89" s="17">
        <f t="shared" si="6"/>
        <v>0</v>
      </c>
      <c r="H89" s="119">
        <v>445000.0</v>
      </c>
      <c r="K89" s="120">
        <f t="shared" si="4"/>
        <v>51330.02451</v>
      </c>
      <c r="L89" s="123">
        <f t="shared" si="3"/>
        <v>0.1153483697</v>
      </c>
    </row>
    <row r="90">
      <c r="B90" s="16"/>
      <c r="G90" s="17">
        <f t="shared" si="6"/>
        <v>0</v>
      </c>
      <c r="H90" s="119">
        <v>450000.0</v>
      </c>
      <c r="K90" s="120">
        <f t="shared" si="4"/>
        <v>51647.88028</v>
      </c>
      <c r="L90" s="123">
        <f t="shared" si="3"/>
        <v>0.1147730673</v>
      </c>
    </row>
    <row r="91">
      <c r="B91" s="16"/>
      <c r="G91" s="17">
        <f t="shared" si="6"/>
        <v>0</v>
      </c>
      <c r="H91" s="119">
        <v>455000.0</v>
      </c>
      <c r="K91" s="120">
        <f t="shared" si="4"/>
        <v>51961.28857</v>
      </c>
      <c r="L91" s="123">
        <f t="shared" si="3"/>
        <v>0.1142006342</v>
      </c>
    </row>
    <row r="92">
      <c r="B92" s="16"/>
      <c r="G92" s="17">
        <f t="shared" si="6"/>
        <v>0</v>
      </c>
      <c r="H92" s="119">
        <v>460000.0</v>
      </c>
      <c r="K92" s="120">
        <f t="shared" si="4"/>
        <v>52270.28585</v>
      </c>
      <c r="L92" s="123">
        <f t="shared" si="3"/>
        <v>0.1136310562</v>
      </c>
    </row>
    <row r="93">
      <c r="B93" s="16"/>
      <c r="G93" s="17">
        <f t="shared" si="6"/>
        <v>0</v>
      </c>
      <c r="H93" s="119">
        <v>465000.0</v>
      </c>
      <c r="K93" s="120">
        <f t="shared" si="4"/>
        <v>52574.9083</v>
      </c>
      <c r="L93" s="123">
        <f t="shared" si="3"/>
        <v>0.1130643189</v>
      </c>
    </row>
    <row r="94">
      <c r="B94" s="16"/>
      <c r="G94" s="17">
        <f t="shared" si="6"/>
        <v>0</v>
      </c>
      <c r="H94" s="119">
        <v>470000.0</v>
      </c>
      <c r="K94" s="120">
        <f t="shared" si="4"/>
        <v>52875.1919</v>
      </c>
      <c r="L94" s="123">
        <f t="shared" si="3"/>
        <v>0.1125004083</v>
      </c>
    </row>
    <row r="95">
      <c r="B95" s="16"/>
      <c r="G95" s="17">
        <f t="shared" si="6"/>
        <v>0</v>
      </c>
      <c r="H95" s="119">
        <v>475000.0</v>
      </c>
      <c r="K95" s="120">
        <f t="shared" si="4"/>
        <v>53171.17233</v>
      </c>
      <c r="L95" s="123">
        <f t="shared" si="3"/>
        <v>0.1119393102</v>
      </c>
    </row>
    <row r="96">
      <c r="B96" s="16"/>
      <c r="G96" s="17">
        <f t="shared" si="6"/>
        <v>0</v>
      </c>
      <c r="H96" s="119">
        <v>480000.0</v>
      </c>
      <c r="K96" s="120">
        <f t="shared" si="4"/>
        <v>53462.88505</v>
      </c>
      <c r="L96" s="123">
        <f t="shared" si="3"/>
        <v>0.1113810105</v>
      </c>
    </row>
    <row r="97">
      <c r="B97" s="16"/>
      <c r="G97" s="17">
        <f t="shared" si="6"/>
        <v>0</v>
      </c>
      <c r="H97" s="119">
        <v>485000.0</v>
      </c>
      <c r="K97" s="120">
        <f t="shared" si="4"/>
        <v>53750.36528</v>
      </c>
      <c r="L97" s="123">
        <f t="shared" si="3"/>
        <v>0.1108254954</v>
      </c>
    </row>
    <row r="98">
      <c r="B98" s="16"/>
      <c r="G98" s="17">
        <f t="shared" si="6"/>
        <v>0</v>
      </c>
      <c r="H98" s="119">
        <v>490000.0</v>
      </c>
      <c r="K98" s="120">
        <f t="shared" si="4"/>
        <v>54033.64797</v>
      </c>
      <c r="L98" s="123">
        <f t="shared" si="3"/>
        <v>0.110272751</v>
      </c>
    </row>
    <row r="99">
      <c r="B99" s="16"/>
      <c r="G99" s="17">
        <f t="shared" si="6"/>
        <v>0</v>
      </c>
      <c r="H99" s="119">
        <v>495000.0</v>
      </c>
      <c r="K99" s="120">
        <f t="shared" si="4"/>
        <v>54312.76784</v>
      </c>
      <c r="L99" s="123">
        <f t="shared" si="3"/>
        <v>0.1097227633</v>
      </c>
    </row>
    <row r="100">
      <c r="B100" s="16"/>
      <c r="G100" s="17">
        <f t="shared" si="6"/>
        <v>0</v>
      </c>
      <c r="H100" s="119">
        <v>500000.0</v>
      </c>
      <c r="K100" s="120">
        <f t="shared" si="4"/>
        <v>54587.75937</v>
      </c>
      <c r="L100" s="123">
        <f t="shared" si="3"/>
        <v>0.1091755187</v>
      </c>
    </row>
    <row r="101">
      <c r="B101" s="16"/>
      <c r="G101" s="17">
        <f t="shared" si="6"/>
        <v>0</v>
      </c>
      <c r="H101" s="119">
        <v>505000.0</v>
      </c>
      <c r="K101" s="120">
        <f t="shared" si="4"/>
        <v>54858.65681</v>
      </c>
      <c r="L101" s="123">
        <f t="shared" si="3"/>
        <v>0.1086310036</v>
      </c>
    </row>
    <row r="102">
      <c r="B102" s="16"/>
      <c r="G102" s="17">
        <f t="shared" si="6"/>
        <v>0</v>
      </c>
      <c r="H102" s="119">
        <v>510000.0</v>
      </c>
      <c r="K102" s="120">
        <f t="shared" si="4"/>
        <v>55125.49413</v>
      </c>
      <c r="L102" s="123">
        <f t="shared" si="3"/>
        <v>0.1080892042</v>
      </c>
    </row>
    <row r="103">
      <c r="B103" s="16"/>
      <c r="G103" s="17">
        <f t="shared" si="6"/>
        <v>0</v>
      </c>
      <c r="H103" s="119">
        <v>515000.0</v>
      </c>
      <c r="K103" s="120">
        <f t="shared" si="4"/>
        <v>55388.30512</v>
      </c>
      <c r="L103" s="123">
        <f t="shared" si="3"/>
        <v>0.107550107</v>
      </c>
    </row>
    <row r="104">
      <c r="B104" s="16"/>
      <c r="G104" s="17">
        <f t="shared" si="6"/>
        <v>0</v>
      </c>
      <c r="H104" s="119">
        <v>520000.0</v>
      </c>
      <c r="K104" s="120">
        <f t="shared" si="4"/>
        <v>55647.12329</v>
      </c>
      <c r="L104" s="123">
        <f t="shared" si="3"/>
        <v>0.1070136986</v>
      </c>
    </row>
    <row r="105">
      <c r="B105" s="16"/>
      <c r="G105" s="17">
        <f t="shared" si="6"/>
        <v>0</v>
      </c>
      <c r="H105" s="119">
        <v>525000.0</v>
      </c>
      <c r="K105" s="120">
        <f t="shared" si="4"/>
        <v>55901.98193</v>
      </c>
      <c r="L105" s="123">
        <f t="shared" si="3"/>
        <v>0.1064799656</v>
      </c>
    </row>
    <row r="106">
      <c r="B106" s="16"/>
      <c r="G106" s="17">
        <f t="shared" si="6"/>
        <v>0</v>
      </c>
      <c r="H106" s="119">
        <v>530000.0</v>
      </c>
      <c r="K106" s="120">
        <f t="shared" si="4"/>
        <v>56152.91411</v>
      </c>
      <c r="L106" s="123">
        <f t="shared" si="3"/>
        <v>0.1059488945</v>
      </c>
    </row>
    <row r="107">
      <c r="B107" s="16"/>
      <c r="G107" s="17">
        <f t="shared" si="6"/>
        <v>0</v>
      </c>
      <c r="H107" s="119">
        <v>535000.0</v>
      </c>
      <c r="K107" s="120">
        <f t="shared" si="4"/>
        <v>56399.95264</v>
      </c>
      <c r="L107" s="123">
        <f t="shared" si="3"/>
        <v>0.1054204722</v>
      </c>
    </row>
    <row r="108">
      <c r="B108" s="16"/>
      <c r="H108" s="119">
        <v>540000.0</v>
      </c>
      <c r="K108" s="120">
        <f t="shared" si="4"/>
        <v>56643.13013</v>
      </c>
      <c r="L108" s="123">
        <f t="shared" si="3"/>
        <v>0.1048946854</v>
      </c>
    </row>
    <row r="109">
      <c r="B109" s="16"/>
      <c r="H109" s="119">
        <v>545000.0</v>
      </c>
      <c r="K109" s="120">
        <f t="shared" si="4"/>
        <v>56882.47895</v>
      </c>
      <c r="L109" s="123">
        <f t="shared" si="3"/>
        <v>0.104371521</v>
      </c>
    </row>
    <row r="110">
      <c r="B110" s="16"/>
      <c r="H110" s="119">
        <v>550000.0</v>
      </c>
      <c r="K110" s="120">
        <f t="shared" si="4"/>
        <v>57118.03123</v>
      </c>
      <c r="L110" s="123">
        <f t="shared" si="3"/>
        <v>0.1038509659</v>
      </c>
    </row>
    <row r="111">
      <c r="B111" s="16"/>
      <c r="H111" s="119">
        <v>555000.0</v>
      </c>
      <c r="K111" s="120">
        <f t="shared" si="4"/>
        <v>57349.81889</v>
      </c>
      <c r="L111" s="123">
        <f t="shared" si="3"/>
        <v>0.103333007</v>
      </c>
    </row>
    <row r="112">
      <c r="B112" s="16"/>
      <c r="H112" s="119">
        <v>560000.0</v>
      </c>
      <c r="K112" s="120">
        <f t="shared" si="4"/>
        <v>57577.87364</v>
      </c>
      <c r="L112" s="123">
        <f t="shared" si="3"/>
        <v>0.1028176315</v>
      </c>
    </row>
    <row r="113">
      <c r="B113" s="16"/>
      <c r="H113" s="119">
        <v>565000.0</v>
      </c>
      <c r="K113" s="120">
        <f t="shared" si="4"/>
        <v>57802.22693</v>
      </c>
      <c r="L113" s="123">
        <f t="shared" si="3"/>
        <v>0.1023048264</v>
      </c>
    </row>
    <row r="114">
      <c r="B114" s="16"/>
      <c r="H114" s="119">
        <v>570000.0</v>
      </c>
      <c r="K114" s="120">
        <f t="shared" si="4"/>
        <v>58022.91001</v>
      </c>
      <c r="L114" s="123">
        <f t="shared" si="3"/>
        <v>0.101794579</v>
      </c>
    </row>
    <row r="115">
      <c r="B115" s="16"/>
      <c r="H115" s="119">
        <v>575000.0</v>
      </c>
      <c r="K115" s="120">
        <f t="shared" si="4"/>
        <v>58239.95392</v>
      </c>
      <c r="L115" s="123">
        <f t="shared" si="3"/>
        <v>0.1012868764</v>
      </c>
    </row>
    <row r="116">
      <c r="B116" s="16"/>
      <c r="H116" s="119">
        <v>580000.0</v>
      </c>
      <c r="K116" s="120">
        <f t="shared" si="4"/>
        <v>58453.38947</v>
      </c>
      <c r="L116" s="123">
        <f t="shared" si="3"/>
        <v>0.100781706</v>
      </c>
    </row>
    <row r="117">
      <c r="B117" s="16"/>
      <c r="H117" s="119">
        <v>585000.0</v>
      </c>
      <c r="K117" s="120">
        <f t="shared" si="4"/>
        <v>58663.24725</v>
      </c>
      <c r="L117" s="123">
        <f t="shared" si="3"/>
        <v>0.1002790551</v>
      </c>
    </row>
    <row r="118">
      <c r="B118" s="16"/>
      <c r="H118" s="119">
        <v>590000.0</v>
      </c>
      <c r="K118" s="120">
        <f t="shared" si="4"/>
        <v>58869.55764</v>
      </c>
      <c r="L118" s="123">
        <f t="shared" si="3"/>
        <v>0.09977891125</v>
      </c>
    </row>
    <row r="119">
      <c r="B119" s="16"/>
      <c r="H119" s="119">
        <v>595000.0</v>
      </c>
      <c r="K119" s="120">
        <f t="shared" si="4"/>
        <v>59072.3508</v>
      </c>
      <c r="L119" s="123">
        <f t="shared" si="3"/>
        <v>0.09928126186</v>
      </c>
    </row>
    <row r="120">
      <c r="B120" s="16"/>
      <c r="H120" s="119">
        <v>600000.0</v>
      </c>
      <c r="K120" s="120">
        <f t="shared" si="4"/>
        <v>59271.6567</v>
      </c>
      <c r="L120" s="123">
        <f t="shared" si="3"/>
        <v>0.0987860945</v>
      </c>
    </row>
    <row r="121">
      <c r="B121" s="16"/>
      <c r="H121" s="119">
        <v>605000.0</v>
      </c>
      <c r="K121" s="120">
        <f t="shared" si="4"/>
        <v>59467.50506</v>
      </c>
      <c r="L121" s="123">
        <f t="shared" si="3"/>
        <v>0.0982933968</v>
      </c>
    </row>
    <row r="122">
      <c r="B122" s="16"/>
      <c r="H122" s="119">
        <v>610000.0</v>
      </c>
      <c r="K122" s="120">
        <f t="shared" si="4"/>
        <v>59659.92542</v>
      </c>
      <c r="L122" s="123">
        <f t="shared" si="3"/>
        <v>0.09780315643</v>
      </c>
    </row>
    <row r="123">
      <c r="B123" s="16"/>
      <c r="H123" s="119">
        <v>615000.0</v>
      </c>
      <c r="K123" s="120">
        <f t="shared" si="4"/>
        <v>59848.94711</v>
      </c>
      <c r="L123" s="123">
        <f t="shared" si="3"/>
        <v>0.09731536116</v>
      </c>
    </row>
    <row r="124">
      <c r="B124" s="16"/>
      <c r="H124" s="119">
        <v>620000.0</v>
      </c>
      <c r="K124" s="120">
        <f t="shared" si="4"/>
        <v>60034.59924</v>
      </c>
      <c r="L124" s="123">
        <f t="shared" si="3"/>
        <v>0.09682999877</v>
      </c>
    </row>
    <row r="125">
      <c r="H125" s="119">
        <v>625000.0</v>
      </c>
      <c r="K125" s="120">
        <f t="shared" si="4"/>
        <v>60216.91071</v>
      </c>
      <c r="L125" s="123">
        <f t="shared" si="3"/>
        <v>0.09634705713</v>
      </c>
    </row>
    <row r="126">
      <c r="H126" s="119">
        <v>630000.0</v>
      </c>
      <c r="K126" s="120">
        <f t="shared" si="4"/>
        <v>60395.91023</v>
      </c>
      <c r="L126" s="123">
        <f t="shared" si="3"/>
        <v>0.09586652418</v>
      </c>
    </row>
    <row r="127">
      <c r="H127" s="119">
        <v>635000.0</v>
      </c>
      <c r="K127" s="120">
        <f t="shared" si="4"/>
        <v>60571.62631</v>
      </c>
      <c r="L127" s="123">
        <f t="shared" si="3"/>
        <v>0.0953883879</v>
      </c>
    </row>
    <row r="128">
      <c r="H128" s="119">
        <v>640000.0</v>
      </c>
      <c r="K128" s="120">
        <f t="shared" si="4"/>
        <v>60744.08725</v>
      </c>
      <c r="L128" s="123">
        <f t="shared" si="3"/>
        <v>0.09491263633</v>
      </c>
    </row>
    <row r="129">
      <c r="H129" s="119">
        <v>645000.0</v>
      </c>
      <c r="K129" s="120">
        <f t="shared" si="4"/>
        <v>60913.32114</v>
      </c>
      <c r="L129" s="123">
        <f t="shared" si="3"/>
        <v>0.09443925758</v>
      </c>
    </row>
    <row r="130">
      <c r="H130" s="119">
        <v>650000.0</v>
      </c>
      <c r="K130" s="120">
        <f t="shared" si="4"/>
        <v>61079.35588</v>
      </c>
      <c r="L130" s="123">
        <f t="shared" si="3"/>
        <v>0.09396823982</v>
      </c>
    </row>
    <row r="131">
      <c r="H131" s="119">
        <v>655000.0</v>
      </c>
      <c r="K131" s="120">
        <f t="shared" si="4"/>
        <v>61242.21918</v>
      </c>
      <c r="L131" s="123">
        <f t="shared" si="3"/>
        <v>0.09349957127</v>
      </c>
    </row>
    <row r="132">
      <c r="H132" s="119">
        <v>660000.0</v>
      </c>
      <c r="K132" s="120">
        <f t="shared" si="4"/>
        <v>61401.93854</v>
      </c>
      <c r="L132" s="123">
        <f t="shared" si="3"/>
        <v>0.09303324021</v>
      </c>
    </row>
    <row r="133">
      <c r="H133" s="119">
        <v>665000.0</v>
      </c>
      <c r="K133" s="120">
        <f t="shared" si="4"/>
        <v>61558.54127</v>
      </c>
      <c r="L133" s="123">
        <f t="shared" si="3"/>
        <v>0.09256923499</v>
      </c>
    </row>
    <row r="134">
      <c r="H134" s="119">
        <v>670000.0</v>
      </c>
      <c r="K134" s="120">
        <f t="shared" si="4"/>
        <v>61712.05448</v>
      </c>
      <c r="L134" s="123">
        <f t="shared" si="3"/>
        <v>0.092107544</v>
      </c>
    </row>
    <row r="135">
      <c r="H135" s="119">
        <v>675000.0</v>
      </c>
      <c r="K135" s="120">
        <f t="shared" si="4"/>
        <v>61862.5051</v>
      </c>
      <c r="L135" s="123">
        <f t="shared" si="3"/>
        <v>0.09164815571</v>
      </c>
    </row>
    <row r="136">
      <c r="H136" s="119">
        <v>680000.0</v>
      </c>
      <c r="K136" s="120">
        <f t="shared" si="4"/>
        <v>62009.91987</v>
      </c>
      <c r="L136" s="123">
        <f t="shared" si="3"/>
        <v>0.09119105863</v>
      </c>
    </row>
    <row r="137">
      <c r="H137" s="119">
        <v>685000.0</v>
      </c>
      <c r="K137" s="120">
        <f t="shared" si="4"/>
        <v>62154.32531</v>
      </c>
      <c r="L137" s="123">
        <f t="shared" si="3"/>
        <v>0.09073624132</v>
      </c>
    </row>
    <row r="138">
      <c r="H138" s="119">
        <v>690000.0</v>
      </c>
      <c r="K138" s="120">
        <f t="shared" si="4"/>
        <v>62295.74778</v>
      </c>
      <c r="L138" s="123">
        <f t="shared" si="3"/>
        <v>0.09028369243</v>
      </c>
    </row>
    <row r="139">
      <c r="H139" s="119">
        <v>695000.0</v>
      </c>
      <c r="K139" s="120">
        <f t="shared" si="4"/>
        <v>62434.21344</v>
      </c>
      <c r="L139" s="123">
        <f t="shared" si="3"/>
        <v>0.08983340064</v>
      </c>
    </row>
    <row r="140">
      <c r="H140" s="119">
        <v>700000.0</v>
      </c>
      <c r="K140" s="120">
        <f t="shared" si="4"/>
        <v>62569.74828</v>
      </c>
      <c r="L140" s="123">
        <f t="shared" si="3"/>
        <v>0.08938535468</v>
      </c>
    </row>
    <row r="141">
      <c r="H141" s="119">
        <v>705000.0</v>
      </c>
      <c r="K141" s="120">
        <f t="shared" si="4"/>
        <v>62702.37807</v>
      </c>
      <c r="L141" s="123">
        <f t="shared" si="3"/>
        <v>0.08893954337</v>
      </c>
    </row>
    <row r="142">
      <c r="H142" s="119">
        <v>710000.0</v>
      </c>
      <c r="K142" s="120">
        <f t="shared" si="4"/>
        <v>62832.12844</v>
      </c>
      <c r="L142" s="123">
        <f t="shared" si="3"/>
        <v>0.08849595554</v>
      </c>
    </row>
    <row r="143">
      <c r="H143" s="119">
        <v>715000.0</v>
      </c>
      <c r="K143" s="120">
        <f t="shared" si="4"/>
        <v>62959.02479</v>
      </c>
      <c r="L143" s="123">
        <f t="shared" si="3"/>
        <v>0.08805458012</v>
      </c>
    </row>
    <row r="144">
      <c r="H144" s="119">
        <v>720000.0</v>
      </c>
      <c r="K144" s="120">
        <f t="shared" si="4"/>
        <v>63083.09237</v>
      </c>
      <c r="L144" s="123">
        <f t="shared" si="3"/>
        <v>0.08761540607</v>
      </c>
    </row>
    <row r="145">
      <c r="H145" s="119">
        <v>725000.0</v>
      </c>
      <c r="K145" s="120">
        <f t="shared" si="4"/>
        <v>63204.35625</v>
      </c>
      <c r="L145" s="123">
        <f t="shared" si="3"/>
        <v>0.08717842241</v>
      </c>
    </row>
    <row r="146">
      <c r="H146" s="119">
        <v>730000.0</v>
      </c>
      <c r="K146" s="120">
        <f t="shared" si="4"/>
        <v>63322.8413</v>
      </c>
      <c r="L146" s="123">
        <f t="shared" si="3"/>
        <v>0.08674361822</v>
      </c>
    </row>
    <row r="147">
      <c r="H147" s="119">
        <v>735000.0</v>
      </c>
      <c r="K147" s="120">
        <f t="shared" si="4"/>
        <v>63438.57222</v>
      </c>
      <c r="L147" s="123">
        <f t="shared" si="3"/>
        <v>0.08631098262</v>
      </c>
    </row>
    <row r="148">
      <c r="H148" s="119">
        <v>740000.0</v>
      </c>
      <c r="K148" s="120">
        <f t="shared" si="4"/>
        <v>63551.57355</v>
      </c>
      <c r="L148" s="123">
        <f t="shared" si="3"/>
        <v>0.08588050479</v>
      </c>
    </row>
    <row r="149">
      <c r="H149" s="119">
        <v>745000.0</v>
      </c>
      <c r="K149" s="120">
        <f t="shared" si="4"/>
        <v>63661.86962</v>
      </c>
      <c r="L149" s="123">
        <f t="shared" si="3"/>
        <v>0.08545217399</v>
      </c>
    </row>
    <row r="150">
      <c r="H150" s="119">
        <v>750000.0</v>
      </c>
      <c r="K150" s="120">
        <f t="shared" si="4"/>
        <v>63769.48462</v>
      </c>
      <c r="L150" s="123">
        <f t="shared" si="3"/>
        <v>0.08502597949</v>
      </c>
    </row>
    <row r="151">
      <c r="H151" s="119">
        <v>755000.0</v>
      </c>
      <c r="K151" s="120">
        <f t="shared" si="4"/>
        <v>63874.44254</v>
      </c>
      <c r="L151" s="123">
        <f t="shared" si="3"/>
        <v>0.08460191065</v>
      </c>
    </row>
    <row r="152">
      <c r="H152" s="119">
        <v>760000.0</v>
      </c>
      <c r="K152" s="120">
        <f t="shared" si="4"/>
        <v>63976.76721</v>
      </c>
      <c r="L152" s="123">
        <f t="shared" si="3"/>
        <v>0.08417995686</v>
      </c>
    </row>
    <row r="153">
      <c r="H153" s="119">
        <v>765000.0</v>
      </c>
      <c r="K153" s="120">
        <f t="shared" si="4"/>
        <v>64076.4823</v>
      </c>
      <c r="L153" s="123">
        <f t="shared" si="3"/>
        <v>0.08376010758</v>
      </c>
    </row>
    <row r="154">
      <c r="H154" s="119">
        <v>770000.0</v>
      </c>
      <c r="K154" s="120">
        <f t="shared" si="4"/>
        <v>64173.61127</v>
      </c>
      <c r="L154" s="123">
        <f t="shared" si="3"/>
        <v>0.0833423523</v>
      </c>
    </row>
    <row r="155">
      <c r="H155" s="119">
        <v>775000.0</v>
      </c>
      <c r="K155" s="120">
        <f t="shared" si="4"/>
        <v>64268.17745</v>
      </c>
      <c r="L155" s="123">
        <f t="shared" si="3"/>
        <v>0.08292668058</v>
      </c>
    </row>
    <row r="156">
      <c r="H156" s="119">
        <v>780000.0</v>
      </c>
      <c r="K156" s="120">
        <f t="shared" si="4"/>
        <v>64360.20399</v>
      </c>
      <c r="L156" s="123">
        <f t="shared" si="3"/>
        <v>0.08251308203</v>
      </c>
    </row>
    <row r="157">
      <c r="H157" s="119">
        <v>785000.0</v>
      </c>
      <c r="K157" s="120">
        <f t="shared" si="4"/>
        <v>64449.71386</v>
      </c>
      <c r="L157" s="123">
        <f t="shared" si="3"/>
        <v>0.08210154632</v>
      </c>
    </row>
    <row r="158">
      <c r="H158" s="119">
        <v>790000.0</v>
      </c>
      <c r="K158" s="120">
        <f t="shared" si="4"/>
        <v>64536.72989</v>
      </c>
      <c r="L158" s="123">
        <f t="shared" si="3"/>
        <v>0.08169206315</v>
      </c>
    </row>
    <row r="159">
      <c r="H159" s="119">
        <v>795000.0</v>
      </c>
      <c r="K159" s="120">
        <f t="shared" si="4"/>
        <v>64621.27472</v>
      </c>
      <c r="L159" s="123">
        <f t="shared" si="3"/>
        <v>0.08128462229</v>
      </c>
    </row>
    <row r="160">
      <c r="H160" s="119">
        <v>800000.0</v>
      </c>
      <c r="K160" s="120">
        <f t="shared" si="4"/>
        <v>64703.37083</v>
      </c>
      <c r="L160" s="123">
        <f t="shared" si="3"/>
        <v>0.08087921354</v>
      </c>
    </row>
    <row r="161">
      <c r="H161" s="119">
        <v>805000.0</v>
      </c>
      <c r="K161" s="120">
        <f t="shared" si="4"/>
        <v>64783.04056</v>
      </c>
      <c r="L161" s="123">
        <f t="shared" si="3"/>
        <v>0.08047582678</v>
      </c>
    </row>
    <row r="162">
      <c r="H162" s="119">
        <v>810000.0</v>
      </c>
      <c r="K162" s="120">
        <f t="shared" si="4"/>
        <v>64860.30606</v>
      </c>
      <c r="L162" s="123">
        <f t="shared" si="3"/>
        <v>0.08007445192</v>
      </c>
    </row>
    <row r="163">
      <c r="H163" s="119">
        <v>815000.0</v>
      </c>
      <c r="K163" s="120">
        <f t="shared" si="4"/>
        <v>64935.18932</v>
      </c>
      <c r="L163" s="123">
        <f t="shared" si="3"/>
        <v>0.07967507893</v>
      </c>
    </row>
    <row r="164">
      <c r="H164" s="119">
        <v>820000.0</v>
      </c>
      <c r="K164" s="120">
        <f t="shared" si="4"/>
        <v>65007.71221</v>
      </c>
      <c r="L164" s="123">
        <f t="shared" si="3"/>
        <v>0.07927769781</v>
      </c>
    </row>
    <row r="165">
      <c r="H165" s="119">
        <v>825000.0</v>
      </c>
      <c r="K165" s="120">
        <f t="shared" si="4"/>
        <v>65077.89638</v>
      </c>
      <c r="L165" s="123">
        <f t="shared" si="3"/>
        <v>0.07888229864</v>
      </c>
    </row>
    <row r="166">
      <c r="H166" s="119">
        <v>830000.0</v>
      </c>
      <c r="K166" s="120">
        <f t="shared" si="4"/>
        <v>65145.76338</v>
      </c>
      <c r="L166" s="123">
        <f t="shared" si="3"/>
        <v>0.07848887154</v>
      </c>
    </row>
    <row r="167">
      <c r="H167" s="119">
        <v>835000.0</v>
      </c>
      <c r="K167" s="120">
        <f t="shared" si="4"/>
        <v>65211.33456</v>
      </c>
      <c r="L167" s="123">
        <f t="shared" si="3"/>
        <v>0.07809740666</v>
      </c>
    </row>
    <row r="168">
      <c r="H168" s="119">
        <v>840000.0</v>
      </c>
      <c r="K168" s="120">
        <f t="shared" si="4"/>
        <v>65274.63114</v>
      </c>
      <c r="L168" s="123">
        <f t="shared" si="3"/>
        <v>0.07770789422</v>
      </c>
    </row>
    <row r="169">
      <c r="H169" s="119">
        <v>845000.0</v>
      </c>
      <c r="K169" s="120">
        <f t="shared" si="4"/>
        <v>65335.67418</v>
      </c>
      <c r="L169" s="123">
        <f t="shared" si="3"/>
        <v>0.07732032448</v>
      </c>
    </row>
    <row r="170">
      <c r="H170" s="119">
        <v>850000.0</v>
      </c>
      <c r="K170" s="120">
        <f t="shared" si="4"/>
        <v>65394.48459</v>
      </c>
      <c r="L170" s="123">
        <f t="shared" si="3"/>
        <v>0.07693468775</v>
      </c>
    </row>
    <row r="171">
      <c r="H171" s="119">
        <v>855000.0</v>
      </c>
      <c r="K171" s="120">
        <f t="shared" si="4"/>
        <v>65451.08311</v>
      </c>
      <c r="L171" s="123">
        <f t="shared" si="3"/>
        <v>0.07655097439</v>
      </c>
    </row>
    <row r="172">
      <c r="H172" s="119">
        <v>860000.0</v>
      </c>
      <c r="K172" s="120">
        <f t="shared" si="4"/>
        <v>65505.49034</v>
      </c>
      <c r="L172" s="123">
        <f t="shared" si="3"/>
        <v>0.07616917482</v>
      </c>
    </row>
    <row r="173">
      <c r="H173" s="119">
        <v>865000.0</v>
      </c>
      <c r="K173" s="120">
        <f t="shared" si="4"/>
        <v>65557.72674</v>
      </c>
      <c r="L173" s="123">
        <f t="shared" si="3"/>
        <v>0.07578927947</v>
      </c>
    </row>
    <row r="174">
      <c r="H174" s="119">
        <v>870000.0</v>
      </c>
      <c r="K174" s="120">
        <f t="shared" si="4"/>
        <v>65607.81261</v>
      </c>
      <c r="L174" s="123">
        <f t="shared" si="3"/>
        <v>0.07541127886</v>
      </c>
    </row>
    <row r="175">
      <c r="H175" s="119">
        <v>875000.0</v>
      </c>
      <c r="K175" s="120">
        <f t="shared" si="4"/>
        <v>65655.7681</v>
      </c>
      <c r="L175" s="123">
        <f t="shared" si="3"/>
        <v>0.07503516354</v>
      </c>
    </row>
    <row r="176">
      <c r="H176" s="119">
        <v>880000.0</v>
      </c>
      <c r="K176" s="120">
        <f t="shared" si="4"/>
        <v>65701.61321</v>
      </c>
      <c r="L176" s="123">
        <f t="shared" si="3"/>
        <v>0.0746609241</v>
      </c>
    </row>
    <row r="177">
      <c r="H177" s="119">
        <v>885000.0</v>
      </c>
      <c r="K177" s="120">
        <f t="shared" si="4"/>
        <v>65745.3678</v>
      </c>
      <c r="L177" s="123">
        <f t="shared" si="3"/>
        <v>0.07428855119</v>
      </c>
    </row>
    <row r="178">
      <c r="H178" s="119">
        <v>890000.0</v>
      </c>
      <c r="K178" s="120">
        <f t="shared" si="4"/>
        <v>65787.05159</v>
      </c>
      <c r="L178" s="123">
        <f t="shared" si="3"/>
        <v>0.0739180355</v>
      </c>
    </row>
    <row r="179">
      <c r="H179" s="119">
        <v>895000.0</v>
      </c>
      <c r="K179" s="120">
        <f t="shared" si="4"/>
        <v>65826.68414</v>
      </c>
      <c r="L179" s="123">
        <f t="shared" si="3"/>
        <v>0.07354936776</v>
      </c>
    </row>
    <row r="180">
      <c r="H180" s="119">
        <v>900000.0</v>
      </c>
      <c r="K180" s="120">
        <f t="shared" si="4"/>
        <v>65864.28488</v>
      </c>
      <c r="L180" s="123">
        <f t="shared" si="3"/>
        <v>0.07318253875</v>
      </c>
    </row>
    <row r="181">
      <c r="H181" s="119">
        <v>905000.0</v>
      </c>
      <c r="K181" s="120">
        <f t="shared" si="4"/>
        <v>65899.87308</v>
      </c>
      <c r="L181" s="123">
        <f t="shared" si="3"/>
        <v>0.07281753932</v>
      </c>
    </row>
    <row r="182">
      <c r="H182" s="119">
        <v>910000.0</v>
      </c>
      <c r="K182" s="120">
        <f t="shared" si="4"/>
        <v>65933.4679</v>
      </c>
      <c r="L182" s="123">
        <f t="shared" si="3"/>
        <v>0.07245436033</v>
      </c>
    </row>
    <row r="183">
      <c r="H183" s="119">
        <v>915000.0</v>
      </c>
      <c r="K183" s="120">
        <f t="shared" si="4"/>
        <v>65965.08832</v>
      </c>
      <c r="L183" s="123">
        <f t="shared" si="3"/>
        <v>0.0720929927</v>
      </c>
    </row>
    <row r="184">
      <c r="H184" s="119">
        <v>920000.0</v>
      </c>
      <c r="K184" s="120">
        <f t="shared" si="4"/>
        <v>65994.7532</v>
      </c>
      <c r="L184" s="123">
        <f t="shared" si="3"/>
        <v>0.0717334274</v>
      </c>
    </row>
    <row r="185">
      <c r="H185" s="119">
        <v>925000.0</v>
      </c>
      <c r="K185" s="120">
        <f t="shared" si="4"/>
        <v>66022.48128</v>
      </c>
      <c r="L185" s="123">
        <f t="shared" si="3"/>
        <v>0.07137565543</v>
      </c>
    </row>
    <row r="186">
      <c r="H186" s="119">
        <v>930000.0</v>
      </c>
      <c r="K186" s="120">
        <f t="shared" si="4"/>
        <v>66048.29112</v>
      </c>
      <c r="L186" s="123">
        <f t="shared" si="3"/>
        <v>0.07101966787</v>
      </c>
    </row>
    <row r="187">
      <c r="H187" s="119">
        <v>935000.0</v>
      </c>
      <c r="K187" s="120">
        <f t="shared" si="4"/>
        <v>66072.20117</v>
      </c>
      <c r="L187" s="123">
        <f t="shared" si="3"/>
        <v>0.0706654558</v>
      </c>
    </row>
    <row r="188">
      <c r="H188" s="119">
        <v>940000.0</v>
      </c>
      <c r="K188" s="120">
        <f t="shared" si="4"/>
        <v>66094.22974</v>
      </c>
      <c r="L188" s="123">
        <f t="shared" si="3"/>
        <v>0.07031301036</v>
      </c>
    </row>
    <row r="189">
      <c r="H189" s="119">
        <v>945000.0</v>
      </c>
      <c r="K189" s="120">
        <f t="shared" si="4"/>
        <v>66114.39501</v>
      </c>
      <c r="L189" s="123">
        <f t="shared" si="3"/>
        <v>0.06996232276</v>
      </c>
    </row>
    <row r="190">
      <c r="H190" s="119">
        <v>950000.0</v>
      </c>
      <c r="K190" s="120">
        <f t="shared" si="4"/>
        <v>66132.71501</v>
      </c>
      <c r="L190" s="123">
        <f t="shared" si="3"/>
        <v>0.06961338422</v>
      </c>
    </row>
    <row r="191">
      <c r="H191" s="119">
        <v>955000.0</v>
      </c>
      <c r="K191" s="120">
        <f t="shared" si="4"/>
        <v>66149.20765</v>
      </c>
      <c r="L191" s="123">
        <f t="shared" si="3"/>
        <v>0.06926618602</v>
      </c>
    </row>
    <row r="192">
      <c r="H192" s="119">
        <v>960000.0</v>
      </c>
      <c r="K192" s="120">
        <f t="shared" si="4"/>
        <v>66163.8907</v>
      </c>
      <c r="L192" s="123">
        <f t="shared" si="3"/>
        <v>0.06892071948</v>
      </c>
    </row>
    <row r="193">
      <c r="H193" s="119">
        <v>965000.0</v>
      </c>
      <c r="K193" s="120">
        <f t="shared" si="4"/>
        <v>66176.78179</v>
      </c>
      <c r="L193" s="123">
        <f t="shared" si="3"/>
        <v>0.06857697595</v>
      </c>
    </row>
    <row r="194">
      <c r="H194" s="119">
        <v>970000.0</v>
      </c>
      <c r="K194" s="120">
        <f t="shared" si="4"/>
        <v>66187.89845</v>
      </c>
      <c r="L194" s="123">
        <f t="shared" si="3"/>
        <v>0.06823494686</v>
      </c>
    </row>
    <row r="195">
      <c r="H195" s="119">
        <v>975000.0</v>
      </c>
      <c r="K195" s="120">
        <f t="shared" si="4"/>
        <v>66197.25805</v>
      </c>
      <c r="L195" s="123">
        <f t="shared" si="3"/>
        <v>0.06789462364</v>
      </c>
    </row>
    <row r="196">
      <c r="H196" s="119">
        <v>980000.0</v>
      </c>
      <c r="K196" s="120">
        <f t="shared" si="4"/>
        <v>66204.87784</v>
      </c>
      <c r="L196" s="123">
        <f t="shared" si="3"/>
        <v>0.06755599779</v>
      </c>
    </row>
    <row r="197">
      <c r="H197" s="119">
        <v>985000.0</v>
      </c>
      <c r="K197" s="120">
        <f t="shared" si="4"/>
        <v>66210.77494</v>
      </c>
      <c r="L197" s="123">
        <f t="shared" si="3"/>
        <v>0.06721906085</v>
      </c>
    </row>
    <row r="198">
      <c r="H198" s="119">
        <v>990000.0</v>
      </c>
      <c r="K198" s="120">
        <f t="shared" si="4"/>
        <v>66214.96634</v>
      </c>
      <c r="L198" s="123">
        <f t="shared" si="3"/>
        <v>0.06688380438</v>
      </c>
    </row>
    <row r="199">
      <c r="H199" s="119">
        <v>995000.0</v>
      </c>
      <c r="K199" s="120">
        <f t="shared" si="4"/>
        <v>66217.46892</v>
      </c>
      <c r="L199" s="123">
        <f t="shared" si="3"/>
        <v>0.06655022002</v>
      </c>
    </row>
    <row r="200">
      <c r="H200" s="119">
        <v>1000000.0</v>
      </c>
      <c r="K200" s="120">
        <f t="shared" si="4"/>
        <v>66218.29941</v>
      </c>
      <c r="L200" s="123">
        <f t="shared" si="3"/>
        <v>0.06621829941</v>
      </c>
    </row>
    <row r="201">
      <c r="H201" s="119">
        <v>1005000.0</v>
      </c>
      <c r="K201" s="120">
        <f t="shared" si="4"/>
        <v>66217.47444</v>
      </c>
      <c r="L201" s="123">
        <f t="shared" si="3"/>
        <v>0.06588803426</v>
      </c>
    </row>
    <row r="202">
      <c r="H202" s="119">
        <v>1010000.0</v>
      </c>
      <c r="K202" s="120">
        <f t="shared" si="4"/>
        <v>66215.01049</v>
      </c>
      <c r="L202" s="123">
        <f t="shared" si="3"/>
        <v>0.06555941632</v>
      </c>
    </row>
    <row r="203">
      <c r="H203" s="119">
        <v>1015000.0</v>
      </c>
      <c r="K203" s="120">
        <f t="shared" si="4"/>
        <v>66210.92393</v>
      </c>
      <c r="L203" s="123">
        <f t="shared" si="3"/>
        <v>0.06523243737</v>
      </c>
    </row>
    <row r="204">
      <c r="H204" s="119">
        <v>1020000.0</v>
      </c>
      <c r="K204" s="120">
        <f t="shared" si="4"/>
        <v>66205.23102</v>
      </c>
      <c r="L204" s="123">
        <f t="shared" si="3"/>
        <v>0.06490708923</v>
      </c>
    </row>
    <row r="205">
      <c r="H205" s="119">
        <v>1025000.0</v>
      </c>
      <c r="K205" s="120">
        <f t="shared" si="4"/>
        <v>66197.94787</v>
      </c>
      <c r="L205" s="123">
        <f t="shared" si="3"/>
        <v>0.06458336377</v>
      </c>
    </row>
    <row r="206">
      <c r="H206" s="119">
        <v>1030000.0</v>
      </c>
      <c r="K206" s="120">
        <f t="shared" si="4"/>
        <v>66189.09049</v>
      </c>
      <c r="L206" s="123">
        <f t="shared" si="3"/>
        <v>0.0642612529</v>
      </c>
    </row>
    <row r="207">
      <c r="H207" s="119">
        <v>1035000.0</v>
      </c>
      <c r="K207" s="120">
        <f t="shared" si="4"/>
        <v>66178.67477</v>
      </c>
      <c r="L207" s="123">
        <f t="shared" si="3"/>
        <v>0.06394074857</v>
      </c>
    </row>
    <row r="208">
      <c r="H208" s="119">
        <v>1040000.0</v>
      </c>
      <c r="K208" s="120">
        <f t="shared" si="4"/>
        <v>66166.71646</v>
      </c>
      <c r="L208" s="123">
        <f t="shared" si="3"/>
        <v>0.06362184275</v>
      </c>
    </row>
    <row r="209">
      <c r="H209" s="119">
        <v>1045000.0</v>
      </c>
      <c r="K209" s="120">
        <f t="shared" si="4"/>
        <v>66153.23123</v>
      </c>
      <c r="L209" s="123">
        <f t="shared" si="3"/>
        <v>0.06330452749</v>
      </c>
    </row>
    <row r="210">
      <c r="H210" s="119">
        <v>1050000.0</v>
      </c>
      <c r="K210" s="120">
        <f t="shared" si="4"/>
        <v>66138.23458</v>
      </c>
      <c r="L210" s="123">
        <f t="shared" si="3"/>
        <v>0.06298879484</v>
      </c>
    </row>
    <row r="211">
      <c r="H211" s="119">
        <v>1055000.0</v>
      </c>
      <c r="K211" s="120">
        <f t="shared" si="4"/>
        <v>66121.74195</v>
      </c>
      <c r="L211" s="123">
        <f t="shared" si="3"/>
        <v>0.06267463692</v>
      </c>
    </row>
    <row r="212">
      <c r="H212" s="119">
        <v>1060000.0</v>
      </c>
      <c r="K212" s="120">
        <f t="shared" si="4"/>
        <v>66103.76861</v>
      </c>
      <c r="L212" s="123">
        <f t="shared" si="3"/>
        <v>0.06236204586</v>
      </c>
    </row>
    <row r="213">
      <c r="H213" s="119">
        <v>1065000.0</v>
      </c>
      <c r="K213" s="120">
        <f t="shared" si="4"/>
        <v>66084.32976</v>
      </c>
      <c r="L213" s="123">
        <f t="shared" si="3"/>
        <v>0.06205101386</v>
      </c>
    </row>
    <row r="214">
      <c r="H214" s="119">
        <v>1070000.0</v>
      </c>
      <c r="K214" s="120">
        <f t="shared" si="4"/>
        <v>66063.44045</v>
      </c>
      <c r="L214" s="123">
        <f t="shared" si="3"/>
        <v>0.06174153314</v>
      </c>
    </row>
    <row r="215">
      <c r="H215" s="119">
        <v>1075000.0</v>
      </c>
      <c r="K215" s="120">
        <f t="shared" si="4"/>
        <v>66041.11565</v>
      </c>
      <c r="L215" s="123">
        <f t="shared" si="3"/>
        <v>0.06143359595</v>
      </c>
    </row>
    <row r="216">
      <c r="H216" s="119">
        <v>1080000.0</v>
      </c>
      <c r="K216" s="120">
        <f t="shared" si="4"/>
        <v>66017.37019</v>
      </c>
      <c r="L216" s="123">
        <f t="shared" si="3"/>
        <v>0.06112719462</v>
      </c>
    </row>
    <row r="217">
      <c r="H217" s="119">
        <v>1085000.0</v>
      </c>
      <c r="K217" s="120">
        <f t="shared" si="4"/>
        <v>65992.21879</v>
      </c>
      <c r="L217" s="123">
        <f t="shared" si="3"/>
        <v>0.06082232146</v>
      </c>
    </row>
    <row r="218">
      <c r="H218" s="119">
        <v>1090000.0</v>
      </c>
      <c r="K218" s="120">
        <f t="shared" si="4"/>
        <v>65965.67607</v>
      </c>
      <c r="L218" s="123">
        <f t="shared" si="3"/>
        <v>0.06051896887</v>
      </c>
    </row>
    <row r="219">
      <c r="H219" s="119">
        <v>1095000.0</v>
      </c>
      <c r="K219" s="120">
        <f t="shared" si="4"/>
        <v>65937.75653</v>
      </c>
      <c r="L219" s="123">
        <f t="shared" si="3"/>
        <v>0.06021712925</v>
      </c>
    </row>
    <row r="220">
      <c r="H220" s="119">
        <v>1100000.0</v>
      </c>
      <c r="K220" s="120">
        <f t="shared" si="4"/>
        <v>65908.47457</v>
      </c>
      <c r="L220" s="123">
        <f t="shared" si="3"/>
        <v>0.05991679507</v>
      </c>
    </row>
    <row r="221">
      <c r="H221" s="119">
        <v>1105000.0</v>
      </c>
      <c r="K221" s="120">
        <f t="shared" si="4"/>
        <v>65877.84448</v>
      </c>
      <c r="L221" s="123">
        <f t="shared" si="3"/>
        <v>0.0596179588</v>
      </c>
    </row>
    <row r="222">
      <c r="H222" s="119">
        <v>1110000.0</v>
      </c>
      <c r="K222" s="120">
        <f t="shared" si="4"/>
        <v>65845.88042</v>
      </c>
      <c r="L222" s="123">
        <f t="shared" si="3"/>
        <v>0.05932061299</v>
      </c>
    </row>
    <row r="223">
      <c r="H223" s="119">
        <v>1115000.0</v>
      </c>
      <c r="K223" s="120">
        <f t="shared" si="4"/>
        <v>65812.59648</v>
      </c>
      <c r="L223" s="123">
        <f t="shared" si="3"/>
        <v>0.0590247502</v>
      </c>
    </row>
    <row r="224">
      <c r="H224" s="119">
        <v>1120000.0</v>
      </c>
      <c r="K224" s="120">
        <f t="shared" si="4"/>
        <v>65778.0066</v>
      </c>
      <c r="L224" s="123">
        <f t="shared" si="3"/>
        <v>0.05873036303</v>
      </c>
    </row>
    <row r="225">
      <c r="H225" s="119">
        <v>1125000.0</v>
      </c>
      <c r="K225" s="120">
        <f t="shared" si="4"/>
        <v>65742.12464</v>
      </c>
      <c r="L225" s="123">
        <f t="shared" si="3"/>
        <v>0.05843744412</v>
      </c>
    </row>
    <row r="226">
      <c r="H226" s="119">
        <v>1130000.0</v>
      </c>
      <c r="K226" s="120">
        <f t="shared" si="4"/>
        <v>65704.96436</v>
      </c>
      <c r="L226" s="123">
        <f t="shared" si="3"/>
        <v>0.05814598616</v>
      </c>
    </row>
    <row r="227">
      <c r="H227" s="119">
        <v>1135000.0</v>
      </c>
      <c r="K227" s="120">
        <f t="shared" si="4"/>
        <v>65666.53939</v>
      </c>
      <c r="L227" s="123">
        <f t="shared" si="3"/>
        <v>0.05785598184</v>
      </c>
    </row>
    <row r="228">
      <c r="H228" s="119">
        <v>1140000.0</v>
      </c>
      <c r="K228" s="120">
        <f t="shared" si="4"/>
        <v>65626.86328</v>
      </c>
      <c r="L228" s="123">
        <f t="shared" si="3"/>
        <v>0.05756742393</v>
      </c>
    </row>
    <row r="229">
      <c r="H229" s="119">
        <v>1145000.0</v>
      </c>
      <c r="K229" s="120">
        <f t="shared" si="4"/>
        <v>65585.94946</v>
      </c>
      <c r="L229" s="123">
        <f t="shared" si="3"/>
        <v>0.0572803052</v>
      </c>
    </row>
    <row r="230">
      <c r="H230" s="119">
        <v>1150000.0</v>
      </c>
      <c r="K230" s="120">
        <f t="shared" si="4"/>
        <v>65543.81126</v>
      </c>
      <c r="L230" s="123">
        <f t="shared" si="3"/>
        <v>0.05699461849</v>
      </c>
    </row>
    <row r="231">
      <c r="H231" s="119">
        <v>1155000.0</v>
      </c>
      <c r="K231" s="120">
        <f t="shared" si="4"/>
        <v>65500.46192</v>
      </c>
      <c r="L231" s="123">
        <f t="shared" si="3"/>
        <v>0.05671035664</v>
      </c>
    </row>
    <row r="232">
      <c r="H232" s="119">
        <v>1160000.0</v>
      </c>
      <c r="K232" s="120">
        <f t="shared" si="4"/>
        <v>65455.91457</v>
      </c>
      <c r="L232" s="123">
        <f t="shared" si="3"/>
        <v>0.05642751256</v>
      </c>
    </row>
    <row r="233">
      <c r="H233" s="119">
        <v>1165000.0</v>
      </c>
      <c r="K233" s="120">
        <f t="shared" si="4"/>
        <v>65410.18223</v>
      </c>
      <c r="L233" s="123">
        <f t="shared" si="3"/>
        <v>0.05614607917</v>
      </c>
    </row>
    <row r="234">
      <c r="H234" s="119">
        <v>1170000.0</v>
      </c>
      <c r="K234" s="120">
        <f t="shared" si="4"/>
        <v>65363.27783</v>
      </c>
      <c r="L234" s="123">
        <f t="shared" si="3"/>
        <v>0.05586604943</v>
      </c>
    </row>
    <row r="235">
      <c r="H235" s="119">
        <v>1175000.0</v>
      </c>
      <c r="K235" s="120">
        <f t="shared" si="4"/>
        <v>65315.2142</v>
      </c>
      <c r="L235" s="123">
        <f t="shared" si="3"/>
        <v>0.05558741634</v>
      </c>
    </row>
    <row r="236">
      <c r="H236" s="119">
        <v>1180000.0</v>
      </c>
      <c r="K236" s="120">
        <f t="shared" si="4"/>
        <v>65266.00408</v>
      </c>
      <c r="L236" s="123">
        <f t="shared" si="3"/>
        <v>0.05531017295</v>
      </c>
    </row>
    <row r="237">
      <c r="H237" s="119">
        <v>1185000.0</v>
      </c>
      <c r="K237" s="120">
        <f t="shared" si="4"/>
        <v>65215.66009</v>
      </c>
      <c r="L237" s="123">
        <f t="shared" si="3"/>
        <v>0.05503431231</v>
      </c>
    </row>
    <row r="238">
      <c r="H238" s="119">
        <v>1190000.0</v>
      </c>
      <c r="K238" s="120">
        <f t="shared" si="4"/>
        <v>65164.19476</v>
      </c>
      <c r="L238" s="123">
        <f t="shared" si="3"/>
        <v>0.05475982753</v>
      </c>
    </row>
    <row r="239">
      <c r="H239" s="119">
        <v>1195000.0</v>
      </c>
      <c r="K239" s="120">
        <f t="shared" si="4"/>
        <v>65111.62054</v>
      </c>
      <c r="L239" s="123">
        <f t="shared" si="3"/>
        <v>0.05448671175</v>
      </c>
    </row>
    <row r="240">
      <c r="H240" s="119">
        <v>1200000.0</v>
      </c>
      <c r="K240" s="120">
        <f t="shared" si="4"/>
        <v>65057.94977</v>
      </c>
      <c r="L240" s="123">
        <f t="shared" si="3"/>
        <v>0.05421495814</v>
      </c>
    </row>
    <row r="241">
      <c r="H241" s="119">
        <v>1205000.0</v>
      </c>
      <c r="K241" s="120">
        <f t="shared" si="4"/>
        <v>65003.19469</v>
      </c>
      <c r="L241" s="123">
        <f t="shared" si="3"/>
        <v>0.05394455991</v>
      </c>
    </row>
    <row r="242">
      <c r="H242" s="119">
        <v>1210000.0</v>
      </c>
      <c r="K242" s="120">
        <f t="shared" si="4"/>
        <v>64947.36746</v>
      </c>
      <c r="L242" s="123">
        <f t="shared" si="3"/>
        <v>0.0536755103</v>
      </c>
    </row>
    <row r="243">
      <c r="H243" s="119">
        <v>1215000.0</v>
      </c>
      <c r="K243" s="120">
        <f t="shared" si="4"/>
        <v>64890.48013</v>
      </c>
      <c r="L243" s="123">
        <f t="shared" si="3"/>
        <v>0.05340780257</v>
      </c>
    </row>
    <row r="244">
      <c r="H244" s="119">
        <v>1220000.0</v>
      </c>
      <c r="K244" s="120">
        <f t="shared" si="4"/>
        <v>64832.54466</v>
      </c>
      <c r="L244" s="123">
        <f t="shared" si="3"/>
        <v>0.05314143005</v>
      </c>
    </row>
    <row r="245">
      <c r="H245" s="119">
        <v>1225000.0</v>
      </c>
      <c r="K245" s="120">
        <f t="shared" si="4"/>
        <v>64773.57292</v>
      </c>
      <c r="L245" s="123">
        <f t="shared" si="3"/>
        <v>0.05287638606</v>
      </c>
    </row>
    <row r="246">
      <c r="H246" s="119">
        <v>1230000.0</v>
      </c>
      <c r="K246" s="120">
        <f t="shared" si="4"/>
        <v>64713.5767</v>
      </c>
      <c r="L246" s="123">
        <f t="shared" si="3"/>
        <v>0.05261266398</v>
      </c>
    </row>
    <row r="247">
      <c r="H247" s="119">
        <v>1235000.0</v>
      </c>
      <c r="K247" s="120">
        <f t="shared" si="4"/>
        <v>64652.56767</v>
      </c>
      <c r="L247" s="123">
        <f t="shared" si="3"/>
        <v>0.05235025723</v>
      </c>
    </row>
    <row r="248">
      <c r="H248" s="119">
        <v>1240000.0</v>
      </c>
      <c r="K248" s="120">
        <f t="shared" si="4"/>
        <v>64590.55744</v>
      </c>
      <c r="L248" s="123">
        <f t="shared" si="3"/>
        <v>0.05208915923</v>
      </c>
    </row>
    <row r="249">
      <c r="H249" s="119">
        <v>1245000.0</v>
      </c>
      <c r="K249" s="120">
        <f t="shared" si="4"/>
        <v>64527.55751</v>
      </c>
      <c r="L249" s="123">
        <f t="shared" si="3"/>
        <v>0.05182936346</v>
      </c>
    </row>
    <row r="250">
      <c r="H250" s="119">
        <v>1250000.0</v>
      </c>
      <c r="K250" s="120">
        <f t="shared" si="4"/>
        <v>64463.57929</v>
      </c>
      <c r="L250" s="123">
        <f t="shared" si="3"/>
        <v>0.05157086343</v>
      </c>
    </row>
    <row r="251">
      <c r="H251" s="119">
        <v>1255000.0</v>
      </c>
      <c r="K251" s="120">
        <f t="shared" si="4"/>
        <v>64398.63411</v>
      </c>
      <c r="L251" s="123">
        <f t="shared" si="3"/>
        <v>0.05131365268</v>
      </c>
    </row>
    <row r="252">
      <c r="H252" s="119">
        <v>1260000.0</v>
      </c>
      <c r="K252" s="120">
        <f t="shared" si="4"/>
        <v>64332.73321</v>
      </c>
      <c r="L252" s="123">
        <f t="shared" si="3"/>
        <v>0.05105772477</v>
      </c>
    </row>
    <row r="253">
      <c r="H253" s="119">
        <v>1265000.0</v>
      </c>
      <c r="K253" s="120">
        <f t="shared" si="4"/>
        <v>64265.88773</v>
      </c>
      <c r="L253" s="123">
        <f t="shared" si="3"/>
        <v>0.05080307331</v>
      </c>
    </row>
    <row r="254">
      <c r="H254" s="119">
        <v>1270000.0</v>
      </c>
      <c r="K254" s="120">
        <f t="shared" si="4"/>
        <v>64198.10874</v>
      </c>
      <c r="L254" s="123">
        <f t="shared" si="3"/>
        <v>0.05054969192</v>
      </c>
    </row>
    <row r="255">
      <c r="H255" s="119">
        <v>1275000.0</v>
      </c>
      <c r="K255" s="120">
        <f t="shared" si="4"/>
        <v>64129.40721</v>
      </c>
      <c r="L255" s="123">
        <f t="shared" si="3"/>
        <v>0.05029757428</v>
      </c>
    </row>
    <row r="256">
      <c r="H256" s="119">
        <v>1280000.0</v>
      </c>
      <c r="K256" s="120">
        <f t="shared" si="4"/>
        <v>64059.79402</v>
      </c>
      <c r="L256" s="123">
        <f t="shared" si="3"/>
        <v>0.05004671408</v>
      </c>
    </row>
    <row r="257">
      <c r="H257" s="119">
        <v>1285000.0</v>
      </c>
      <c r="K257" s="120">
        <f t="shared" si="4"/>
        <v>63989.27999</v>
      </c>
      <c r="L257" s="123">
        <f t="shared" si="3"/>
        <v>0.04979710505</v>
      </c>
    </row>
    <row r="258">
      <c r="H258" s="119">
        <v>1290000.0</v>
      </c>
      <c r="K258" s="120">
        <f t="shared" si="4"/>
        <v>63917.87583</v>
      </c>
      <c r="L258" s="123">
        <f t="shared" si="3"/>
        <v>0.04954874096</v>
      </c>
    </row>
    <row r="259">
      <c r="H259" s="119">
        <v>1295000.0</v>
      </c>
      <c r="K259" s="120">
        <f t="shared" si="4"/>
        <v>63845.59218</v>
      </c>
      <c r="L259" s="123">
        <f t="shared" si="3"/>
        <v>0.04930161558</v>
      </c>
    </row>
    <row r="260">
      <c r="H260" s="119">
        <v>1300000.0</v>
      </c>
      <c r="K260" s="120">
        <f t="shared" si="4"/>
        <v>63772.43957</v>
      </c>
      <c r="L260" s="123">
        <f t="shared" si="3"/>
        <v>0.04905572275</v>
      </c>
    </row>
    <row r="261">
      <c r="H261" s="119">
        <v>1305000.0</v>
      </c>
      <c r="K261" s="120">
        <f t="shared" si="4"/>
        <v>63698.42848</v>
      </c>
      <c r="L261" s="123">
        <f t="shared" si="3"/>
        <v>0.04881105631</v>
      </c>
    </row>
    <row r="262">
      <c r="H262" s="119">
        <v>1310000.0</v>
      </c>
      <c r="K262" s="120">
        <f t="shared" si="4"/>
        <v>63623.5693</v>
      </c>
      <c r="L262" s="123">
        <f t="shared" si="3"/>
        <v>0.04856761015</v>
      </c>
    </row>
    <row r="263">
      <c r="H263" s="119">
        <v>1315000.0</v>
      </c>
      <c r="K263" s="120">
        <f t="shared" si="4"/>
        <v>63547.87231</v>
      </c>
      <c r="L263" s="123">
        <f t="shared" si="3"/>
        <v>0.04832537818</v>
      </c>
    </row>
    <row r="264">
      <c r="H264" s="119">
        <v>1320000.0</v>
      </c>
      <c r="K264" s="120">
        <f t="shared" si="4"/>
        <v>63471.34775</v>
      </c>
      <c r="L264" s="123">
        <f t="shared" si="3"/>
        <v>0.04808435435</v>
      </c>
    </row>
    <row r="265">
      <c r="H265" s="119">
        <v>1325000.0</v>
      </c>
      <c r="K265" s="120">
        <f t="shared" si="4"/>
        <v>63394.00574</v>
      </c>
      <c r="L265" s="123">
        <f t="shared" si="3"/>
        <v>0.04784453264</v>
      </c>
    </row>
    <row r="266">
      <c r="H266" s="119">
        <v>1330000.0</v>
      </c>
      <c r="K266" s="120">
        <f t="shared" si="4"/>
        <v>63315.85636</v>
      </c>
      <c r="L266" s="123">
        <f t="shared" si="3"/>
        <v>0.04760590703</v>
      </c>
    </row>
    <row r="267">
      <c r="H267" s="119">
        <v>1335000.0</v>
      </c>
      <c r="K267" s="120">
        <f t="shared" si="4"/>
        <v>63236.90956</v>
      </c>
      <c r="L267" s="123">
        <f t="shared" si="3"/>
        <v>0.04736847158</v>
      </c>
    </row>
    <row r="268">
      <c r="H268" s="119">
        <v>1340000.0</v>
      </c>
      <c r="K268" s="120">
        <f t="shared" si="4"/>
        <v>63157.17526</v>
      </c>
      <c r="L268" s="123">
        <f t="shared" si="3"/>
        <v>0.04713222034</v>
      </c>
    </row>
    <row r="269">
      <c r="H269" s="119">
        <v>1345000.0</v>
      </c>
      <c r="K269" s="120">
        <f t="shared" si="4"/>
        <v>63076.66327</v>
      </c>
      <c r="L269" s="123">
        <f t="shared" si="3"/>
        <v>0.04689714741</v>
      </c>
    </row>
    <row r="270">
      <c r="H270" s="119">
        <v>1350000.0</v>
      </c>
      <c r="K270" s="120">
        <f t="shared" si="4"/>
        <v>62995.38334</v>
      </c>
      <c r="L270" s="123">
        <f t="shared" si="3"/>
        <v>0.04666324692</v>
      </c>
    </row>
    <row r="271">
      <c r="H271" s="119">
        <v>1355000.0</v>
      </c>
      <c r="K271" s="120">
        <f t="shared" si="4"/>
        <v>62913.34512</v>
      </c>
      <c r="L271" s="123">
        <f t="shared" si="3"/>
        <v>0.046430513</v>
      </c>
    </row>
    <row r="272">
      <c r="H272" s="119">
        <v>1360000.0</v>
      </c>
      <c r="K272" s="120">
        <f t="shared" si="4"/>
        <v>62830.5582</v>
      </c>
      <c r="L272" s="123">
        <f t="shared" si="3"/>
        <v>0.04619893985</v>
      </c>
    </row>
    <row r="273">
      <c r="H273" s="119">
        <v>1365000.0</v>
      </c>
      <c r="K273" s="120">
        <f t="shared" si="4"/>
        <v>62747.03209</v>
      </c>
      <c r="L273" s="123">
        <f t="shared" si="3"/>
        <v>0.04596852168</v>
      </c>
    </row>
    <row r="274">
      <c r="H274" s="119">
        <v>1370000.0</v>
      </c>
      <c r="K274" s="120">
        <f t="shared" si="4"/>
        <v>62662.77623</v>
      </c>
      <c r="L274" s="123">
        <f t="shared" si="3"/>
        <v>0.04573925272</v>
      </c>
    </row>
    <row r="275">
      <c r="H275" s="119">
        <v>1375000.0</v>
      </c>
      <c r="K275" s="120">
        <f t="shared" si="4"/>
        <v>62577.79996</v>
      </c>
      <c r="L275" s="123">
        <f t="shared" si="3"/>
        <v>0.04551112724</v>
      </c>
    </row>
    <row r="276">
      <c r="H276" s="119">
        <v>1380000.0</v>
      </c>
      <c r="K276" s="120">
        <f t="shared" si="4"/>
        <v>62492.11258</v>
      </c>
      <c r="L276" s="123">
        <f t="shared" si="3"/>
        <v>0.04528413955</v>
      </c>
    </row>
    <row r="277">
      <c r="H277" s="119">
        <v>1385000.0</v>
      </c>
      <c r="K277" s="120">
        <f t="shared" si="4"/>
        <v>62405.72329</v>
      </c>
      <c r="L277" s="123">
        <f t="shared" si="3"/>
        <v>0.04505828396</v>
      </c>
    </row>
    <row r="278">
      <c r="H278" s="119">
        <v>1390000.0</v>
      </c>
      <c r="K278" s="120">
        <f t="shared" si="4"/>
        <v>62318.64122</v>
      </c>
      <c r="L278" s="123">
        <f t="shared" si="3"/>
        <v>0.04483355483</v>
      </c>
    </row>
    <row r="279">
      <c r="H279" s="119">
        <v>1395000.0</v>
      </c>
      <c r="K279" s="120">
        <f t="shared" si="4"/>
        <v>62230.87543</v>
      </c>
      <c r="L279" s="123">
        <f t="shared" si="3"/>
        <v>0.04460994655</v>
      </c>
    </row>
    <row r="280">
      <c r="H280" s="119">
        <v>1400000.0</v>
      </c>
      <c r="K280" s="120">
        <f t="shared" si="4"/>
        <v>62142.43491</v>
      </c>
      <c r="L280" s="123">
        <f t="shared" si="3"/>
        <v>0.04438745351</v>
      </c>
    </row>
    <row r="281">
      <c r="H281" s="119">
        <v>1405000.0</v>
      </c>
      <c r="K281" s="120">
        <f t="shared" si="4"/>
        <v>62053.32858</v>
      </c>
      <c r="L281" s="123">
        <f t="shared" si="3"/>
        <v>0.04416607016</v>
      </c>
    </row>
    <row r="282">
      <c r="H282" s="119">
        <v>1410000.0</v>
      </c>
      <c r="K282" s="120">
        <f t="shared" si="4"/>
        <v>61963.56526</v>
      </c>
      <c r="L282" s="123">
        <f t="shared" si="3"/>
        <v>0.04394579097</v>
      </c>
    </row>
    <row r="283">
      <c r="H283" s="119">
        <v>1415000.0</v>
      </c>
      <c r="K283" s="120">
        <f t="shared" si="4"/>
        <v>61873.15375</v>
      </c>
      <c r="L283" s="123">
        <f t="shared" si="3"/>
        <v>0.04372661042</v>
      </c>
    </row>
    <row r="284">
      <c r="H284" s="119">
        <v>1420000.0</v>
      </c>
      <c r="K284" s="120">
        <f t="shared" si="4"/>
        <v>61782.10272</v>
      </c>
      <c r="L284" s="123">
        <f t="shared" si="3"/>
        <v>0.04350852304</v>
      </c>
    </row>
    <row r="285">
      <c r="H285" s="119">
        <v>1425000.0</v>
      </c>
      <c r="K285" s="120">
        <f t="shared" si="4"/>
        <v>61690.42081</v>
      </c>
      <c r="L285" s="123">
        <f t="shared" si="3"/>
        <v>0.04329152338</v>
      </c>
    </row>
    <row r="286">
      <c r="H286" s="119">
        <v>1430000.0</v>
      </c>
      <c r="K286" s="120">
        <f t="shared" si="4"/>
        <v>61598.11659</v>
      </c>
      <c r="L286" s="123">
        <f t="shared" si="3"/>
        <v>0.043075606</v>
      </c>
    </row>
    <row r="287">
      <c r="H287" s="119">
        <v>1435000.0</v>
      </c>
      <c r="K287" s="120">
        <f t="shared" si="4"/>
        <v>61505.19852</v>
      </c>
      <c r="L287" s="123">
        <f t="shared" si="3"/>
        <v>0.04286076552</v>
      </c>
    </row>
    <row r="288">
      <c r="H288" s="119">
        <v>1440000.0</v>
      </c>
      <c r="K288" s="120">
        <f t="shared" si="4"/>
        <v>61411.67505</v>
      </c>
      <c r="L288" s="123">
        <f t="shared" si="3"/>
        <v>0.04264699656</v>
      </c>
    </row>
    <row r="289">
      <c r="H289" s="119">
        <v>1445000.0</v>
      </c>
      <c r="K289" s="120">
        <f t="shared" si="4"/>
        <v>61317.55451</v>
      </c>
      <c r="L289" s="123">
        <f t="shared" si="3"/>
        <v>0.04243429378</v>
      </c>
    </row>
    <row r="290">
      <c r="H290" s="119">
        <v>1450000.0</v>
      </c>
      <c r="K290" s="120">
        <f t="shared" si="4"/>
        <v>61222.84519</v>
      </c>
      <c r="L290" s="123">
        <f t="shared" si="3"/>
        <v>0.04222265186</v>
      </c>
    </row>
    <row r="291">
      <c r="H291" s="119">
        <v>1455000.0</v>
      </c>
      <c r="K291" s="120">
        <f t="shared" si="4"/>
        <v>61127.55531</v>
      </c>
      <c r="L291" s="123">
        <f t="shared" si="3"/>
        <v>0.0420120655</v>
      </c>
    </row>
    <row r="292">
      <c r="H292" s="119">
        <v>1460000.0</v>
      </c>
      <c r="K292" s="120">
        <f t="shared" si="4"/>
        <v>61031.693</v>
      </c>
      <c r="L292" s="123">
        <f t="shared" si="3"/>
        <v>0.04180252945</v>
      </c>
    </row>
    <row r="293">
      <c r="H293" s="119">
        <v>1465000.0</v>
      </c>
      <c r="K293" s="120">
        <f t="shared" si="4"/>
        <v>60935.26635</v>
      </c>
      <c r="L293" s="123">
        <f t="shared" si="3"/>
        <v>0.04159403847</v>
      </c>
    </row>
    <row r="294">
      <c r="H294" s="119">
        <v>1470000.0</v>
      </c>
      <c r="K294" s="120">
        <f t="shared" si="4"/>
        <v>60838.28338</v>
      </c>
      <c r="L294" s="123">
        <f t="shared" si="3"/>
        <v>0.04138658733</v>
      </c>
    </row>
    <row r="295">
      <c r="H295" s="119">
        <v>1475000.0</v>
      </c>
      <c r="K295" s="120">
        <f t="shared" si="4"/>
        <v>60740.75203</v>
      </c>
      <c r="L295" s="123">
        <f t="shared" si="3"/>
        <v>0.04118017087</v>
      </c>
    </row>
    <row r="296">
      <c r="H296" s="119">
        <v>1480000.0</v>
      </c>
      <c r="K296" s="120">
        <f t="shared" si="4"/>
        <v>60642.68019</v>
      </c>
      <c r="L296" s="123">
        <f t="shared" si="3"/>
        <v>0.04097478391</v>
      </c>
    </row>
    <row r="297">
      <c r="H297" s="119">
        <v>1485000.0</v>
      </c>
      <c r="K297" s="120">
        <f t="shared" si="4"/>
        <v>60544.07566</v>
      </c>
      <c r="L297" s="123">
        <f t="shared" si="3"/>
        <v>0.04077042132</v>
      </c>
    </row>
    <row r="298">
      <c r="H298" s="119">
        <v>1490000.0</v>
      </c>
      <c r="K298" s="120">
        <f t="shared" si="4"/>
        <v>60444.94622</v>
      </c>
      <c r="L298" s="123">
        <f t="shared" si="3"/>
        <v>0.040567078</v>
      </c>
    </row>
    <row r="299">
      <c r="H299" s="119">
        <v>1495000.0</v>
      </c>
      <c r="K299" s="120">
        <f t="shared" si="4"/>
        <v>60345.29953</v>
      </c>
      <c r="L299" s="123">
        <f t="shared" si="3"/>
        <v>0.04036474885</v>
      </c>
    </row>
    <row r="300">
      <c r="H300" s="119">
        <v>1500000.0</v>
      </c>
      <c r="K300" s="120">
        <f t="shared" si="4"/>
        <v>60245.14324</v>
      </c>
      <c r="L300" s="123">
        <f t="shared" si="3"/>
        <v>0.04016342883</v>
      </c>
    </row>
    <row r="301">
      <c r="H301" s="119">
        <v>1505000.0</v>
      </c>
      <c r="K301" s="120">
        <f t="shared" si="4"/>
        <v>60144.4849</v>
      </c>
      <c r="L301" s="123">
        <f t="shared" si="3"/>
        <v>0.03996311289</v>
      </c>
    </row>
    <row r="302">
      <c r="H302" s="119">
        <v>1510000.0</v>
      </c>
      <c r="K302" s="120">
        <f t="shared" si="4"/>
        <v>60043.33201</v>
      </c>
      <c r="L302" s="123">
        <f t="shared" si="3"/>
        <v>0.03976379603</v>
      </c>
    </row>
    <row r="303">
      <c r="H303" s="119">
        <v>1515000.0</v>
      </c>
      <c r="K303" s="120">
        <f t="shared" si="4"/>
        <v>59941.69201</v>
      </c>
      <c r="L303" s="123">
        <f t="shared" si="3"/>
        <v>0.03956547327</v>
      </c>
    </row>
    <row r="304">
      <c r="H304" s="119">
        <v>1520000.0</v>
      </c>
      <c r="K304" s="120">
        <f t="shared" si="4"/>
        <v>59839.57227</v>
      </c>
      <c r="L304" s="123">
        <f t="shared" si="3"/>
        <v>0.03936813965</v>
      </c>
    </row>
    <row r="305">
      <c r="H305" s="119">
        <v>1525000.0</v>
      </c>
      <c r="K305" s="120">
        <f t="shared" si="4"/>
        <v>59736.98011</v>
      </c>
      <c r="L305" s="123">
        <f t="shared" si="3"/>
        <v>0.03917179024</v>
      </c>
    </row>
    <row r="306">
      <c r="H306" s="119">
        <v>1530000.0</v>
      </c>
      <c r="K306" s="120">
        <f t="shared" si="4"/>
        <v>59633.92278</v>
      </c>
      <c r="L306" s="123">
        <f t="shared" si="3"/>
        <v>0.03897642012</v>
      </c>
    </row>
    <row r="307">
      <c r="H307" s="119">
        <v>1535000.0</v>
      </c>
      <c r="K307" s="120">
        <f t="shared" si="4"/>
        <v>59530.40747</v>
      </c>
      <c r="L307" s="123">
        <f t="shared" si="3"/>
        <v>0.03878202441</v>
      </c>
    </row>
    <row r="308">
      <c r="H308" s="119">
        <v>1540000.0</v>
      </c>
      <c r="K308" s="120">
        <f t="shared" si="4"/>
        <v>59426.44132</v>
      </c>
      <c r="L308" s="123">
        <f t="shared" si="3"/>
        <v>0.03858859826</v>
      </c>
    </row>
    <row r="309">
      <c r="H309" s="119">
        <v>1545000.0</v>
      </c>
      <c r="K309" s="120">
        <f t="shared" si="4"/>
        <v>59322.03139</v>
      </c>
      <c r="L309" s="123">
        <f t="shared" si="3"/>
        <v>0.03839613682</v>
      </c>
    </row>
    <row r="310">
      <c r="H310" s="119">
        <v>1550000.0</v>
      </c>
      <c r="K310" s="120">
        <f t="shared" si="4"/>
        <v>59217.1847</v>
      </c>
      <c r="L310" s="123">
        <f t="shared" si="3"/>
        <v>0.03820463529</v>
      </c>
    </row>
    <row r="311">
      <c r="H311" s="119">
        <v>1555000.0</v>
      </c>
      <c r="K311" s="120">
        <f t="shared" si="4"/>
        <v>59111.9082</v>
      </c>
      <c r="L311" s="123">
        <f t="shared" si="3"/>
        <v>0.03801408888</v>
      </c>
    </row>
    <row r="312">
      <c r="H312" s="119">
        <v>1560000.0</v>
      </c>
      <c r="K312" s="120">
        <f t="shared" si="4"/>
        <v>59006.20879</v>
      </c>
      <c r="L312" s="123">
        <f t="shared" si="3"/>
        <v>0.03782449282</v>
      </c>
    </row>
    <row r="313">
      <c r="H313" s="119">
        <v>1565000.0</v>
      </c>
      <c r="K313" s="120">
        <f t="shared" si="4"/>
        <v>58900.09331</v>
      </c>
      <c r="L313" s="123">
        <f t="shared" si="3"/>
        <v>0.03763584237</v>
      </c>
    </row>
    <row r="314">
      <c r="H314" s="119">
        <v>1570000.0</v>
      </c>
      <c r="K314" s="120">
        <f t="shared" si="4"/>
        <v>58793.56853</v>
      </c>
      <c r="L314" s="123">
        <f t="shared" si="3"/>
        <v>0.03744813282</v>
      </c>
    </row>
    <row r="315">
      <c r="H315" s="119">
        <v>1575000.0</v>
      </c>
      <c r="K315" s="120">
        <f t="shared" si="4"/>
        <v>58686.64119</v>
      </c>
      <c r="L315" s="123">
        <f t="shared" si="3"/>
        <v>0.03726135948</v>
      </c>
    </row>
    <row r="316">
      <c r="H316" s="119">
        <v>1580000.0</v>
      </c>
      <c r="K316" s="120">
        <f t="shared" si="4"/>
        <v>58579.31793</v>
      </c>
      <c r="L316" s="123">
        <f t="shared" si="3"/>
        <v>0.03707551768</v>
      </c>
    </row>
    <row r="317">
      <c r="H317" s="119">
        <v>1585000.0</v>
      </c>
      <c r="K317" s="120">
        <f t="shared" si="4"/>
        <v>58471.60538</v>
      </c>
      <c r="L317" s="123">
        <f t="shared" si="3"/>
        <v>0.03689060276</v>
      </c>
    </row>
    <row r="318">
      <c r="H318" s="119">
        <v>1590000.0</v>
      </c>
      <c r="K318" s="120">
        <f t="shared" si="4"/>
        <v>58363.51008</v>
      </c>
      <c r="L318" s="123">
        <f t="shared" si="3"/>
        <v>0.03670661011</v>
      </c>
    </row>
    <row r="319">
      <c r="H319" s="119">
        <v>1595000.0</v>
      </c>
      <c r="K319" s="120">
        <f t="shared" si="4"/>
        <v>58255.03853</v>
      </c>
      <c r="L319" s="123">
        <f t="shared" si="3"/>
        <v>0.03652353513</v>
      </c>
    </row>
    <row r="320">
      <c r="H320" s="119">
        <v>1600000.0</v>
      </c>
      <c r="K320" s="120">
        <f t="shared" si="4"/>
        <v>58146.19718</v>
      </c>
      <c r="L320" s="123">
        <f t="shared" si="3"/>
        <v>0.03634137324</v>
      </c>
    </row>
    <row r="321">
      <c r="H321" s="119">
        <v>1605000.0</v>
      </c>
      <c r="K321" s="120">
        <f t="shared" si="4"/>
        <v>58036.99241</v>
      </c>
      <c r="L321" s="123">
        <f t="shared" si="3"/>
        <v>0.03616011988</v>
      </c>
    </row>
    <row r="322">
      <c r="H322" s="119">
        <v>1610000.0</v>
      </c>
      <c r="K322" s="120">
        <f t="shared" si="4"/>
        <v>57927.43056</v>
      </c>
      <c r="L322" s="123">
        <f t="shared" si="3"/>
        <v>0.03597977053</v>
      </c>
    </row>
    <row r="323">
      <c r="H323" s="119">
        <v>1615000.0</v>
      </c>
      <c r="K323" s="120">
        <f t="shared" si="4"/>
        <v>57817.5179</v>
      </c>
      <c r="L323" s="123">
        <f t="shared" si="3"/>
        <v>0.03580032068</v>
      </c>
    </row>
    <row r="324">
      <c r="H324" s="119">
        <v>1620000.0</v>
      </c>
      <c r="K324" s="120">
        <f t="shared" si="4"/>
        <v>57707.26065</v>
      </c>
      <c r="L324" s="123">
        <f t="shared" si="3"/>
        <v>0.03562176584</v>
      </c>
    </row>
    <row r="325">
      <c r="H325" s="119">
        <v>1625000.0</v>
      </c>
      <c r="K325" s="120">
        <f t="shared" si="4"/>
        <v>57596.665</v>
      </c>
      <c r="L325" s="123">
        <f t="shared" si="3"/>
        <v>0.03544410154</v>
      </c>
    </row>
    <row r="326">
      <c r="H326" s="119">
        <v>1630000.0</v>
      </c>
      <c r="K326" s="120">
        <f t="shared" si="4"/>
        <v>57485.73705</v>
      </c>
      <c r="L326" s="123">
        <f t="shared" si="3"/>
        <v>0.03526732334</v>
      </c>
    </row>
    <row r="327">
      <c r="H327" s="119">
        <v>1635000.0</v>
      </c>
      <c r="K327" s="120">
        <f t="shared" si="4"/>
        <v>57374.48287</v>
      </c>
      <c r="L327" s="123">
        <f t="shared" si="3"/>
        <v>0.03509142683</v>
      </c>
    </row>
    <row r="328">
      <c r="H328" s="119">
        <v>1640000.0</v>
      </c>
      <c r="K328" s="120">
        <f t="shared" si="4"/>
        <v>57262.90848</v>
      </c>
      <c r="L328" s="123">
        <f t="shared" si="3"/>
        <v>0.03491640761</v>
      </c>
    </row>
    <row r="329">
      <c r="H329" s="119">
        <v>1645000.0</v>
      </c>
      <c r="K329" s="120">
        <f t="shared" si="4"/>
        <v>57151.01984</v>
      </c>
      <c r="L329" s="123">
        <f t="shared" si="3"/>
        <v>0.0347422613</v>
      </c>
    </row>
    <row r="330">
      <c r="H330" s="119">
        <v>1650000.0</v>
      </c>
      <c r="K330" s="120">
        <f t="shared" si="4"/>
        <v>57038.82286</v>
      </c>
      <c r="L330" s="123">
        <f t="shared" si="3"/>
        <v>0.03456898355</v>
      </c>
    </row>
    <row r="331">
      <c r="H331" s="119">
        <v>1655000.0</v>
      </c>
      <c r="K331" s="120">
        <f t="shared" si="4"/>
        <v>56926.32339</v>
      </c>
      <c r="L331" s="123">
        <f t="shared" si="3"/>
        <v>0.03439657003</v>
      </c>
    </row>
    <row r="332">
      <c r="H332" s="119">
        <v>1660000.0</v>
      </c>
      <c r="K332" s="120">
        <f t="shared" si="4"/>
        <v>56813.52725</v>
      </c>
      <c r="L332" s="123">
        <f t="shared" si="3"/>
        <v>0.03422501642</v>
      </c>
    </row>
    <row r="333">
      <c r="H333" s="119">
        <v>1665000.0</v>
      </c>
      <c r="K333" s="120">
        <f t="shared" si="4"/>
        <v>56700.4402</v>
      </c>
      <c r="L333" s="123">
        <f t="shared" si="3"/>
        <v>0.03405431844</v>
      </c>
    </row>
    <row r="334">
      <c r="H334" s="119">
        <v>1670000.0</v>
      </c>
      <c r="K334" s="120">
        <f t="shared" si="4"/>
        <v>56587.06793</v>
      </c>
      <c r="L334" s="123">
        <f t="shared" si="3"/>
        <v>0.03388447181</v>
      </c>
    </row>
    <row r="335">
      <c r="H335" s="119">
        <v>1675000.0</v>
      </c>
      <c r="K335" s="120">
        <f t="shared" si="4"/>
        <v>56473.41611</v>
      </c>
      <c r="L335" s="123">
        <f t="shared" si="3"/>
        <v>0.03371547231</v>
      </c>
    </row>
    <row r="336">
      <c r="H336" s="119">
        <v>1680000.0</v>
      </c>
      <c r="K336" s="120">
        <f t="shared" si="4"/>
        <v>56359.49035</v>
      </c>
      <c r="L336" s="123">
        <f t="shared" si="3"/>
        <v>0.03354731569</v>
      </c>
    </row>
    <row r="337">
      <c r="H337" s="119">
        <v>1685000.0</v>
      </c>
      <c r="K337" s="120">
        <f t="shared" si="4"/>
        <v>56245.29621</v>
      </c>
      <c r="L337" s="123">
        <f t="shared" si="3"/>
        <v>0.03337999775</v>
      </c>
    </row>
    <row r="338">
      <c r="H338" s="119">
        <v>1690000.0</v>
      </c>
      <c r="K338" s="120">
        <f t="shared" si="4"/>
        <v>56130.8392</v>
      </c>
      <c r="L338" s="123">
        <f t="shared" si="3"/>
        <v>0.03321351432</v>
      </c>
    </row>
    <row r="339">
      <c r="H339" s="119">
        <v>1695000.0</v>
      </c>
      <c r="K339" s="120">
        <f t="shared" si="4"/>
        <v>56016.12478</v>
      </c>
      <c r="L339" s="123">
        <f t="shared" si="3"/>
        <v>0.03304786122</v>
      </c>
    </row>
    <row r="340">
      <c r="K340" s="120">
        <f t="shared" si="4"/>
        <v>0</v>
      </c>
    </row>
    <row r="341">
      <c r="K341" s="17"/>
    </row>
    <row r="342">
      <c r="K342" s="17"/>
    </row>
    <row r="343">
      <c r="K343" s="17"/>
    </row>
    <row r="344">
      <c r="K344" s="17"/>
    </row>
    <row r="345">
      <c r="K345" s="17"/>
    </row>
    <row r="346">
      <c r="K346" s="17"/>
    </row>
    <row r="347">
      <c r="K347" s="17"/>
    </row>
    <row r="348">
      <c r="K348" s="17"/>
    </row>
    <row r="349">
      <c r="K349" s="17"/>
    </row>
    <row r="350">
      <c r="K350" s="17"/>
    </row>
    <row r="351">
      <c r="K351" s="17"/>
    </row>
    <row r="352">
      <c r="K352" s="17"/>
    </row>
    <row r="353">
      <c r="K353" s="17"/>
    </row>
    <row r="354">
      <c r="K354" s="17"/>
    </row>
    <row r="355">
      <c r="K355" s="17"/>
    </row>
    <row r="356">
      <c r="K356" s="17"/>
    </row>
    <row r="357">
      <c r="K357" s="17"/>
    </row>
    <row r="358">
      <c r="K358" s="17"/>
    </row>
    <row r="359">
      <c r="K359" s="17"/>
    </row>
    <row r="360">
      <c r="K360" s="17"/>
    </row>
    <row r="361">
      <c r="K361" s="17"/>
    </row>
    <row r="362">
      <c r="K362" s="17"/>
    </row>
    <row r="363">
      <c r="K363" s="17"/>
    </row>
    <row r="364">
      <c r="K364" s="17"/>
    </row>
    <row r="365">
      <c r="K365" s="17"/>
    </row>
    <row r="366">
      <c r="K366" s="17"/>
    </row>
    <row r="367">
      <c r="K367" s="17"/>
    </row>
    <row r="368">
      <c r="K368" s="17"/>
    </row>
    <row r="369">
      <c r="K369" s="17"/>
    </row>
    <row r="370">
      <c r="K370" s="17"/>
    </row>
    <row r="371">
      <c r="K371" s="17"/>
    </row>
    <row r="372">
      <c r="K372" s="17"/>
    </row>
    <row r="373">
      <c r="K373" s="17"/>
    </row>
    <row r="374">
      <c r="K374" s="17"/>
    </row>
    <row r="375">
      <c r="K375" s="17"/>
    </row>
    <row r="376">
      <c r="K376" s="17"/>
    </row>
    <row r="377">
      <c r="K377" s="17"/>
    </row>
    <row r="378">
      <c r="K378" s="17"/>
    </row>
    <row r="379">
      <c r="K379" s="17"/>
    </row>
    <row r="380">
      <c r="K380" s="17"/>
    </row>
    <row r="381">
      <c r="K381" s="17"/>
    </row>
    <row r="382">
      <c r="K382" s="17"/>
    </row>
    <row r="383">
      <c r="K383" s="17"/>
    </row>
    <row r="384">
      <c r="K384" s="17"/>
    </row>
    <row r="385">
      <c r="K385" s="17"/>
    </row>
    <row r="386">
      <c r="K386" s="17"/>
    </row>
    <row r="387">
      <c r="K387" s="17"/>
    </row>
    <row r="388">
      <c r="K388" s="17"/>
    </row>
    <row r="389">
      <c r="K389" s="17"/>
    </row>
    <row r="390">
      <c r="K390" s="17"/>
    </row>
    <row r="391">
      <c r="K391" s="17"/>
    </row>
    <row r="392">
      <c r="K392" s="17"/>
    </row>
    <row r="393">
      <c r="K393" s="17"/>
    </row>
    <row r="394">
      <c r="K394" s="17"/>
    </row>
    <row r="395">
      <c r="K395" s="17"/>
    </row>
    <row r="396">
      <c r="K396" s="17"/>
    </row>
    <row r="397">
      <c r="K397" s="17"/>
    </row>
    <row r="398">
      <c r="K398" s="17"/>
    </row>
    <row r="399">
      <c r="K399" s="17"/>
    </row>
    <row r="400">
      <c r="K400" s="17"/>
    </row>
    <row r="401">
      <c r="K401" s="17"/>
    </row>
    <row r="402">
      <c r="K402" s="17"/>
    </row>
    <row r="403">
      <c r="K403" s="17"/>
    </row>
    <row r="404">
      <c r="K404" s="17"/>
    </row>
    <row r="405">
      <c r="K405" s="17"/>
    </row>
    <row r="406">
      <c r="K406" s="17"/>
    </row>
    <row r="407">
      <c r="K407" s="17"/>
    </row>
    <row r="408">
      <c r="K408" s="17"/>
    </row>
    <row r="409">
      <c r="K409" s="17"/>
    </row>
    <row r="410">
      <c r="K410" s="17"/>
    </row>
    <row r="411">
      <c r="K411" s="17"/>
    </row>
    <row r="412">
      <c r="K412" s="17"/>
    </row>
    <row r="413">
      <c r="K413" s="17"/>
    </row>
    <row r="414">
      <c r="K414" s="17"/>
    </row>
    <row r="415">
      <c r="K415" s="17"/>
    </row>
    <row r="416">
      <c r="K416" s="17"/>
    </row>
    <row r="417">
      <c r="K417" s="17"/>
    </row>
    <row r="418">
      <c r="K418" s="17"/>
    </row>
    <row r="419">
      <c r="K419" s="17"/>
    </row>
    <row r="420">
      <c r="K420" s="17"/>
    </row>
    <row r="421">
      <c r="K421" s="17"/>
    </row>
    <row r="422">
      <c r="K422" s="17"/>
    </row>
    <row r="423">
      <c r="K423" s="17"/>
    </row>
    <row r="424">
      <c r="K424" s="17"/>
    </row>
    <row r="425">
      <c r="K425" s="17"/>
    </row>
    <row r="426">
      <c r="K426" s="17"/>
    </row>
    <row r="427">
      <c r="K427" s="17"/>
    </row>
    <row r="428">
      <c r="K428" s="17"/>
    </row>
    <row r="429">
      <c r="K429" s="17"/>
    </row>
    <row r="430">
      <c r="K430" s="17"/>
    </row>
    <row r="431">
      <c r="K431" s="17"/>
    </row>
    <row r="432">
      <c r="K432" s="17"/>
    </row>
    <row r="433">
      <c r="K433" s="17"/>
    </row>
    <row r="434">
      <c r="K434" s="17"/>
    </row>
    <row r="435">
      <c r="K435" s="17"/>
    </row>
    <row r="436">
      <c r="K436" s="17"/>
    </row>
    <row r="437">
      <c r="K437" s="17"/>
    </row>
    <row r="438">
      <c r="K438" s="17"/>
    </row>
    <row r="439">
      <c r="K439" s="17"/>
    </row>
    <row r="440">
      <c r="K440" s="17"/>
    </row>
    <row r="441">
      <c r="K441" s="17"/>
    </row>
    <row r="442">
      <c r="K442" s="17"/>
    </row>
    <row r="443">
      <c r="K443" s="17"/>
    </row>
    <row r="444">
      <c r="K444" s="17"/>
    </row>
    <row r="445">
      <c r="K445" s="17"/>
    </row>
    <row r="446">
      <c r="K446" s="17"/>
    </row>
    <row r="447">
      <c r="K447" s="17"/>
    </row>
    <row r="448">
      <c r="K448" s="17"/>
    </row>
    <row r="449">
      <c r="K449" s="17"/>
    </row>
    <row r="450">
      <c r="K450" s="17"/>
    </row>
    <row r="451">
      <c r="K451" s="17"/>
    </row>
    <row r="452">
      <c r="K452" s="17"/>
    </row>
    <row r="453">
      <c r="K453" s="17"/>
    </row>
    <row r="454">
      <c r="K454" s="17"/>
    </row>
    <row r="455">
      <c r="K455" s="17"/>
    </row>
    <row r="456">
      <c r="K456" s="17"/>
    </row>
    <row r="457">
      <c r="K457" s="17"/>
    </row>
    <row r="458">
      <c r="K458" s="17"/>
    </row>
    <row r="459">
      <c r="K459" s="17"/>
    </row>
    <row r="460">
      <c r="K460" s="17"/>
    </row>
    <row r="461">
      <c r="K461" s="17"/>
    </row>
    <row r="462">
      <c r="K462" s="17"/>
    </row>
    <row r="463">
      <c r="K463" s="17"/>
    </row>
    <row r="464">
      <c r="K464" s="17"/>
    </row>
    <row r="465">
      <c r="K465" s="17"/>
    </row>
    <row r="466">
      <c r="K466" s="17"/>
    </row>
    <row r="467">
      <c r="K467" s="17"/>
    </row>
    <row r="468">
      <c r="K468" s="17"/>
    </row>
    <row r="469">
      <c r="K469" s="17"/>
    </row>
    <row r="470">
      <c r="K470" s="17"/>
    </row>
    <row r="471">
      <c r="K471" s="17"/>
    </row>
    <row r="472">
      <c r="K472" s="17"/>
    </row>
    <row r="473">
      <c r="K473" s="17"/>
    </row>
    <row r="474">
      <c r="K474" s="17"/>
    </row>
    <row r="475">
      <c r="K475" s="17"/>
    </row>
    <row r="476">
      <c r="K476" s="17"/>
    </row>
    <row r="477">
      <c r="K477" s="17"/>
    </row>
    <row r="478">
      <c r="K478" s="17"/>
    </row>
    <row r="479">
      <c r="K479" s="17"/>
    </row>
    <row r="480">
      <c r="K480" s="17"/>
    </row>
    <row r="481">
      <c r="K481" s="17"/>
    </row>
    <row r="482">
      <c r="K482" s="17"/>
    </row>
    <row r="483">
      <c r="K483" s="17"/>
    </row>
    <row r="484">
      <c r="K484" s="17"/>
    </row>
    <row r="485">
      <c r="K485" s="17"/>
    </row>
    <row r="486">
      <c r="K486" s="17"/>
    </row>
    <row r="487">
      <c r="K487" s="17"/>
    </row>
    <row r="488">
      <c r="K488" s="17"/>
    </row>
    <row r="489">
      <c r="K489" s="17"/>
    </row>
    <row r="490">
      <c r="K490" s="17"/>
    </row>
    <row r="491">
      <c r="K491" s="17"/>
    </row>
    <row r="492">
      <c r="K492" s="17"/>
    </row>
    <row r="493">
      <c r="K493" s="17"/>
    </row>
    <row r="494">
      <c r="K494" s="17"/>
    </row>
    <row r="495">
      <c r="K495" s="17"/>
    </row>
    <row r="496">
      <c r="K496" s="17"/>
    </row>
    <row r="497">
      <c r="K497" s="17"/>
    </row>
    <row r="498">
      <c r="K498" s="17"/>
    </row>
    <row r="499">
      <c r="K499" s="17"/>
    </row>
    <row r="500">
      <c r="K500" s="17"/>
    </row>
    <row r="501">
      <c r="K501" s="17"/>
    </row>
    <row r="502">
      <c r="K502" s="17"/>
    </row>
    <row r="503">
      <c r="K503" s="17"/>
    </row>
    <row r="504">
      <c r="K504" s="17"/>
    </row>
    <row r="505">
      <c r="K505" s="17"/>
    </row>
    <row r="506">
      <c r="K506" s="17"/>
    </row>
    <row r="507">
      <c r="K507" s="17"/>
    </row>
    <row r="508">
      <c r="K508" s="17"/>
    </row>
    <row r="509">
      <c r="K509" s="17"/>
    </row>
    <row r="510">
      <c r="K510" s="17"/>
    </row>
    <row r="511">
      <c r="K511" s="17"/>
    </row>
    <row r="512">
      <c r="K512" s="17"/>
    </row>
    <row r="513">
      <c r="K513" s="17"/>
    </row>
    <row r="514">
      <c r="K514" s="17"/>
    </row>
    <row r="515">
      <c r="K515" s="17"/>
    </row>
    <row r="516">
      <c r="K516" s="17"/>
    </row>
    <row r="517">
      <c r="K517" s="17"/>
    </row>
    <row r="518">
      <c r="K518" s="17"/>
    </row>
    <row r="519">
      <c r="K519" s="17"/>
    </row>
    <row r="520">
      <c r="K520" s="17"/>
    </row>
    <row r="521">
      <c r="K521" s="17"/>
    </row>
    <row r="522">
      <c r="K522" s="17"/>
    </row>
    <row r="523">
      <c r="K523" s="17"/>
    </row>
    <row r="524">
      <c r="K524" s="17"/>
    </row>
    <row r="525">
      <c r="K525" s="17"/>
    </row>
    <row r="526">
      <c r="K526" s="17"/>
    </row>
    <row r="527">
      <c r="K527" s="17"/>
    </row>
    <row r="528">
      <c r="K528" s="17"/>
    </row>
    <row r="529">
      <c r="K529" s="17"/>
    </row>
    <row r="530">
      <c r="K530" s="17"/>
    </row>
    <row r="531">
      <c r="K531" s="17"/>
    </row>
    <row r="532">
      <c r="K532" s="17"/>
    </row>
    <row r="533">
      <c r="K533" s="17"/>
    </row>
    <row r="534">
      <c r="K534" s="17"/>
    </row>
    <row r="535">
      <c r="K535" s="17"/>
    </row>
    <row r="536">
      <c r="K536" s="17"/>
    </row>
    <row r="537">
      <c r="K537" s="17"/>
    </row>
    <row r="538">
      <c r="K538" s="17"/>
    </row>
    <row r="539">
      <c r="K539" s="17"/>
    </row>
    <row r="540">
      <c r="K540" s="17"/>
    </row>
    <row r="541">
      <c r="K541" s="17"/>
    </row>
    <row r="542">
      <c r="K542" s="17"/>
    </row>
    <row r="543">
      <c r="K543" s="17"/>
    </row>
    <row r="544">
      <c r="K544" s="17"/>
    </row>
    <row r="545">
      <c r="K545" s="17"/>
    </row>
    <row r="546">
      <c r="K546" s="17"/>
    </row>
    <row r="547">
      <c r="K547" s="17"/>
    </row>
    <row r="548">
      <c r="K548" s="17"/>
    </row>
    <row r="549">
      <c r="K549" s="17"/>
    </row>
    <row r="550">
      <c r="K550" s="17"/>
    </row>
    <row r="551">
      <c r="K551" s="17"/>
    </row>
    <row r="552">
      <c r="K552" s="17"/>
    </row>
    <row r="553">
      <c r="K553" s="17"/>
    </row>
    <row r="554">
      <c r="K554" s="17"/>
    </row>
    <row r="555">
      <c r="K555" s="17"/>
    </row>
    <row r="556">
      <c r="K556" s="17"/>
    </row>
    <row r="557">
      <c r="K557" s="17"/>
    </row>
    <row r="558">
      <c r="K558" s="17"/>
    </row>
    <row r="559">
      <c r="K559" s="17"/>
    </row>
    <row r="560">
      <c r="K560" s="17"/>
    </row>
    <row r="561">
      <c r="K561" s="17"/>
    </row>
    <row r="562">
      <c r="K562" s="17"/>
    </row>
    <row r="563">
      <c r="K563" s="17"/>
    </row>
    <row r="564">
      <c r="K564" s="17"/>
    </row>
    <row r="565">
      <c r="K565" s="17"/>
    </row>
    <row r="566">
      <c r="K566" s="17"/>
    </row>
    <row r="567">
      <c r="K567" s="17"/>
    </row>
    <row r="568">
      <c r="K568" s="17"/>
    </row>
    <row r="569">
      <c r="K569" s="17"/>
    </row>
    <row r="570">
      <c r="K570" s="17"/>
    </row>
    <row r="571">
      <c r="K571" s="17"/>
    </row>
    <row r="572">
      <c r="K572" s="17"/>
    </row>
    <row r="573">
      <c r="K573" s="17"/>
    </row>
    <row r="574">
      <c r="K574" s="17"/>
    </row>
    <row r="575">
      <c r="K575" s="17"/>
    </row>
    <row r="576">
      <c r="K576" s="17"/>
    </row>
    <row r="577">
      <c r="K577" s="17"/>
    </row>
    <row r="578">
      <c r="K578" s="17"/>
    </row>
    <row r="579">
      <c r="K579" s="17"/>
    </row>
    <row r="580">
      <c r="K580" s="17"/>
    </row>
    <row r="581">
      <c r="K581" s="17"/>
    </row>
    <row r="582">
      <c r="K582" s="17"/>
    </row>
    <row r="583">
      <c r="K583" s="17"/>
    </row>
    <row r="584">
      <c r="K584" s="17"/>
    </row>
    <row r="585">
      <c r="K585" s="17"/>
    </row>
    <row r="586">
      <c r="K586" s="17"/>
    </row>
    <row r="587">
      <c r="K587" s="17"/>
    </row>
    <row r="588">
      <c r="K588" s="17"/>
    </row>
    <row r="589">
      <c r="K589" s="17"/>
    </row>
    <row r="590">
      <c r="K590" s="17"/>
    </row>
    <row r="591">
      <c r="K591" s="17"/>
    </row>
    <row r="592">
      <c r="K592" s="17"/>
    </row>
    <row r="593">
      <c r="K593" s="17"/>
    </row>
    <row r="594">
      <c r="K594" s="17"/>
    </row>
    <row r="595">
      <c r="K595" s="17"/>
    </row>
    <row r="596">
      <c r="K596" s="17"/>
    </row>
    <row r="597">
      <c r="K597" s="17"/>
    </row>
    <row r="598">
      <c r="K598" s="17"/>
    </row>
    <row r="599">
      <c r="K599" s="17"/>
    </row>
    <row r="600">
      <c r="K600" s="17"/>
    </row>
    <row r="601">
      <c r="K601" s="17"/>
    </row>
    <row r="602">
      <c r="K602" s="17"/>
    </row>
    <row r="603">
      <c r="K603" s="17"/>
    </row>
    <row r="604">
      <c r="K604" s="17"/>
    </row>
    <row r="605">
      <c r="K605" s="17"/>
    </row>
    <row r="606">
      <c r="K606" s="17"/>
    </row>
    <row r="607">
      <c r="K607" s="17"/>
    </row>
    <row r="608">
      <c r="K608" s="17"/>
    </row>
    <row r="609">
      <c r="K609" s="17"/>
    </row>
    <row r="610">
      <c r="K610" s="17"/>
    </row>
    <row r="611">
      <c r="K611" s="17"/>
    </row>
    <row r="612">
      <c r="K612" s="17"/>
    </row>
    <row r="613">
      <c r="K613" s="17"/>
    </row>
    <row r="614">
      <c r="K614" s="17"/>
    </row>
    <row r="615">
      <c r="K615" s="17"/>
    </row>
    <row r="616">
      <c r="K616" s="17"/>
    </row>
    <row r="617">
      <c r="K617" s="17"/>
    </row>
    <row r="618">
      <c r="K618" s="17"/>
    </row>
    <row r="619">
      <c r="K619" s="17"/>
    </row>
    <row r="620">
      <c r="K620" s="17"/>
    </row>
    <row r="621">
      <c r="K621" s="17"/>
    </row>
    <row r="622">
      <c r="K622" s="17"/>
    </row>
    <row r="623">
      <c r="K623" s="17"/>
    </row>
    <row r="624">
      <c r="K624" s="17"/>
    </row>
    <row r="625">
      <c r="K625" s="17"/>
    </row>
    <row r="626">
      <c r="K626" s="17"/>
    </row>
    <row r="627">
      <c r="K627" s="17"/>
    </row>
    <row r="628">
      <c r="K628" s="17"/>
    </row>
    <row r="629">
      <c r="K629" s="17"/>
    </row>
    <row r="630">
      <c r="K630" s="17"/>
    </row>
    <row r="631">
      <c r="K631" s="17"/>
    </row>
    <row r="632">
      <c r="K632" s="17"/>
    </row>
    <row r="633">
      <c r="K633" s="17"/>
    </row>
    <row r="634">
      <c r="K634" s="17"/>
    </row>
    <row r="635">
      <c r="K635" s="17"/>
    </row>
    <row r="636">
      <c r="K636" s="17"/>
    </row>
    <row r="637">
      <c r="K637" s="17"/>
    </row>
    <row r="638">
      <c r="K638" s="17"/>
    </row>
    <row r="639">
      <c r="K639" s="17"/>
    </row>
    <row r="640">
      <c r="K640" s="17"/>
    </row>
    <row r="641">
      <c r="K641" s="17"/>
    </row>
    <row r="642">
      <c r="K642" s="17"/>
    </row>
    <row r="643">
      <c r="K643" s="17"/>
    </row>
    <row r="644">
      <c r="K644" s="17"/>
    </row>
    <row r="645">
      <c r="K645" s="17"/>
    </row>
    <row r="646">
      <c r="K646" s="17"/>
    </row>
    <row r="647">
      <c r="K647" s="17"/>
    </row>
    <row r="648">
      <c r="K648" s="17"/>
    </row>
    <row r="649">
      <c r="K649" s="17"/>
    </row>
    <row r="650">
      <c r="K650" s="17"/>
    </row>
    <row r="651">
      <c r="K651" s="17"/>
    </row>
    <row r="652">
      <c r="K652" s="17"/>
    </row>
    <row r="653">
      <c r="K653" s="17"/>
    </row>
    <row r="654">
      <c r="K654" s="17"/>
    </row>
    <row r="655">
      <c r="K655" s="17"/>
    </row>
    <row r="656">
      <c r="K656" s="17"/>
    </row>
    <row r="657">
      <c r="K657" s="17"/>
    </row>
    <row r="658">
      <c r="K658" s="17"/>
    </row>
    <row r="659">
      <c r="K659" s="17"/>
    </row>
    <row r="660">
      <c r="K660" s="17"/>
    </row>
    <row r="661">
      <c r="K661" s="17"/>
    </row>
    <row r="662">
      <c r="K662" s="17"/>
    </row>
    <row r="663">
      <c r="K663" s="17"/>
    </row>
    <row r="664">
      <c r="K664" s="17"/>
    </row>
    <row r="665">
      <c r="K665" s="17"/>
    </row>
    <row r="666">
      <c r="K666" s="17"/>
    </row>
    <row r="667">
      <c r="K667" s="17"/>
    </row>
    <row r="668">
      <c r="K668" s="17"/>
    </row>
    <row r="669">
      <c r="K669" s="17"/>
    </row>
    <row r="670">
      <c r="K670" s="17"/>
    </row>
    <row r="671">
      <c r="K671" s="17"/>
    </row>
    <row r="672">
      <c r="K672" s="17"/>
    </row>
    <row r="673">
      <c r="K673" s="17"/>
    </row>
    <row r="674">
      <c r="K674" s="17"/>
    </row>
    <row r="675">
      <c r="K675" s="17"/>
    </row>
    <row r="676">
      <c r="K676" s="17"/>
    </row>
    <row r="677">
      <c r="K677" s="17"/>
    </row>
    <row r="678">
      <c r="K678" s="17"/>
    </row>
    <row r="679">
      <c r="K679" s="17"/>
    </row>
    <row r="680">
      <c r="K680" s="17"/>
    </row>
    <row r="681">
      <c r="K681" s="17"/>
    </row>
    <row r="682">
      <c r="K682" s="17"/>
    </row>
    <row r="683">
      <c r="K683" s="17"/>
    </row>
    <row r="684">
      <c r="K684" s="17"/>
    </row>
    <row r="685">
      <c r="K685" s="17"/>
    </row>
    <row r="686">
      <c r="K686" s="17"/>
    </row>
    <row r="687">
      <c r="K687" s="17"/>
    </row>
    <row r="688">
      <c r="K688" s="17"/>
    </row>
    <row r="689">
      <c r="K689" s="17"/>
    </row>
    <row r="690">
      <c r="K690" s="17"/>
    </row>
    <row r="691">
      <c r="K691" s="17"/>
    </row>
    <row r="692">
      <c r="K692" s="17"/>
    </row>
    <row r="693">
      <c r="K693" s="17"/>
    </row>
    <row r="694">
      <c r="K694" s="17"/>
    </row>
    <row r="695">
      <c r="K695" s="17"/>
    </row>
    <row r="696">
      <c r="K696" s="17"/>
    </row>
    <row r="697">
      <c r="K697" s="17"/>
    </row>
    <row r="698">
      <c r="K698" s="17"/>
    </row>
    <row r="699">
      <c r="K699" s="17"/>
    </row>
    <row r="700">
      <c r="K700" s="17"/>
    </row>
    <row r="701">
      <c r="K701" s="17"/>
    </row>
    <row r="702">
      <c r="K702" s="17"/>
    </row>
    <row r="703">
      <c r="K703" s="17"/>
    </row>
    <row r="704">
      <c r="K704" s="17"/>
    </row>
    <row r="705">
      <c r="K705" s="17"/>
    </row>
    <row r="706">
      <c r="K706" s="17"/>
    </row>
    <row r="707">
      <c r="K707" s="17"/>
    </row>
    <row r="708">
      <c r="K708" s="17"/>
    </row>
    <row r="709">
      <c r="K709" s="17"/>
    </row>
    <row r="710">
      <c r="K710" s="17"/>
    </row>
    <row r="711">
      <c r="K711" s="17"/>
    </row>
    <row r="712">
      <c r="K712" s="17"/>
    </row>
    <row r="713">
      <c r="K713" s="17"/>
    </row>
    <row r="714">
      <c r="K714" s="17"/>
    </row>
    <row r="715">
      <c r="K715" s="17"/>
    </row>
    <row r="716">
      <c r="K716" s="17"/>
    </row>
    <row r="717">
      <c r="K717" s="17"/>
    </row>
    <row r="718">
      <c r="K718" s="17"/>
    </row>
    <row r="719">
      <c r="K719" s="17"/>
    </row>
    <row r="720">
      <c r="K720" s="17"/>
    </row>
    <row r="721">
      <c r="K721" s="17"/>
    </row>
    <row r="722">
      <c r="K722" s="17"/>
    </row>
    <row r="723">
      <c r="K723" s="17"/>
    </row>
    <row r="724">
      <c r="K724" s="17"/>
    </row>
    <row r="725">
      <c r="K725" s="17"/>
    </row>
    <row r="726">
      <c r="K726" s="17"/>
    </row>
    <row r="727">
      <c r="K727" s="17"/>
    </row>
    <row r="728">
      <c r="K728" s="17"/>
    </row>
    <row r="729">
      <c r="K729" s="17"/>
    </row>
    <row r="730">
      <c r="K730" s="17"/>
    </row>
    <row r="731">
      <c r="K731" s="17"/>
    </row>
    <row r="732">
      <c r="K732" s="17"/>
    </row>
    <row r="733">
      <c r="K733" s="17"/>
    </row>
    <row r="734">
      <c r="K734" s="17"/>
    </row>
    <row r="735">
      <c r="K735" s="17"/>
    </row>
    <row r="736">
      <c r="K736" s="17"/>
    </row>
    <row r="737">
      <c r="K737" s="17"/>
    </row>
    <row r="738">
      <c r="K738" s="17"/>
    </row>
    <row r="739">
      <c r="K739" s="17"/>
    </row>
    <row r="740">
      <c r="K740" s="17"/>
    </row>
    <row r="741">
      <c r="K741" s="17"/>
    </row>
    <row r="742">
      <c r="K742" s="17"/>
    </row>
    <row r="743">
      <c r="K743" s="17"/>
    </row>
    <row r="744">
      <c r="K744" s="17"/>
    </row>
    <row r="745">
      <c r="K745" s="17"/>
    </row>
    <row r="746">
      <c r="K746" s="17"/>
    </row>
    <row r="747">
      <c r="K747" s="17"/>
    </row>
    <row r="748">
      <c r="K748" s="17"/>
    </row>
    <row r="749">
      <c r="K749" s="17"/>
    </row>
    <row r="750">
      <c r="K750" s="17"/>
    </row>
    <row r="751">
      <c r="K751" s="17"/>
    </row>
    <row r="752">
      <c r="K752" s="17"/>
    </row>
    <row r="753">
      <c r="K753" s="17"/>
    </row>
    <row r="754">
      <c r="K754" s="17"/>
    </row>
    <row r="755">
      <c r="K755" s="17"/>
    </row>
    <row r="756">
      <c r="K756" s="17"/>
    </row>
    <row r="757">
      <c r="K757" s="17"/>
    </row>
    <row r="758">
      <c r="K758" s="17"/>
    </row>
    <row r="759">
      <c r="K759" s="17"/>
    </row>
    <row r="760">
      <c r="K760" s="17"/>
    </row>
    <row r="761">
      <c r="K761" s="17"/>
    </row>
    <row r="762">
      <c r="K762" s="17"/>
    </row>
    <row r="763">
      <c r="K763" s="17"/>
    </row>
    <row r="764">
      <c r="K764" s="17"/>
    </row>
    <row r="765">
      <c r="K765" s="17"/>
    </row>
    <row r="766">
      <c r="K766" s="17"/>
    </row>
    <row r="767">
      <c r="K767" s="17"/>
    </row>
    <row r="768">
      <c r="K768" s="17"/>
    </row>
    <row r="769">
      <c r="K769" s="17"/>
    </row>
    <row r="770">
      <c r="K770" s="17"/>
    </row>
    <row r="771">
      <c r="K771" s="17"/>
    </row>
    <row r="772">
      <c r="K772" s="17"/>
    </row>
    <row r="773">
      <c r="K773" s="17"/>
    </row>
    <row r="774">
      <c r="K774" s="17"/>
    </row>
    <row r="775">
      <c r="K775" s="17"/>
    </row>
    <row r="776">
      <c r="K776" s="17"/>
    </row>
    <row r="777">
      <c r="K777" s="17"/>
    </row>
    <row r="778">
      <c r="K778" s="17"/>
    </row>
    <row r="779">
      <c r="K779" s="17"/>
    </row>
    <row r="780">
      <c r="K780" s="17"/>
    </row>
    <row r="781">
      <c r="K781" s="17"/>
    </row>
    <row r="782">
      <c r="K782" s="17"/>
    </row>
    <row r="783">
      <c r="K783" s="17"/>
    </row>
    <row r="784">
      <c r="K784" s="17"/>
    </row>
    <row r="785">
      <c r="K785" s="17"/>
    </row>
    <row r="786">
      <c r="K786" s="17"/>
    </row>
    <row r="787">
      <c r="K787" s="17"/>
    </row>
    <row r="788">
      <c r="K788" s="17"/>
    </row>
    <row r="789">
      <c r="K789" s="17"/>
    </row>
    <row r="790">
      <c r="K790" s="17"/>
    </row>
    <row r="791">
      <c r="K791" s="17"/>
    </row>
    <row r="792">
      <c r="K792" s="17"/>
    </row>
    <row r="793">
      <c r="K793" s="17"/>
    </row>
    <row r="794">
      <c r="K794" s="17"/>
    </row>
    <row r="795">
      <c r="K795" s="17"/>
    </row>
    <row r="796">
      <c r="K796" s="17"/>
    </row>
    <row r="797">
      <c r="K797" s="17"/>
    </row>
    <row r="798">
      <c r="K798" s="17"/>
    </row>
    <row r="799">
      <c r="K799" s="17"/>
    </row>
    <row r="800">
      <c r="K800" s="17"/>
    </row>
    <row r="801">
      <c r="K801" s="17"/>
    </row>
    <row r="802">
      <c r="K802" s="17"/>
    </row>
    <row r="803">
      <c r="K803" s="17"/>
    </row>
    <row r="804">
      <c r="K804" s="17"/>
    </row>
    <row r="805">
      <c r="K805" s="17"/>
    </row>
    <row r="806">
      <c r="K806" s="17"/>
    </row>
    <row r="807">
      <c r="K807" s="17"/>
    </row>
    <row r="808">
      <c r="K808" s="17"/>
    </row>
    <row r="809">
      <c r="K809" s="17"/>
    </row>
    <row r="810">
      <c r="K810" s="17"/>
    </row>
    <row r="811">
      <c r="K811" s="17"/>
    </row>
    <row r="812">
      <c r="K812" s="17"/>
    </row>
    <row r="813">
      <c r="K813" s="17"/>
    </row>
    <row r="814">
      <c r="K814" s="17"/>
    </row>
    <row r="815">
      <c r="K815" s="17"/>
    </row>
    <row r="816">
      <c r="K816" s="17"/>
    </row>
    <row r="817">
      <c r="K817" s="17"/>
    </row>
    <row r="818">
      <c r="K818" s="17"/>
    </row>
    <row r="819">
      <c r="K819" s="17"/>
    </row>
    <row r="820">
      <c r="K820" s="17"/>
    </row>
    <row r="821">
      <c r="K821" s="17"/>
    </row>
    <row r="822">
      <c r="K822" s="17"/>
    </row>
    <row r="823">
      <c r="K823" s="17"/>
    </row>
    <row r="824">
      <c r="K824" s="17"/>
    </row>
    <row r="825">
      <c r="K825" s="17"/>
    </row>
    <row r="826">
      <c r="K826" s="17"/>
    </row>
    <row r="827">
      <c r="K827" s="17"/>
    </row>
    <row r="828">
      <c r="K828" s="17"/>
    </row>
    <row r="829">
      <c r="K829" s="17"/>
    </row>
    <row r="830">
      <c r="K830" s="17"/>
    </row>
    <row r="831">
      <c r="K831" s="17"/>
    </row>
    <row r="832">
      <c r="K832" s="17"/>
    </row>
    <row r="833">
      <c r="K833" s="17"/>
    </row>
    <row r="834">
      <c r="K834" s="17"/>
    </row>
    <row r="835">
      <c r="K835" s="17"/>
    </row>
    <row r="836">
      <c r="K836" s="17"/>
    </row>
    <row r="837">
      <c r="K837" s="17"/>
    </row>
    <row r="838">
      <c r="K838" s="17"/>
    </row>
    <row r="839">
      <c r="K839" s="17"/>
    </row>
    <row r="840">
      <c r="K840" s="17"/>
    </row>
    <row r="841">
      <c r="K841" s="17"/>
    </row>
    <row r="842">
      <c r="K842" s="17"/>
    </row>
    <row r="843">
      <c r="K843" s="17"/>
    </row>
    <row r="844">
      <c r="K844" s="17"/>
    </row>
    <row r="845">
      <c r="K845" s="17"/>
    </row>
    <row r="846">
      <c r="K846" s="17"/>
    </row>
    <row r="847">
      <c r="K847" s="17"/>
    </row>
    <row r="848">
      <c r="K848" s="17"/>
    </row>
    <row r="849">
      <c r="K849" s="17"/>
    </row>
    <row r="850">
      <c r="K850" s="17"/>
    </row>
    <row r="851">
      <c r="K851" s="17"/>
    </row>
    <row r="852">
      <c r="K852" s="17"/>
    </row>
    <row r="853">
      <c r="K853" s="17"/>
    </row>
    <row r="854">
      <c r="K854" s="17"/>
    </row>
    <row r="855">
      <c r="K855" s="17"/>
    </row>
    <row r="856">
      <c r="K856" s="17"/>
    </row>
    <row r="857">
      <c r="K857" s="17"/>
    </row>
    <row r="858">
      <c r="K858" s="17"/>
    </row>
    <row r="859">
      <c r="K859" s="17"/>
    </row>
    <row r="860">
      <c r="K860" s="17"/>
    </row>
    <row r="861">
      <c r="K861" s="17"/>
    </row>
    <row r="862">
      <c r="K862" s="17"/>
    </row>
    <row r="863">
      <c r="K863" s="17"/>
    </row>
    <row r="864">
      <c r="K864" s="17"/>
    </row>
    <row r="865">
      <c r="K865" s="17"/>
    </row>
    <row r="866">
      <c r="K866" s="17"/>
    </row>
    <row r="867">
      <c r="K867" s="17"/>
    </row>
    <row r="868">
      <c r="K868" s="17"/>
    </row>
    <row r="869">
      <c r="K869" s="17"/>
    </row>
    <row r="870">
      <c r="K870" s="17"/>
    </row>
    <row r="871">
      <c r="K871" s="17"/>
    </row>
    <row r="872">
      <c r="K872" s="17"/>
    </row>
    <row r="873">
      <c r="K873" s="17"/>
    </row>
    <row r="874">
      <c r="K874" s="17"/>
    </row>
    <row r="875">
      <c r="K875" s="17"/>
    </row>
    <row r="876">
      <c r="K876" s="17"/>
    </row>
    <row r="877">
      <c r="K877" s="17"/>
    </row>
    <row r="878">
      <c r="K878" s="17"/>
    </row>
    <row r="879">
      <c r="K879" s="17"/>
    </row>
    <row r="880">
      <c r="K880" s="17"/>
    </row>
    <row r="881">
      <c r="K881" s="17"/>
    </row>
    <row r="882">
      <c r="K882" s="17"/>
    </row>
    <row r="883">
      <c r="K883" s="17"/>
    </row>
    <row r="884">
      <c r="K884" s="17"/>
    </row>
    <row r="885">
      <c r="K885" s="17"/>
    </row>
    <row r="886">
      <c r="K886" s="17"/>
    </row>
    <row r="887">
      <c r="K887" s="17"/>
    </row>
    <row r="888">
      <c r="K888" s="17"/>
    </row>
    <row r="889">
      <c r="K889" s="17"/>
    </row>
    <row r="890">
      <c r="K890" s="17"/>
    </row>
    <row r="891">
      <c r="K891" s="17"/>
    </row>
    <row r="892">
      <c r="K892" s="17"/>
    </row>
    <row r="893">
      <c r="K893" s="17"/>
    </row>
    <row r="894">
      <c r="K894" s="17"/>
    </row>
    <row r="895">
      <c r="K895" s="17"/>
    </row>
    <row r="896">
      <c r="K896" s="17"/>
    </row>
    <row r="897">
      <c r="K897" s="17"/>
    </row>
    <row r="898">
      <c r="K898" s="17"/>
    </row>
    <row r="899">
      <c r="K899" s="17"/>
    </row>
    <row r="900">
      <c r="K900" s="17"/>
    </row>
    <row r="901">
      <c r="K901" s="17"/>
    </row>
    <row r="902">
      <c r="K902" s="17"/>
    </row>
    <row r="903">
      <c r="K903" s="17"/>
    </row>
    <row r="904">
      <c r="K904" s="17"/>
    </row>
    <row r="905">
      <c r="K905" s="17"/>
    </row>
    <row r="906">
      <c r="K906" s="17"/>
    </row>
    <row r="907">
      <c r="K907" s="17"/>
    </row>
    <row r="908">
      <c r="K908" s="17"/>
    </row>
    <row r="909">
      <c r="K909" s="17"/>
    </row>
    <row r="910">
      <c r="K910" s="17"/>
    </row>
    <row r="911">
      <c r="K911" s="17"/>
    </row>
    <row r="912">
      <c r="K912" s="17"/>
    </row>
    <row r="913">
      <c r="K913" s="17"/>
    </row>
    <row r="914">
      <c r="K914" s="17"/>
    </row>
    <row r="915">
      <c r="K915" s="17"/>
    </row>
    <row r="916">
      <c r="K916" s="17"/>
    </row>
    <row r="917">
      <c r="K917" s="17"/>
    </row>
    <row r="918">
      <c r="K918" s="17"/>
    </row>
    <row r="919">
      <c r="K919" s="17"/>
    </row>
    <row r="920">
      <c r="K920" s="17"/>
    </row>
    <row r="921">
      <c r="K921" s="17"/>
    </row>
    <row r="922">
      <c r="K922" s="17"/>
    </row>
    <row r="923">
      <c r="K923" s="17"/>
    </row>
    <row r="924">
      <c r="K924" s="17"/>
    </row>
    <row r="925">
      <c r="K925" s="17"/>
    </row>
    <row r="926">
      <c r="K926" s="17"/>
    </row>
    <row r="927">
      <c r="K927" s="17"/>
    </row>
    <row r="928">
      <c r="K928" s="17"/>
    </row>
    <row r="929">
      <c r="K929" s="17"/>
    </row>
    <row r="930">
      <c r="K930" s="17"/>
    </row>
    <row r="931">
      <c r="K931" s="17"/>
    </row>
    <row r="932">
      <c r="K932" s="17"/>
    </row>
    <row r="933">
      <c r="K933" s="17"/>
    </row>
    <row r="934">
      <c r="K934" s="17"/>
    </row>
    <row r="935">
      <c r="K935" s="17"/>
    </row>
    <row r="936">
      <c r="K936" s="17"/>
    </row>
    <row r="937">
      <c r="K937" s="17"/>
    </row>
    <row r="938">
      <c r="K938" s="17"/>
    </row>
    <row r="939">
      <c r="K939" s="17"/>
    </row>
    <row r="940">
      <c r="K940" s="17"/>
    </row>
    <row r="941">
      <c r="K941" s="17"/>
    </row>
    <row r="942">
      <c r="K942" s="17"/>
    </row>
    <row r="943">
      <c r="K943" s="17"/>
    </row>
    <row r="944">
      <c r="K944" s="17"/>
    </row>
    <row r="945">
      <c r="K945" s="17"/>
    </row>
    <row r="946">
      <c r="K946" s="17"/>
    </row>
    <row r="947">
      <c r="K947" s="17"/>
    </row>
    <row r="948">
      <c r="K948" s="17"/>
    </row>
    <row r="949">
      <c r="K949" s="17"/>
    </row>
    <row r="950">
      <c r="K950" s="17"/>
    </row>
    <row r="951">
      <c r="K951" s="17"/>
    </row>
    <row r="952">
      <c r="K952" s="17"/>
    </row>
    <row r="953">
      <c r="K953" s="17"/>
    </row>
    <row r="954">
      <c r="K954" s="17"/>
    </row>
    <row r="955">
      <c r="K955" s="17"/>
    </row>
    <row r="956">
      <c r="K956" s="17"/>
    </row>
    <row r="957">
      <c r="K957" s="17"/>
    </row>
    <row r="958">
      <c r="K958" s="17"/>
    </row>
    <row r="959">
      <c r="K959" s="17"/>
    </row>
    <row r="960">
      <c r="K960" s="17"/>
    </row>
    <row r="961">
      <c r="K961" s="17"/>
    </row>
    <row r="962">
      <c r="K962" s="17"/>
    </row>
    <row r="963">
      <c r="K963" s="17"/>
    </row>
    <row r="964">
      <c r="K964" s="17"/>
    </row>
    <row r="965">
      <c r="K965" s="17"/>
    </row>
    <row r="966">
      <c r="K966" s="17"/>
    </row>
    <row r="967">
      <c r="K967" s="17"/>
    </row>
    <row r="968">
      <c r="K968" s="17"/>
    </row>
    <row r="969">
      <c r="K969" s="17"/>
    </row>
    <row r="970">
      <c r="K970" s="17"/>
    </row>
    <row r="971">
      <c r="K971" s="17"/>
    </row>
    <row r="972">
      <c r="K972" s="17"/>
    </row>
    <row r="973">
      <c r="K973" s="17"/>
    </row>
    <row r="974">
      <c r="K974" s="17"/>
    </row>
    <row r="975">
      <c r="K975" s="17"/>
    </row>
    <row r="976">
      <c r="K976" s="17"/>
    </row>
    <row r="977">
      <c r="K977" s="17"/>
    </row>
    <row r="978">
      <c r="K978" s="17"/>
    </row>
    <row r="979">
      <c r="K979" s="17"/>
    </row>
    <row r="980">
      <c r="K980" s="17"/>
    </row>
    <row r="981">
      <c r="K981" s="17"/>
    </row>
    <row r="982">
      <c r="K982" s="17"/>
    </row>
    <row r="983">
      <c r="K983" s="17"/>
    </row>
    <row r="984">
      <c r="K984" s="17"/>
    </row>
    <row r="985">
      <c r="K985" s="17"/>
    </row>
    <row r="986">
      <c r="K986" s="17"/>
    </row>
    <row r="987">
      <c r="K987" s="17"/>
    </row>
    <row r="988">
      <c r="K988" s="17"/>
    </row>
    <row r="989">
      <c r="K989" s="17"/>
    </row>
    <row r="990">
      <c r="K990" s="17"/>
    </row>
    <row r="991">
      <c r="K991" s="17"/>
    </row>
    <row r="992">
      <c r="K992" s="17"/>
    </row>
    <row r="993">
      <c r="K993" s="17"/>
    </row>
    <row r="994">
      <c r="K994" s="17"/>
    </row>
    <row r="995">
      <c r="K995" s="17"/>
    </row>
    <row r="996">
      <c r="K996" s="17"/>
    </row>
    <row r="997">
      <c r="K997" s="17"/>
    </row>
    <row r="998">
      <c r="K998" s="17"/>
    </row>
    <row r="999">
      <c r="K999" s="17"/>
    </row>
  </sheetData>
  <conditionalFormatting sqref="F1:F34">
    <cfRule type="cellIs" dxfId="1" priority="1" operator="equal">
      <formula>"TRUE"</formula>
    </cfRule>
  </conditionalFormatting>
  <drawing r:id="rId1"/>
</worksheet>
</file>